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Tierra Financial Advisors\CLIENTS\Utah\Viridian Farm\Model\"/>
    </mc:Choice>
  </mc:AlternateContent>
  <xr:revisionPtr revIDLastSave="0" documentId="13_ncr:1_{7922A89A-74B4-4081-BFCD-412E92486EF5}" xr6:coauthVersionLast="47" xr6:coauthVersionMax="47" xr10:uidLastSave="{00000000-0000-0000-0000-000000000000}"/>
  <bookViews>
    <workbookView xWindow="-120" yWindow="-120" windowWidth="29040" windowHeight="15720" tabRatio="877" firstSheet="3" activeTab="6" xr2:uid="{33F0DD4C-F617-4317-BECA-DC1071776C05}"/>
  </bookViews>
  <sheets>
    <sheet name="Inputs - First" sheetId="6" r:id="rId1"/>
    <sheet name="Capital Costs" sheetId="27" r:id="rId2"/>
    <sheet name="Deal COI" sheetId="31" r:id="rId3"/>
    <sheet name="Sources and Uses - First" sheetId="8" r:id="rId4"/>
    <sheet name="Sources and Uses - Refunding" sheetId="23" r:id="rId5"/>
    <sheet name="Summary" sheetId="1" r:id="rId6"/>
    <sheet name="Residential Development" sheetId="16" r:id="rId7"/>
    <sheet name="Comm Development" sheetId="29" r:id="rId8"/>
    <sheet name="Ops Rev &amp; Exp Projection" sheetId="5" r:id="rId9"/>
    <sheet name="Senior Lien DS - First" sheetId="9" r:id="rId10"/>
    <sheet name="Sub Lien DS - First (Annual)" sheetId="28" r:id="rId11"/>
    <sheet name="Sub Lien DS - First (SA)" sheetId="11" r:id="rId12"/>
    <sheet name="Senior Lien DS - Refunding" sheetId="24" r:id="rId13"/>
    <sheet name="CAPI Fund - First" sheetId="10" r:id="rId14"/>
    <sheet name="Scratch---&gt;&gt;&gt;" sheetId="25" r:id="rId15"/>
    <sheet name="DBC Output" sheetId="26" r:id="rId16"/>
  </sheets>
  <externalReferences>
    <externalReference r:id="rId17"/>
    <externalReference r:id="rId18"/>
  </externalReferences>
  <definedNames>
    <definedName name="ABSORPTION_SCENARIO">'Inputs - First'!$C$127</definedName>
    <definedName name="AIC">'[1]Bond Statistics'!$H$20</definedName>
    <definedName name="AIC_CABS">'[1]Bond Statistics'!$H$37</definedName>
    <definedName name="AIC_SENIOR">'Senior Lien DS - First'!$AG$22</definedName>
    <definedName name="AIC_SENIOR_REFUNDING">'Senior Lien DS - Refunding'!$AG$22</definedName>
    <definedName name="AIC_SUB" localSheetId="10">'Sub Lien DS - First (Annual)'!$AN$22</definedName>
    <definedName name="AIC_SUB">'Sub Lien DS - First (SA)'!$AN$22</definedName>
    <definedName name="ALTERNATIVE" localSheetId="10">'Sub Lien DS - First (Annual)'!$AF$11:$AF$91</definedName>
    <definedName name="ALTERNATIVE">'Sub Lien DS - First (SA)'!$AF$11:$AF$91</definedName>
    <definedName name="ANALYSIS">'Inputs - First'!$C$9</definedName>
    <definedName name="ARB_TIC">'[1]Bond Statistics'!$C$20</definedName>
    <definedName name="ARB_TIC_CABS">'[1]Bond Statistics'!$C$37</definedName>
    <definedName name="ARB_TIC_SENIOR">'Senior Lien DS - First'!$AB$22</definedName>
    <definedName name="ARB_TIC_SENIOR_REFUNDING">'Senior Lien DS - Refunding'!$AB$22</definedName>
    <definedName name="ARB_TIC_SUB" localSheetId="10">'Sub Lien DS - First (Annual)'!$AI$22</definedName>
    <definedName name="ARB_TIC_SUB">'Sub Lien DS - First (SA)'!$AI$22</definedName>
    <definedName name="ASP_SFD">'Inputs - First'!#REF!</definedName>
    <definedName name="ASP_SFD_1">'Inputs - First'!$C$113</definedName>
    <definedName name="ASP_SFD_10">'Inputs - First'!$C$122</definedName>
    <definedName name="ASP_SFD_11">'Inputs - First'!$C$123</definedName>
    <definedName name="ASP_SFD_12">'Inputs - First'!$C$124</definedName>
    <definedName name="ASP_SFD_2">'Inputs - First'!$C$114</definedName>
    <definedName name="ASP_SFD_3">'Inputs - First'!$C$115</definedName>
    <definedName name="ASP_SFD_4">'Inputs - First'!$C$116</definedName>
    <definedName name="ASP_SFD_5">'Inputs - First'!$C$117</definedName>
    <definedName name="ASP_SFD_6">'Inputs - First'!$C$118</definedName>
    <definedName name="ASP_SFD_7">'Inputs - First'!$C$119</definedName>
    <definedName name="ASP_SFD_8">'Inputs - First'!$C$120</definedName>
    <definedName name="ASP_SFD_9">'Inputs - First'!$C$121</definedName>
    <definedName name="BIENNIAL_REASSESS_COMM_RATE">'Inputs - First'!$C$79</definedName>
    <definedName name="BIENNIAL_REASSESS_RATE">'Inputs - First'!$C$77</definedName>
    <definedName name="BIENNIAL_REASSESS_RATE_SUBORDINATE">'Inputs - First'!$C$78</definedName>
    <definedName name="BOND_RATE">'[1]Data Inputs'!$B$34</definedName>
    <definedName name="BOND_STRUCTURE">'[1]Data Inputs'!$B$32</definedName>
    <definedName name="BOND_YEARS">'[1]Senior Bonds_SA'!$AA$31</definedName>
    <definedName name="BOND_YEARS_SENIOR">'Senior Lien DS - First'!$X$96</definedName>
    <definedName name="BOND_YEARS_SENIOR_REFUNDING">'Senior Lien DS - Refunding'!$X$96</definedName>
    <definedName name="BOND_YEARS_SUB" localSheetId="10">'Sub Lien DS - First (Annual)'!$AE$97</definedName>
    <definedName name="BOND_YEARS_SUB">'Sub Lien DS - First (SA)'!$AE$97</definedName>
    <definedName name="CAPI" localSheetId="2">'[1]Data Inputs'!$B$24</definedName>
    <definedName name="CAPI">'Inputs - First'!$C$42</definedName>
    <definedName name="CAPI_END_DATE" localSheetId="2">'[1]Data Inputs'!$B$26</definedName>
    <definedName name="CAPI_END_DATE">'Inputs - First'!$C$41</definedName>
    <definedName name="CAPI_FIRST_DRAW" localSheetId="2">'[1]Data Inputs'!$B$25</definedName>
    <definedName name="CAPI_FIRST_DRAW">'Inputs - First'!$C$40</definedName>
    <definedName name="CAPI_INT_DRAWS" localSheetId="12">'Senior Lien DS - Refunding'!$A$10:$K$129</definedName>
    <definedName name="CAPI_INT_DRAWS">'Senior Lien DS - First'!$A$10:$K$129</definedName>
    <definedName name="CAPI_INT_DRAWS_MONTHLY">'[1]Senior Bonds_Monthly'!$A$10:$Y$211</definedName>
    <definedName name="CAPI_TERM" localSheetId="2">'[1]Data Inputs'!$B$27</definedName>
    <definedName name="CAPI_TERM">'Inputs - First'!$C$43</definedName>
    <definedName name="CAPITAL_IMPROV_FEE">'Inputs - First'!$C$98</definedName>
    <definedName name="CITY">'Inputs - First'!$C$7</definedName>
    <definedName name="COI">'Inputs - First'!$C$19</definedName>
    <definedName name="COI_REFUNDING">'Inputs - First'!$C$20</definedName>
    <definedName name="COMM_NEW_VALUE_ADD">'Inputs - First'!$C$103</definedName>
    <definedName name="COMM_NEW_VALUE_ADD_SUB">'Inputs - First'!$C$104</definedName>
    <definedName name="COMMERCIAL_LAG_YEARS">'Inputs - First'!$C$131</definedName>
    <definedName name="CONTRIBUTION_RATE">'Inputs - First'!$C$94</definedName>
    <definedName name="COUNTY">'Inputs - First'!$C$8</definedName>
    <definedName name="COUNTY_TREASURER_FEE">'Inputs - First'!$C$24</definedName>
    <definedName name="COUPON">'[1]Data Inputs'!$B$33</definedName>
    <definedName name="COVERAGE">'[1]Data Inputs'!$B$42</definedName>
    <definedName name="DELIVERY" localSheetId="2">'[1]Data Inputs'!$B$20</definedName>
    <definedName name="DELIVERY">'Inputs - First'!$C$30</definedName>
    <definedName name="DELIVERY_REFUNDING">'Inputs - First'!$C$31</definedName>
    <definedName name="DEVELOPED_LOT_VALUE">'Inputs - First'!$C$135</definedName>
    <definedName name="DEVELOPER">'Inputs - First'!$C$11</definedName>
    <definedName name="DSC_REFUNDING_BONDS">'Inputs - First'!$C$70</definedName>
    <definedName name="DSC_SENIOR_LIEN_BONDS">'Inputs - First'!$C$68</definedName>
    <definedName name="DSC_SUB_LIEN_BONDS">'Inputs - First'!$C$69</definedName>
    <definedName name="DSRF">'[1]Data Inputs'!$B$30</definedName>
    <definedName name="DSRF_END">'[1]Data Inputs'!$B$31</definedName>
    <definedName name="DSRFRATE">'[1]Data Inputs'!$B$43</definedName>
    <definedName name="DUPLEX_FIRST_CLOSE_DATE">'Inputs - First'!$C$130</definedName>
    <definedName name="END_BAL_ACCRUED_SUB_BONDS">'Inputs - First'!$C$52</definedName>
    <definedName name="FINAL_MAT">'[1]Data Inputs'!$B$40</definedName>
    <definedName name="FINAL_MAT_MONTHS">'[1]Data Inputs'!$B$39</definedName>
    <definedName name="FINAL_MAT_SUB_YRS">'Inputs - First'!$C$58</definedName>
    <definedName name="FINAL_MAT_YRS" localSheetId="2">'[1]Data Inputs'!$B$38</definedName>
    <definedName name="FINAL_MAT_YRS">'Inputs - First'!$C$57</definedName>
    <definedName name="FINAL_MAT_YRS_REFUNDING">'Inputs - First'!$C$59</definedName>
    <definedName name="FIRST_INT" localSheetId="2">'[1]Data Inputs'!$B$21</definedName>
    <definedName name="FIRST_INT">'Inputs - First'!$C$32</definedName>
    <definedName name="FIRST_INT_REFUNDING">'Inputs - First'!$C$34</definedName>
    <definedName name="FIRST_INT_SUB">'Inputs - First'!$C$33</definedName>
    <definedName name="FIRST_PRIN" localSheetId="2">'[1]Data Inputs'!$B$22</definedName>
    <definedName name="FIRST_PRIN">'Inputs - First'!$C$35</definedName>
    <definedName name="FIRST_YEAR">'Inputs - First'!$C$71</definedName>
    <definedName name="FRAC">'Inputs - First'!$C$36</definedName>
    <definedName name="FRAC_CAPI" localSheetId="2">'[1]Data Inputs'!$B$23</definedName>
    <definedName name="FRAC_CAPI">'Inputs - First'!$C$39</definedName>
    <definedName name="FRAC_REFUNDING">'Inputs - First'!$C$37</definedName>
    <definedName name="FRAC_SUB">'Inputs - First'!$C$38</definedName>
    <definedName name="FUNDRATE">'[1]Data Inputs'!#REF!</definedName>
    <definedName name="GALLAGHERIZATION">'Inputs - First'!$C$87</definedName>
    <definedName name="GENERIC_SPECIFIC_SIZING">'Inputs - First'!#REF!</definedName>
    <definedName name="HAIRCUT">'[1]Data Inputs'!$B$41</definedName>
    <definedName name="HOME_FIRST_CLOSE_DATE">'Inputs - First'!$C$128</definedName>
    <definedName name="HOME_LOT_DELIVERY_DATE">'Inputs - First'!$C$132</definedName>
    <definedName name="HYPOTHETICAL_SCENARIO">'Inputs - First'!$C$125</definedName>
    <definedName name="IG_RATED">'Inputs - First'!$C$64</definedName>
    <definedName name="INFLATION_RATE">'Inputs - First'!$C$73</definedName>
    <definedName name="INFLATION_RATE_COMM_SALES">'Inputs - First'!$C$74</definedName>
    <definedName name="INFLATION_STEP_START_YEAR">'Inputs - First'!$C$76</definedName>
    <definedName name="INFLATION_STEP_YEARS">'Inputs - First'!$C$75</definedName>
    <definedName name="INT_MATURITY" localSheetId="2">'[1]Data Inputs'!$B$36</definedName>
    <definedName name="INT_MATURITY">'Inputs - First'!$C$61</definedName>
    <definedName name="INTEREST_EARN_RATE" localSheetId="2">'[1]Data Inputs'!#REF!</definedName>
    <definedName name="INTEREST_EARN_RATE">'Inputs - First'!$C$86</definedName>
    <definedName name="LOT_DELIVERY_SCENARIO">'Inputs - First'!$C$126</definedName>
    <definedName name="METRO">'Inputs - First'!$C$6</definedName>
    <definedName name="MILL_LEVY_CAP_TOTAL">'Inputs - First'!$C$93</definedName>
    <definedName name="MILL_LEVY_COMM">'Inputs - First'!$C$91</definedName>
    <definedName name="MILL_LEVY_DS_CAP">'Inputs - First'!$C$90</definedName>
    <definedName name="MILL_LEVY_DS_TARGET">'Inputs - First'!$C$89</definedName>
    <definedName name="MILL_LEVY_OPS_TARGET">'Inputs - First'!$C$92</definedName>
    <definedName name="MILL_LEVY_SERVICE_PLAN">'Inputs - First'!$C$88</definedName>
    <definedName name="OIL_GAS">'Inputs - First'!$C$105</definedName>
    <definedName name="OIL_GAS_ASSETS">'Inputs - First'!$C$100</definedName>
    <definedName name="OIL_GAS_SUBORDINATE">'Inputs - First'!$C$106</definedName>
    <definedName name="OIL_GAS_VALUE">'Inputs - First'!$C$136</definedName>
    <definedName name="OM_CARVEOUT">'Inputs - First'!$C$95</definedName>
    <definedName name="OM_CARVEOUT_AV_LIMIT">'Inputs - First'!$C$96</definedName>
    <definedName name="OM_GROWTH_RATE">'Inputs - First'!$C$97</definedName>
    <definedName name="PAR_CALL_FIRST">'Inputs - First'!$C$56</definedName>
    <definedName name="PLATTED_COMM_LOT_VALUE">'Inputs - First'!$C$133</definedName>
    <definedName name="PLATTED_LOT_VALUE">'Inputs - First'!$C$134</definedName>
    <definedName name="PREMIUM_CALL_FIRST">'Inputs - First'!$C$54</definedName>
    <definedName name="PREMIUM_CALL_FIRST_PRICE">'Inputs - First'!$C$55</definedName>
    <definedName name="PRIN_MATURITY" localSheetId="2">'[1]Data Inputs'!$B$35</definedName>
    <definedName name="PRIN_MATURITY">'Inputs - First'!$C$60</definedName>
    <definedName name="PRIN_MATURITY_DAY">'[1]Data Inputs'!$B$37</definedName>
    <definedName name="PRIN_MATURITY_DAY_SENIOR">'Inputs - First'!$C$62</definedName>
    <definedName name="PRIN_MATURITY_DAY_SUB">'Inputs - First'!$C$63</definedName>
    <definedName name="_xlnm.Print_Area" localSheetId="7">'Comm Development'!$D$1:$AB$36,'Comm Development'!$BG$1:$CR$36</definedName>
    <definedName name="_xlnm.Print_Area" localSheetId="2">'Deal COI'!$B$2:$E$25</definedName>
    <definedName name="_xlnm.Print_Area" localSheetId="8">'Ops Rev &amp; Exp Projection'!$C$1:$K$54</definedName>
    <definedName name="_xlnm.Print_Area" localSheetId="6">'Residential Development'!$D$1:$Q$45,'Residential Development'!$CD$1:$CQ$45</definedName>
    <definedName name="_xlnm.Print_Area" localSheetId="9">'Senior Lien DS - First'!$A$1:$V$96</definedName>
    <definedName name="_xlnm.Print_Area" localSheetId="3">'Sources and Uses - First'!$A$1:$F$64</definedName>
    <definedName name="_xlnm.Print_Area" localSheetId="4">'Sources and Uses - Refunding'!$A$1:$F$73</definedName>
    <definedName name="_xlnm.Print_Area" localSheetId="10">'Sub Lien DS - First (Annual)'!$A$1:$AF$98</definedName>
    <definedName name="_xlnm.Print_Area" localSheetId="11">'Sub Lien DS - First (SA)'!$A$1:$AF$98</definedName>
    <definedName name="_xlnm.Print_Area" localSheetId="5">Summary!$H$1:$Q$59,Summary!$AG$1:$AX$59,Summary!$BQ$1:$CD$59,Summary!$CH$1:$CW$59</definedName>
    <definedName name="_xlnm.Print_Titles" localSheetId="5">Summary!$D:$D</definedName>
    <definedName name="REFUND_BONDS_SERIES">'Inputs - First'!$C$14</definedName>
    <definedName name="REFUND_FINANCING">'Inputs - First'!$C$17</definedName>
    <definedName name="RESID_DELIVERY_YEAR">'Inputs - First'!$C$72</definedName>
    <definedName name="RESID_NEW_VALUE_ADD">'Inputs - First'!$C$101</definedName>
    <definedName name="RESID_NEW_VALUE_ADD_SUB">'Inputs - First'!$C$102</definedName>
    <definedName name="SCENARIO">'[1]Data Inputs'!$B$13</definedName>
    <definedName name="SECOND_FINANCING">'Inputs - First'!$C$16</definedName>
    <definedName name="SENIOR_BONDS_SERIES">'Inputs - First'!$C$12</definedName>
    <definedName name="SENIOR_INTEREST_RATE">'Inputs - First'!$C$65</definedName>
    <definedName name="SENIOR_REFUNDING_INTEREST_RATE">'Inputs - First'!$C$66</definedName>
    <definedName name="STATE_ASSESSED">'Inputs - First'!$C$99</definedName>
    <definedName name="SUB_BONDS_SERIES">'Inputs - First'!$C$13</definedName>
    <definedName name="SUB_INTEREST_RATE">'Inputs - First'!$C$67</definedName>
    <definedName name="SUB_SIZING_THRESHOLD">'Inputs - First'!$C$53</definedName>
    <definedName name="SURPLUS_FUND_DEPOSIT">'Inputs - First'!$C$45</definedName>
    <definedName name="SURPLUS_FUND_DEPOSIT_REFUNDING">'Inputs - First'!$C$49</definedName>
    <definedName name="SURPLUS_FUND_RELEASE_DATE" localSheetId="2">'[1]Data Inputs'!#REF!</definedName>
    <definedName name="SURPLUS_FUND_RELEASE_DATE">'Inputs - First'!$C$46</definedName>
    <definedName name="SURPLUS_FUND_RELEASE_DATE_REFUNDING">'Inputs - First'!$C$50</definedName>
    <definedName name="SURPLUS_FUND_TARGET">'Inputs - First'!$C$47</definedName>
    <definedName name="SURPLUS_FUND_TARGET_REFUNDING">'Inputs - First'!$C$51</definedName>
    <definedName name="SURPLUS_ON_OFF">'Inputs - First'!$C$44</definedName>
    <definedName name="SURPLUS_RELEASE_SIZING" localSheetId="2">'[1]Data Inputs'!$B$29</definedName>
    <definedName name="SURPLUS_RELEASE_SIZING">'Inputs - First'!$C$48</definedName>
    <definedName name="TABOR_CURRENT">'Inputs - First'!$C$81</definedName>
    <definedName name="TABOR_PRIOR">'Inputs - First'!$C$80</definedName>
    <definedName name="TABOR_PROJECTED">'Inputs - First'!$C$82</definedName>
    <definedName name="TAX_COLLECT_MILL_PRC">'Inputs - First'!$C$83</definedName>
    <definedName name="TAX_COLLECT_SO_AV_THRESHOLD">'Inputs - First'!$C$85</definedName>
    <definedName name="TAX_COLLECT_SO_PRC">'Inputs - First'!$C$84</definedName>
    <definedName name="TIC_DEBT_SERVICE">'[1]Senior Bonds_SA'!$P$12:$P$30</definedName>
    <definedName name="TIC_DEBT_SERVICE_MONTHLY">'[1]Senior Bonds_Monthly'!$W$12:$W$144</definedName>
    <definedName name="TIC_DEBT_SERVICE_MONTHLY_100">'[1]Senior Bonds_Monthly_100% Pacin'!$K$12:$K$144</definedName>
    <definedName name="TIC_DEBT_SERVICE_SENIOR">'Senior Lien DS - First'!$I$11:$I$95</definedName>
    <definedName name="TIC_DEBT_SERVICE_SENIOR_REFUNDING">'Senior Lien DS - Refunding'!$I$11:$I$95</definedName>
    <definedName name="TIC_DEBT_SERVICE_SUB" localSheetId="10">'Sub Lien DS - First (Annual)'!$O$11:$O$95</definedName>
    <definedName name="TIC_DEBT_SERVICE_SUB">'Sub Lien DS - First (SA)'!$O$11:$O$95</definedName>
    <definedName name="TITLE1">'[1]Data Inputs'!$B$10</definedName>
    <definedName name="TITLE2">'[1]Data Inputs'!$B$11</definedName>
    <definedName name="TITLE3">'[1]Data Inputs'!$B$12</definedName>
    <definedName name="TOTAL_SFD_1_LOTS">'Inputs - First'!#REF!</definedName>
    <definedName name="TOTAL_SFD_2_LOTS">'Inputs - First'!#REF!</definedName>
    <definedName name="TOTAL_SFD_3_LOTS">'Inputs - First'!#REF!</definedName>
    <definedName name="TOTAL_SFD_4_LOTS">'Inputs - First'!#REF!</definedName>
    <definedName name="TOTAL_SFD_5_LOTS">'Inputs - First'!#REF!</definedName>
    <definedName name="TOTAL_SFD_6_LOTS">'Inputs - First'!#REF!</definedName>
    <definedName name="TOTAL_SFD_7_LOTS">'Inputs - First'!#REF!</definedName>
    <definedName name="TOTAL_SFD_8_LOTS">'Inputs - First'!#REF!</definedName>
    <definedName name="TOWNHOME_FIRST_CLOSE_DATE">'Inputs - First'!$C$129</definedName>
    <definedName name="TRUSTEE_FEE">'Inputs - First'!$C$25</definedName>
    <definedName name="TRUSTEE_FEE_SUB">'Inputs - First'!$C$26</definedName>
    <definedName name="UWD">'[1]Data Inputs'!$B$17</definedName>
    <definedName name="UWD_SENIOR">'Inputs - First'!$C$21</definedName>
    <definedName name="UWD_SENIOR_REFUNDING">'Inputs - First'!$C$23</definedName>
    <definedName name="UWD_SUB">'Inputs - First'!$C$22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16" i="1" l="1"/>
  <c r="AV17" i="1" s="1"/>
  <c r="AV18" i="1" s="1"/>
  <c r="AV19" i="1" s="1"/>
  <c r="AV20" i="1" s="1"/>
  <c r="AV21" i="1" s="1"/>
  <c r="AV22" i="1" s="1"/>
  <c r="AV23" i="1" s="1"/>
  <c r="AV24" i="1" s="1"/>
  <c r="AV25" i="1" s="1"/>
  <c r="AV26" i="1" s="1"/>
  <c r="AV27" i="1" s="1"/>
  <c r="AV28" i="1" s="1"/>
  <c r="AV29" i="1" s="1"/>
  <c r="AV30" i="1" s="1"/>
  <c r="AV31" i="1" s="1"/>
  <c r="AV32" i="1" s="1"/>
  <c r="AV33" i="1" s="1"/>
  <c r="AV34" i="1" s="1"/>
  <c r="AV35" i="1" s="1"/>
  <c r="AV36" i="1" s="1"/>
  <c r="AV37" i="1" s="1"/>
  <c r="AV38" i="1" s="1"/>
  <c r="AV39" i="1" s="1"/>
  <c r="AV40" i="1" s="1"/>
  <c r="AV41" i="1" s="1"/>
  <c r="AV42" i="1" s="1"/>
  <c r="AV43" i="1" s="1"/>
  <c r="AV44" i="1" s="1"/>
  <c r="AV45" i="1" s="1"/>
  <c r="AV46" i="1" s="1"/>
  <c r="AV47" i="1" s="1"/>
  <c r="AV48" i="1" s="1"/>
  <c r="AV49" i="1" s="1"/>
  <c r="AV50" i="1" s="1"/>
  <c r="AV51" i="1" s="1"/>
  <c r="AV52" i="1" s="1"/>
  <c r="AV53" i="1" s="1"/>
  <c r="AV54" i="1" s="1"/>
  <c r="AV55" i="1" s="1"/>
  <c r="AV56" i="1" s="1"/>
  <c r="T14" i="9"/>
  <c r="T16" i="9"/>
  <c r="T18" i="9"/>
  <c r="T20" i="9"/>
  <c r="T22" i="9"/>
  <c r="T24" i="9"/>
  <c r="T26" i="9"/>
  <c r="T28" i="9"/>
  <c r="T30" i="9"/>
  <c r="T32" i="9"/>
  <c r="T34" i="9"/>
  <c r="T36" i="9"/>
  <c r="T38" i="9"/>
  <c r="T40" i="9"/>
  <c r="T42" i="9"/>
  <c r="T44" i="9"/>
  <c r="T46" i="9"/>
  <c r="T48" i="9"/>
  <c r="T50" i="9"/>
  <c r="T52" i="9"/>
  <c r="T54" i="9"/>
  <c r="T56" i="9"/>
  <c r="T58" i="9"/>
  <c r="T60" i="9"/>
  <c r="T62" i="9"/>
  <c r="T64" i="9"/>
  <c r="T66" i="9"/>
  <c r="T68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12" i="9"/>
  <c r="G13" i="9"/>
  <c r="G14" i="9"/>
  <c r="G15" i="9"/>
  <c r="G16" i="9"/>
  <c r="G18" i="9"/>
  <c r="G20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G62" i="9"/>
  <c r="G64" i="9"/>
  <c r="G66" i="9"/>
  <c r="G68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12" i="9"/>
  <c r="AN18" i="16"/>
  <c r="AJ18" i="16"/>
  <c r="AJ20" i="16"/>
  <c r="ER17" i="16"/>
  <c r="ES17" i="16"/>
  <c r="ET17" i="16"/>
  <c r="EU17" i="16"/>
  <c r="EV17" i="16"/>
  <c r="EW17" i="16"/>
  <c r="EX17" i="16"/>
  <c r="EY17" i="16"/>
  <c r="EZ17" i="16"/>
  <c r="FA17" i="16"/>
  <c r="FB17" i="16"/>
  <c r="FC17" i="16"/>
  <c r="ER18" i="16"/>
  <c r="ES18" i="16"/>
  <c r="ET18" i="16"/>
  <c r="EU18" i="16"/>
  <c r="EV18" i="16"/>
  <c r="EW18" i="16"/>
  <c r="EX18" i="16"/>
  <c r="EY18" i="16"/>
  <c r="EZ18" i="16"/>
  <c r="FA18" i="16"/>
  <c r="FB18" i="16"/>
  <c r="FC18" i="16"/>
  <c r="M13" i="1" s="1"/>
  <c r="ER19" i="16"/>
  <c r="ES19" i="16"/>
  <c r="ET19" i="16"/>
  <c r="EU19" i="16"/>
  <c r="EV19" i="16"/>
  <c r="EW19" i="16"/>
  <c r="EX19" i="16"/>
  <c r="EY19" i="16"/>
  <c r="EZ19" i="16"/>
  <c r="FA19" i="16"/>
  <c r="FB19" i="16"/>
  <c r="FC19" i="16"/>
  <c r="ER20" i="16"/>
  <c r="ES20" i="16"/>
  <c r="ET20" i="16"/>
  <c r="EU20" i="16"/>
  <c r="EV20" i="16"/>
  <c r="EW20" i="16"/>
  <c r="EX20" i="16"/>
  <c r="EY20" i="16"/>
  <c r="EZ20" i="16"/>
  <c r="FA20" i="16"/>
  <c r="FB20" i="16"/>
  <c r="FC20" i="16"/>
  <c r="ER21" i="16"/>
  <c r="ES21" i="16"/>
  <c r="ET21" i="16"/>
  <c r="EU21" i="16"/>
  <c r="EV21" i="16"/>
  <c r="EW21" i="16"/>
  <c r="EX21" i="16"/>
  <c r="EY21" i="16"/>
  <c r="EZ21" i="16"/>
  <c r="FA21" i="16"/>
  <c r="FB21" i="16"/>
  <c r="FC21" i="16"/>
  <c r="ER22" i="16"/>
  <c r="ES22" i="16"/>
  <c r="ET22" i="16"/>
  <c r="EU22" i="16"/>
  <c r="EV22" i="16"/>
  <c r="EW22" i="16"/>
  <c r="EX22" i="16"/>
  <c r="EY22" i="16"/>
  <c r="EZ22" i="16"/>
  <c r="FA22" i="16"/>
  <c r="FB22" i="16"/>
  <c r="FC22" i="16"/>
  <c r="ER23" i="16"/>
  <c r="ES23" i="16"/>
  <c r="ET23" i="16"/>
  <c r="EU23" i="16"/>
  <c r="EV23" i="16"/>
  <c r="EW23" i="16"/>
  <c r="EX23" i="16"/>
  <c r="EY23" i="16"/>
  <c r="EZ23" i="16"/>
  <c r="FA23" i="16"/>
  <c r="FB23" i="16"/>
  <c r="FC23" i="16"/>
  <c r="ER24" i="16"/>
  <c r="ES24" i="16"/>
  <c r="ET24" i="16"/>
  <c r="EU24" i="16"/>
  <c r="EV24" i="16"/>
  <c r="EW24" i="16"/>
  <c r="EX24" i="16"/>
  <c r="EY24" i="16"/>
  <c r="EZ24" i="16"/>
  <c r="FA24" i="16"/>
  <c r="FB24" i="16"/>
  <c r="FC24" i="16"/>
  <c r="ER25" i="16"/>
  <c r="ES25" i="16"/>
  <c r="ET25" i="16"/>
  <c r="EU25" i="16"/>
  <c r="EV25" i="16"/>
  <c r="EW25" i="16"/>
  <c r="EX25" i="16"/>
  <c r="EY25" i="16"/>
  <c r="EZ25" i="16"/>
  <c r="FA25" i="16"/>
  <c r="FB25" i="16"/>
  <c r="FC25" i="16"/>
  <c r="ER26" i="16"/>
  <c r="ES26" i="16"/>
  <c r="ET26" i="16"/>
  <c r="EU26" i="16"/>
  <c r="EV26" i="16"/>
  <c r="EW26" i="16"/>
  <c r="EX26" i="16"/>
  <c r="EY26" i="16"/>
  <c r="EZ26" i="16"/>
  <c r="FA26" i="16"/>
  <c r="FB26" i="16"/>
  <c r="FC26" i="16"/>
  <c r="ER27" i="16"/>
  <c r="ES27" i="16"/>
  <c r="ET27" i="16"/>
  <c r="EU27" i="16"/>
  <c r="EV27" i="16"/>
  <c r="EW27" i="16"/>
  <c r="EX27" i="16"/>
  <c r="EY27" i="16"/>
  <c r="EZ27" i="16"/>
  <c r="FA27" i="16"/>
  <c r="FB27" i="16"/>
  <c r="FC27" i="16"/>
  <c r="ER28" i="16"/>
  <c r="ES28" i="16"/>
  <c r="ET28" i="16"/>
  <c r="EU28" i="16"/>
  <c r="EV28" i="16"/>
  <c r="EW28" i="16"/>
  <c r="EX28" i="16"/>
  <c r="EY28" i="16"/>
  <c r="EZ28" i="16"/>
  <c r="FA28" i="16"/>
  <c r="FB28" i="16"/>
  <c r="FC28" i="16"/>
  <c r="ER29" i="16"/>
  <c r="ES29" i="16"/>
  <c r="ET29" i="16"/>
  <c r="EU29" i="16"/>
  <c r="EV29" i="16"/>
  <c r="EW29" i="16"/>
  <c r="EX29" i="16"/>
  <c r="EY29" i="16"/>
  <c r="EZ29" i="16"/>
  <c r="FA29" i="16"/>
  <c r="FB29" i="16"/>
  <c r="FC29" i="16"/>
  <c r="ER30" i="16"/>
  <c r="ES30" i="16"/>
  <c r="ET30" i="16"/>
  <c r="EU30" i="16"/>
  <c r="EV30" i="16"/>
  <c r="EW30" i="16"/>
  <c r="EX30" i="16"/>
  <c r="EY30" i="16"/>
  <c r="EZ30" i="16"/>
  <c r="FA30" i="16"/>
  <c r="FB30" i="16"/>
  <c r="FC30" i="16"/>
  <c r="ER31" i="16"/>
  <c r="ES31" i="16"/>
  <c r="ET31" i="16"/>
  <c r="EU31" i="16"/>
  <c r="EV31" i="16"/>
  <c r="EW31" i="16"/>
  <c r="EX31" i="16"/>
  <c r="EY31" i="16"/>
  <c r="EZ31" i="16"/>
  <c r="FA31" i="16"/>
  <c r="FB31" i="16"/>
  <c r="FC31" i="16"/>
  <c r="ER32" i="16"/>
  <c r="ES32" i="16"/>
  <c r="ET32" i="16"/>
  <c r="EU32" i="16"/>
  <c r="EV32" i="16"/>
  <c r="EW32" i="16"/>
  <c r="EX32" i="16"/>
  <c r="EY32" i="16"/>
  <c r="EZ32" i="16"/>
  <c r="FA32" i="16"/>
  <c r="FB32" i="16"/>
  <c r="FC32" i="16"/>
  <c r="ER33" i="16"/>
  <c r="ES33" i="16"/>
  <c r="ET33" i="16"/>
  <c r="EU33" i="16"/>
  <c r="EV33" i="16"/>
  <c r="EW33" i="16"/>
  <c r="EX33" i="16"/>
  <c r="EY33" i="16"/>
  <c r="EZ33" i="16"/>
  <c r="FA33" i="16"/>
  <c r="FB33" i="16"/>
  <c r="FC33" i="16"/>
  <c r="ER34" i="16"/>
  <c r="ES34" i="16"/>
  <c r="ET34" i="16"/>
  <c r="EU34" i="16"/>
  <c r="EV34" i="16"/>
  <c r="EW34" i="16"/>
  <c r="EX34" i="16"/>
  <c r="EY34" i="16"/>
  <c r="EZ34" i="16"/>
  <c r="FA34" i="16"/>
  <c r="FB34" i="16"/>
  <c r="FC34" i="16"/>
  <c r="ER35" i="16"/>
  <c r="ES35" i="16"/>
  <c r="ET35" i="16"/>
  <c r="EU35" i="16"/>
  <c r="EV35" i="16"/>
  <c r="EW35" i="16"/>
  <c r="EX35" i="16"/>
  <c r="EY35" i="16"/>
  <c r="EZ35" i="16"/>
  <c r="FA35" i="16"/>
  <c r="FB35" i="16"/>
  <c r="FC35" i="16"/>
  <c r="ER36" i="16"/>
  <c r="ES36" i="16"/>
  <c r="ET36" i="16"/>
  <c r="EU36" i="16"/>
  <c r="EV36" i="16"/>
  <c r="EW36" i="16"/>
  <c r="EX36" i="16"/>
  <c r="EY36" i="16"/>
  <c r="EZ36" i="16"/>
  <c r="FA36" i="16"/>
  <c r="FB36" i="16"/>
  <c r="FC36" i="16"/>
  <c r="ER37" i="16"/>
  <c r="ES37" i="16"/>
  <c r="ET37" i="16"/>
  <c r="EU37" i="16"/>
  <c r="EV37" i="16"/>
  <c r="EW37" i="16"/>
  <c r="EX37" i="16"/>
  <c r="EY37" i="16"/>
  <c r="EZ37" i="16"/>
  <c r="FA37" i="16"/>
  <c r="FB37" i="16"/>
  <c r="FC37" i="16"/>
  <c r="ER38" i="16"/>
  <c r="ES38" i="16"/>
  <c r="ET38" i="16"/>
  <c r="EU38" i="16"/>
  <c r="EV38" i="16"/>
  <c r="EW38" i="16"/>
  <c r="EX38" i="16"/>
  <c r="EY38" i="16"/>
  <c r="EZ38" i="16"/>
  <c r="FA38" i="16"/>
  <c r="FB38" i="16"/>
  <c r="FC38" i="16"/>
  <c r="EQ18" i="16"/>
  <c r="EQ19" i="16"/>
  <c r="EQ20" i="16"/>
  <c r="EQ21" i="16"/>
  <c r="EQ22" i="16"/>
  <c r="EQ23" i="16"/>
  <c r="EQ24" i="16"/>
  <c r="EQ25" i="16"/>
  <c r="EQ26" i="16"/>
  <c r="EQ27" i="16"/>
  <c r="EQ28" i="16"/>
  <c r="EQ29" i="16"/>
  <c r="EQ30" i="16"/>
  <c r="EQ31" i="16"/>
  <c r="EQ32" i="16"/>
  <c r="EQ33" i="16"/>
  <c r="EQ34" i="16"/>
  <c r="EQ35" i="16"/>
  <c r="EQ36" i="16"/>
  <c r="EQ37" i="16"/>
  <c r="EQ38" i="16"/>
  <c r="EQ17" i="16"/>
  <c r="EA9" i="16"/>
  <c r="EB9" i="16"/>
  <c r="EC9" i="16"/>
  <c r="ED9" i="16"/>
  <c r="EE9" i="16"/>
  <c r="EF9" i="16"/>
  <c r="EG9" i="16"/>
  <c r="DZ9" i="16"/>
  <c r="EN18" i="16"/>
  <c r="EN19" i="16"/>
  <c r="EN20" i="16"/>
  <c r="EN21" i="16"/>
  <c r="EN22" i="16"/>
  <c r="EN23" i="16"/>
  <c r="EN24" i="16"/>
  <c r="EN25" i="16"/>
  <c r="EN26" i="16"/>
  <c r="EN27" i="16"/>
  <c r="EN28" i="16"/>
  <c r="EN29" i="16"/>
  <c r="EN30" i="16"/>
  <c r="EN31" i="16"/>
  <c r="EN32" i="16"/>
  <c r="EN33" i="16"/>
  <c r="EN34" i="16"/>
  <c r="EN35" i="16"/>
  <c r="EN36" i="16"/>
  <c r="EN37" i="16"/>
  <c r="EN38" i="16"/>
  <c r="EN17" i="16"/>
  <c r="EN16" i="16"/>
  <c r="EN15" i="16"/>
  <c r="EZ14" i="16"/>
  <c r="EY14" i="16"/>
  <c r="EX14" i="16"/>
  <c r="EN14" i="16"/>
  <c r="FA12" i="16"/>
  <c r="EZ12" i="16"/>
  <c r="EY12" i="16"/>
  <c r="EX12" i="16"/>
  <c r="EW12" i="16"/>
  <c r="EV12" i="16"/>
  <c r="EU12" i="16"/>
  <c r="ET12" i="16"/>
  <c r="ES12" i="16"/>
  <c r="ER12" i="16"/>
  <c r="EQ12" i="16"/>
  <c r="FA11" i="16"/>
  <c r="EZ11" i="16"/>
  <c r="EY11" i="16"/>
  <c r="EX11" i="16"/>
  <c r="EW11" i="16"/>
  <c r="FA10" i="16"/>
  <c r="EZ10" i="16"/>
  <c r="EY10" i="16"/>
  <c r="EX10" i="16"/>
  <c r="EW10" i="16"/>
  <c r="EV10" i="16"/>
  <c r="EU10" i="16"/>
  <c r="ET10" i="16"/>
  <c r="ES10" i="16"/>
  <c r="ER10" i="16"/>
  <c r="EQ10" i="16"/>
  <c r="BM17" i="16"/>
  <c r="AW17" i="16"/>
  <c r="AH17" i="16"/>
  <c r="M14" i="1" l="1"/>
  <c r="G93" i="28"/>
  <c r="G94" i="28"/>
  <c r="G95" i="28"/>
  <c r="P15" i="1" l="1"/>
  <c r="J10" i="1"/>
  <c r="C41" i="6"/>
  <c r="C54" i="6"/>
  <c r="C56" i="6" l="1"/>
  <c r="F59" i="8"/>
  <c r="L10" i="1"/>
  <c r="L14" i="1"/>
  <c r="B2" i="31"/>
  <c r="A2" i="8" l="1"/>
  <c r="CG12" i="16"/>
  <c r="CH12" i="16"/>
  <c r="CI12" i="16"/>
  <c r="CF12" i="16"/>
  <c r="C128" i="6"/>
  <c r="CI59" i="1"/>
  <c r="O15" i="1"/>
  <c r="CS2" i="16"/>
  <c r="CD2" i="16"/>
  <c r="S2" i="16"/>
  <c r="AG2" i="1"/>
  <c r="AZ2" i="1" s="1"/>
  <c r="BQ2" i="1" s="1"/>
  <c r="CH2" i="1" s="1"/>
  <c r="G69" i="24"/>
  <c r="F27" i="23"/>
  <c r="A6" i="8" l="1"/>
  <c r="H1" i="1" l="1"/>
  <c r="BM14" i="1"/>
  <c r="BW16" i="1" l="1"/>
  <c r="BW17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4" i="1"/>
  <c r="BW45" i="1"/>
  <c r="BW15" i="1" l="1"/>
  <c r="F73" i="23" l="1"/>
  <c r="B42" i="23" l="1"/>
  <c r="F72" i="23" l="1"/>
  <c r="F71" i="23"/>
  <c r="F70" i="23"/>
  <c r="F65" i="23"/>
  <c r="F61" i="23"/>
  <c r="F62" i="23" s="1"/>
  <c r="B51" i="23"/>
  <c r="F68" i="8" l="1"/>
  <c r="BM10" i="1"/>
  <c r="F9" i="16" l="1" a="1"/>
  <c r="I9" i="16" s="1"/>
  <c r="H9" i="16" l="1"/>
  <c r="N9" i="16"/>
  <c r="L9" i="16"/>
  <c r="G9" i="16"/>
  <c r="K9" i="16"/>
  <c r="P9" i="16"/>
  <c r="O9" i="16"/>
  <c r="F9" i="16"/>
  <c r="M9" i="16"/>
  <c r="J9" i="16"/>
  <c r="C101" i="6" l="1"/>
  <c r="C67" i="6"/>
  <c r="D50" i="8" s="1"/>
  <c r="C65" i="6"/>
  <c r="B50" i="8" s="1"/>
  <c r="F14" i="8" l="1"/>
  <c r="F15" i="8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14" i="1"/>
  <c r="CO47" i="16"/>
  <c r="CP47" i="16"/>
  <c r="CO41" i="16"/>
  <c r="CP41" i="16"/>
  <c r="T10" i="16"/>
  <c r="V14" i="16"/>
  <c r="W14" i="16"/>
  <c r="X14" i="16"/>
  <c r="X15" i="16" s="1"/>
  <c r="Y14" i="16"/>
  <c r="Z14" i="16"/>
  <c r="AA14" i="16"/>
  <c r="AB14" i="16"/>
  <c r="AC14" i="16"/>
  <c r="AD14" i="16"/>
  <c r="AE14" i="16"/>
  <c r="V12" i="16"/>
  <c r="W12" i="16"/>
  <c r="X12" i="16"/>
  <c r="Y12" i="16"/>
  <c r="Z12" i="16"/>
  <c r="AA12" i="16"/>
  <c r="AB12" i="16"/>
  <c r="AC12" i="16"/>
  <c r="AD12" i="16"/>
  <c r="AE12" i="16"/>
  <c r="AE15" i="16" l="1"/>
  <c r="W15" i="16"/>
  <c r="AD15" i="16"/>
  <c r="V15" i="16"/>
  <c r="AC15" i="16"/>
  <c r="AB15" i="16"/>
  <c r="X16" i="16"/>
  <c r="X17" i="16" s="1"/>
  <c r="AA15" i="16"/>
  <c r="AE16" i="16"/>
  <c r="W16" i="16"/>
  <c r="W17" i="16" s="1"/>
  <c r="Z15" i="16"/>
  <c r="AD16" i="16"/>
  <c r="V16" i="16"/>
  <c r="Y15" i="16"/>
  <c r="E97" i="6"/>
  <c r="CQ15" i="16"/>
  <c r="CQ16" i="16"/>
  <c r="CQ17" i="16"/>
  <c r="CQ18" i="16"/>
  <c r="CQ19" i="16"/>
  <c r="CQ20" i="16"/>
  <c r="CQ21" i="16"/>
  <c r="CQ22" i="16"/>
  <c r="CQ23" i="16"/>
  <c r="CQ24" i="16"/>
  <c r="CQ25" i="16"/>
  <c r="CQ26" i="16"/>
  <c r="CQ27" i="16"/>
  <c r="CQ28" i="16"/>
  <c r="CQ29" i="16"/>
  <c r="CQ30" i="16"/>
  <c r="CQ31" i="16"/>
  <c r="CQ32" i="16"/>
  <c r="CQ33" i="16"/>
  <c r="CQ34" i="16"/>
  <c r="CQ35" i="16"/>
  <c r="CQ36" i="16"/>
  <c r="CQ37" i="16"/>
  <c r="CQ38" i="16"/>
  <c r="CQ14" i="16"/>
  <c r="Q16" i="16"/>
  <c r="Q17" i="16"/>
  <c r="Q18" i="16"/>
  <c r="H13" i="1" s="1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15" i="16"/>
  <c r="F11" i="29"/>
  <c r="EA12" i="16"/>
  <c r="EB12" i="16"/>
  <c r="EC12" i="16"/>
  <c r="ED12" i="16"/>
  <c r="EE12" i="16"/>
  <c r="EF12" i="16"/>
  <c r="EG12" i="16"/>
  <c r="EH12" i="16"/>
  <c r="EI12" i="16"/>
  <c r="EJ12" i="16"/>
  <c r="CG10" i="16"/>
  <c r="CH10" i="16"/>
  <c r="CI10" i="16"/>
  <c r="CJ10" i="16"/>
  <c r="CK10" i="16"/>
  <c r="CL10" i="16"/>
  <c r="CM10" i="16"/>
  <c r="CN10" i="16"/>
  <c r="CO10" i="16"/>
  <c r="CP10" i="16"/>
  <c r="CP11" i="16"/>
  <c r="CO11" i="16"/>
  <c r="CN11" i="16"/>
  <c r="N11" i="16" s="1"/>
  <c r="CM11" i="16"/>
  <c r="DB11" i="16" s="1"/>
  <c r="EV11" i="16" s="1"/>
  <c r="CU10" i="16"/>
  <c r="CV10" i="16"/>
  <c r="CW10" i="16"/>
  <c r="CX10" i="16"/>
  <c r="CY10" i="16"/>
  <c r="CZ10" i="16"/>
  <c r="DA10" i="16"/>
  <c r="DB10" i="16"/>
  <c r="DC10" i="16"/>
  <c r="DD10" i="16"/>
  <c r="DE10" i="16"/>
  <c r="CT10" i="16"/>
  <c r="CU9" i="16"/>
  <c r="CV9" i="16"/>
  <c r="CW9" i="16"/>
  <c r="CX9" i="16"/>
  <c r="CY9" i="16"/>
  <c r="CZ9" i="16"/>
  <c r="DA9" i="16"/>
  <c r="DB9" i="16"/>
  <c r="DC9" i="16"/>
  <c r="DD9" i="16"/>
  <c r="DE9" i="16"/>
  <c r="CT9" i="16"/>
  <c r="CV12" i="16"/>
  <c r="CW12" i="16"/>
  <c r="CX12" i="16"/>
  <c r="CJ12" i="16"/>
  <c r="CY12" i="16" s="1"/>
  <c r="CK12" i="16"/>
  <c r="CZ12" i="16" s="1"/>
  <c r="CL12" i="16"/>
  <c r="DA12" i="16" s="1"/>
  <c r="CM12" i="16"/>
  <c r="DB12" i="16" s="1"/>
  <c r="CN12" i="16"/>
  <c r="DC12" i="16" s="1"/>
  <c r="CO12" i="16"/>
  <c r="DD12" i="16" s="1"/>
  <c r="CP12" i="16"/>
  <c r="DE12" i="16" s="1"/>
  <c r="CF9" i="16"/>
  <c r="CG9" i="16"/>
  <c r="CH9" i="16"/>
  <c r="CI9" i="16"/>
  <c r="CJ9" i="16"/>
  <c r="CK9" i="16"/>
  <c r="CL9" i="16"/>
  <c r="CM9" i="16"/>
  <c r="CN9" i="16"/>
  <c r="CO9" i="16"/>
  <c r="CP9" i="16"/>
  <c r="CE9" i="16"/>
  <c r="BO9" i="16"/>
  <c r="BP9" i="16"/>
  <c r="BQ9" i="16"/>
  <c r="BR9" i="16"/>
  <c r="BS9" i="16"/>
  <c r="BT9" i="16"/>
  <c r="BU9" i="16"/>
  <c r="BV9" i="16"/>
  <c r="BW9" i="16"/>
  <c r="BX9" i="16"/>
  <c r="BY9" i="16"/>
  <c r="BN9" i="16"/>
  <c r="BP10" i="16"/>
  <c r="BQ10" i="16"/>
  <c r="BR10" i="16"/>
  <c r="BS10" i="16"/>
  <c r="BT10" i="16"/>
  <c r="BU10" i="16"/>
  <c r="BV10" i="16"/>
  <c r="BW10" i="16"/>
  <c r="BX10" i="16"/>
  <c r="BY10" i="16"/>
  <c r="BO10" i="16"/>
  <c r="AK12" i="16"/>
  <c r="AL12" i="16"/>
  <c r="AM12" i="16"/>
  <c r="AN12" i="16"/>
  <c r="AO12" i="16"/>
  <c r="AP12" i="16"/>
  <c r="AQ12" i="16"/>
  <c r="AR12" i="16"/>
  <c r="AS12" i="16"/>
  <c r="AT12" i="16"/>
  <c r="AZ12" i="16"/>
  <c r="BA12" i="16"/>
  <c r="BB12" i="16"/>
  <c r="BC12" i="16"/>
  <c r="BD12" i="16"/>
  <c r="BE12" i="16"/>
  <c r="BF12" i="16"/>
  <c r="BG12" i="16"/>
  <c r="BH12" i="16"/>
  <c r="BI12" i="16"/>
  <c r="AZ10" i="16"/>
  <c r="BA10" i="16"/>
  <c r="BB10" i="16"/>
  <c r="BC10" i="16"/>
  <c r="BD10" i="16"/>
  <c r="BE10" i="16"/>
  <c r="BF10" i="16"/>
  <c r="BG10" i="16"/>
  <c r="BH10" i="16"/>
  <c r="BI10" i="16"/>
  <c r="AY9" i="16"/>
  <c r="AZ9" i="16"/>
  <c r="BA9" i="16"/>
  <c r="BB9" i="16"/>
  <c r="BC9" i="16"/>
  <c r="BD9" i="16"/>
  <c r="BE9" i="16"/>
  <c r="BF9" i="16"/>
  <c r="BG9" i="16"/>
  <c r="BH9" i="16"/>
  <c r="BI9" i="16"/>
  <c r="AX9" i="16"/>
  <c r="AJ9" i="16"/>
  <c r="AK9" i="16"/>
  <c r="AL9" i="16"/>
  <c r="AM9" i="16"/>
  <c r="AN9" i="16"/>
  <c r="AO9" i="16"/>
  <c r="AP9" i="16"/>
  <c r="AQ9" i="16"/>
  <c r="AR9" i="16"/>
  <c r="AS9" i="16"/>
  <c r="AT9" i="16"/>
  <c r="AI9" i="16"/>
  <c r="U9" i="16"/>
  <c r="V9" i="16"/>
  <c r="W9" i="16"/>
  <c r="X9" i="16"/>
  <c r="Y9" i="16"/>
  <c r="Z9" i="16"/>
  <c r="AA9" i="16"/>
  <c r="AB9" i="16"/>
  <c r="AC9" i="16"/>
  <c r="AD9" i="16"/>
  <c r="AE9" i="16"/>
  <c r="T9" i="16"/>
  <c r="V10" i="16"/>
  <c r="W10" i="16"/>
  <c r="X10" i="16"/>
  <c r="Y10" i="16"/>
  <c r="Z10" i="16"/>
  <c r="AA10" i="16"/>
  <c r="AB10" i="16"/>
  <c r="AC10" i="16"/>
  <c r="AD10" i="16"/>
  <c r="AE10" i="16"/>
  <c r="N41" i="16"/>
  <c r="O41" i="16"/>
  <c r="N47" i="16"/>
  <c r="O47" i="16"/>
  <c r="Q10" i="16"/>
  <c r="EI10" i="16"/>
  <c r="EJ10" i="16"/>
  <c r="DS10" i="16"/>
  <c r="DT10" i="16"/>
  <c r="DD14" i="16"/>
  <c r="EI14" i="16" s="1"/>
  <c r="DE14" i="16"/>
  <c r="EJ14" i="16" s="1"/>
  <c r="BX14" i="16"/>
  <c r="BY14" i="16"/>
  <c r="BN14" i="16"/>
  <c r="AX15" i="16"/>
  <c r="BN16" i="16" s="1"/>
  <c r="BH14" i="16"/>
  <c r="BX15" i="16" s="1"/>
  <c r="BI14" i="16"/>
  <c r="BY15" i="16" s="1"/>
  <c r="AR10" i="16"/>
  <c r="AS10" i="16"/>
  <c r="AT10" i="16"/>
  <c r="AV12" i="1"/>
  <c r="X18" i="16" l="1"/>
  <c r="X19" i="16" s="1"/>
  <c r="W18" i="16"/>
  <c r="DE15" i="16"/>
  <c r="Y16" i="16"/>
  <c r="Y18" i="16" s="1"/>
  <c r="AE17" i="16"/>
  <c r="DD15" i="16"/>
  <c r="DD16" i="16" s="1"/>
  <c r="V17" i="16"/>
  <c r="V18" i="16" s="1"/>
  <c r="AD17" i="16"/>
  <c r="AC16" i="16"/>
  <c r="AB16" i="16"/>
  <c r="AE18" i="16"/>
  <c r="Y17" i="16"/>
  <c r="W19" i="16"/>
  <c r="W20" i="16" s="1"/>
  <c r="AA16" i="16"/>
  <c r="DE16" i="16"/>
  <c r="AE19" i="16"/>
  <c r="Z16" i="16"/>
  <c r="DE11" i="16"/>
  <c r="CP45" i="16"/>
  <c r="DD11" i="16"/>
  <c r="CO45" i="16"/>
  <c r="DF10" i="16"/>
  <c r="EI11" i="16"/>
  <c r="BW11" i="16"/>
  <c r="AR11" i="16"/>
  <c r="EJ11" i="16"/>
  <c r="DT11" i="16"/>
  <c r="EG11" i="16"/>
  <c r="DS11" i="16"/>
  <c r="DC11" i="16"/>
  <c r="EH11" i="16"/>
  <c r="DR11" i="16"/>
  <c r="DQ11" i="16"/>
  <c r="O11" i="16"/>
  <c r="BG11" i="16"/>
  <c r="AC11" i="16"/>
  <c r="N45" i="16"/>
  <c r="AR20" i="16" l="1"/>
  <c r="AR24" i="16"/>
  <c r="AR28" i="16"/>
  <c r="AR32" i="16"/>
  <c r="AR36" i="16"/>
  <c r="AR17" i="16"/>
  <c r="AR19" i="16"/>
  <c r="AR23" i="16"/>
  <c r="AR27" i="16"/>
  <c r="AR31" i="16"/>
  <c r="AR35" i="16"/>
  <c r="AR18" i="16"/>
  <c r="AR22" i="16"/>
  <c r="AR26" i="16"/>
  <c r="AR30" i="16"/>
  <c r="AR34" i="16"/>
  <c r="AR38" i="16"/>
  <c r="AR21" i="16"/>
  <c r="AR25" i="16"/>
  <c r="AR29" i="16"/>
  <c r="AR33" i="16"/>
  <c r="AR37" i="16"/>
  <c r="X21" i="16"/>
  <c r="X22" i="16" s="1"/>
  <c r="X20" i="16"/>
  <c r="DD17" i="16"/>
  <c r="AA17" i="16"/>
  <c r="AE20" i="16"/>
  <c r="W21" i="16"/>
  <c r="W22" i="16" s="1"/>
  <c r="AD18" i="16"/>
  <c r="AC17" i="16"/>
  <c r="AC19" i="16" s="1"/>
  <c r="Z17" i="16"/>
  <c r="DE17" i="16"/>
  <c r="DE18" i="16" s="1"/>
  <c r="V19" i="16"/>
  <c r="AB17" i="16"/>
  <c r="Y19" i="16"/>
  <c r="Z18" i="16"/>
  <c r="Z19" i="16" s="1"/>
  <c r="AC18" i="16"/>
  <c r="O45" i="16"/>
  <c r="AS11" i="16"/>
  <c r="AD11" i="16"/>
  <c r="BH11" i="16"/>
  <c r="BX11" i="16"/>
  <c r="AS21" i="16" l="1"/>
  <c r="AS25" i="16"/>
  <c r="AS29" i="16"/>
  <c r="AS33" i="16"/>
  <c r="AS37" i="16"/>
  <c r="AS27" i="16"/>
  <c r="AS23" i="16"/>
  <c r="AS35" i="16"/>
  <c r="AS20" i="16"/>
  <c r="AS24" i="16"/>
  <c r="AS28" i="16"/>
  <c r="AS32" i="16"/>
  <c r="AS36" i="16"/>
  <c r="AS31" i="16"/>
  <c r="AS17" i="16"/>
  <c r="BH18" i="16" s="1"/>
  <c r="BX19" i="16" s="1"/>
  <c r="AS19" i="16"/>
  <c r="AS26" i="16"/>
  <c r="AS34" i="16"/>
  <c r="AS38" i="16"/>
  <c r="AS18" i="16"/>
  <c r="BH19" i="16" s="1"/>
  <c r="BX20" i="16" s="1"/>
  <c r="AS22" i="16"/>
  <c r="AS30" i="16"/>
  <c r="X23" i="16"/>
  <c r="X24" i="16"/>
  <c r="DE19" i="16"/>
  <c r="X25" i="16"/>
  <c r="AD19" i="16"/>
  <c r="V20" i="16"/>
  <c r="AC21" i="16"/>
  <c r="AC22" i="16" s="1"/>
  <c r="X26" i="16"/>
  <c r="AC20" i="16"/>
  <c r="AB18" i="16"/>
  <c r="Y20" i="16"/>
  <c r="W23" i="16"/>
  <c r="Z20" i="16"/>
  <c r="AE21" i="16"/>
  <c r="AA18" i="16"/>
  <c r="DD18" i="16"/>
  <c r="AD20" i="16"/>
  <c r="BH21" i="16" s="1"/>
  <c r="BX22" i="16" s="1"/>
  <c r="AD21" i="16"/>
  <c r="AD22" i="16" s="1"/>
  <c r="AS16" i="16"/>
  <c r="BH17" i="16" s="1"/>
  <c r="BX18" i="16" s="1"/>
  <c r="AS14" i="16"/>
  <c r="AS15" i="16"/>
  <c r="BH16" i="16" s="1"/>
  <c r="BX17" i="16" s="1"/>
  <c r="BH22" i="16"/>
  <c r="BX23" i="16" s="1"/>
  <c r="BH20" i="16" l="1"/>
  <c r="BX21" i="16" s="1"/>
  <c r="AC23" i="16"/>
  <c r="AD23" i="16"/>
  <c r="BH24" i="16" s="1"/>
  <c r="BX25" i="16" s="1"/>
  <c r="BH23" i="16"/>
  <c r="BX24" i="16" s="1"/>
  <c r="X27" i="16"/>
  <c r="AB19" i="16"/>
  <c r="V21" i="16"/>
  <c r="DE20" i="16"/>
  <c r="DE21" i="16" s="1"/>
  <c r="DE22" i="16" s="1"/>
  <c r="AC24" i="16"/>
  <c r="DD19" i="16"/>
  <c r="AC25" i="16"/>
  <c r="AC26" i="16" s="1"/>
  <c r="Z22" i="16"/>
  <c r="W24" i="16"/>
  <c r="Z21" i="16"/>
  <c r="Z23" i="16" s="1"/>
  <c r="AA20" i="16"/>
  <c r="AA19" i="16"/>
  <c r="V22" i="16"/>
  <c r="AE22" i="16"/>
  <c r="Y21" i="16"/>
  <c r="Y22" i="16"/>
  <c r="Y23" i="16" s="1"/>
  <c r="AB20" i="16"/>
  <c r="BH15" i="16"/>
  <c r="Y24" i="16" l="1"/>
  <c r="Y25" i="16" s="1"/>
  <c r="Y26" i="16" s="1"/>
  <c r="Y27" i="16" s="1"/>
  <c r="AC27" i="16"/>
  <c r="Z24" i="16"/>
  <c r="V24" i="16"/>
  <c r="V25" i="16" s="1"/>
  <c r="V23" i="16"/>
  <c r="Y28" i="16"/>
  <c r="Y29" i="16" s="1"/>
  <c r="Y30" i="16" s="1"/>
  <c r="Y31" i="16" s="1"/>
  <c r="Y32" i="16" s="1"/>
  <c r="Y33" i="16" s="1"/>
  <c r="Y34" i="16" s="1"/>
  <c r="Y35" i="16" s="1"/>
  <c r="Y36" i="16" s="1"/>
  <c r="Y37" i="16" s="1"/>
  <c r="Y38" i="16" s="1"/>
  <c r="AA21" i="16"/>
  <c r="W25" i="16"/>
  <c r="W26" i="16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X29" i="16"/>
  <c r="X30" i="16" s="1"/>
  <c r="X31" i="16" s="1"/>
  <c r="X32" i="16" s="1"/>
  <c r="X33" i="16" s="1"/>
  <c r="X34" i="16" s="1"/>
  <c r="X35" i="16" s="1"/>
  <c r="X36" i="16" s="1"/>
  <c r="X37" i="16" s="1"/>
  <c r="X38" i="16" s="1"/>
  <c r="X28" i="16"/>
  <c r="AD24" i="16"/>
  <c r="AC28" i="16"/>
  <c r="AE23" i="16"/>
  <c r="AC29" i="16"/>
  <c r="AC30" i="16" s="1"/>
  <c r="AC31" i="16" s="1"/>
  <c r="AC32" i="16" s="1"/>
  <c r="AC33" i="16" s="1"/>
  <c r="AC34" i="16" s="1"/>
  <c r="AC35" i="16" s="1"/>
  <c r="AC36" i="16" s="1"/>
  <c r="AC37" i="16" s="1"/>
  <c r="AC38" i="16" s="1"/>
  <c r="Z25" i="16"/>
  <c r="Z26" i="16" s="1"/>
  <c r="Z27" i="16" s="1"/>
  <c r="Z28" i="16" s="1"/>
  <c r="Z29" i="16" s="1"/>
  <c r="Z30" i="16" s="1"/>
  <c r="Z31" i="16" s="1"/>
  <c r="Z32" i="16" s="1"/>
  <c r="Z33" i="16" s="1"/>
  <c r="Z34" i="16" s="1"/>
  <c r="Z35" i="16" s="1"/>
  <c r="Z36" i="16" s="1"/>
  <c r="Z37" i="16" s="1"/>
  <c r="Z38" i="16" s="1"/>
  <c r="AB21" i="16"/>
  <c r="DD20" i="16"/>
  <c r="DE23" i="16"/>
  <c r="BX16" i="16"/>
  <c r="V26" i="16" l="1"/>
  <c r="V27" i="16" s="1"/>
  <c r="V28" i="16" s="1"/>
  <c r="V29" i="16" s="1"/>
  <c r="V30" i="16" s="1"/>
  <c r="V31" i="16" s="1"/>
  <c r="V32" i="16" s="1"/>
  <c r="V33" i="16" s="1"/>
  <c r="V34" i="16" s="1"/>
  <c r="V35" i="16" s="1"/>
  <c r="V36" i="16" s="1"/>
  <c r="V37" i="16" s="1"/>
  <c r="V38" i="16" s="1"/>
  <c r="AE24" i="16"/>
  <c r="AE25" i="16" s="1"/>
  <c r="AB22" i="16"/>
  <c r="AB23" i="16" s="1"/>
  <c r="AB24" i="16" s="1"/>
  <c r="AA24" i="16"/>
  <c r="AA23" i="16"/>
  <c r="AA28" i="16" s="1"/>
  <c r="AA29" i="16" s="1"/>
  <c r="AA22" i="16"/>
  <c r="AD25" i="16"/>
  <c r="BH26" i="16" s="1"/>
  <c r="BX27" i="16" s="1"/>
  <c r="DE24" i="16"/>
  <c r="AA25" i="16"/>
  <c r="AA26" i="16" s="1"/>
  <c r="AA27" i="16" s="1"/>
  <c r="DD21" i="16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DD22" i="16" l="1"/>
  <c r="DD23" i="16" s="1"/>
  <c r="AA30" i="16"/>
  <c r="AA31" i="16" s="1"/>
  <c r="AA32" i="16" s="1"/>
  <c r="AA33" i="16" s="1"/>
  <c r="AA34" i="16" s="1"/>
  <c r="AA35" i="16" s="1"/>
  <c r="AA36" i="16" s="1"/>
  <c r="AA37" i="16" s="1"/>
  <c r="AA38" i="16" s="1"/>
  <c r="AE26" i="16"/>
  <c r="AE27" i="16" s="1"/>
  <c r="AE28" i="16" s="1"/>
  <c r="AE29" i="16" s="1"/>
  <c r="AE30" i="16" s="1"/>
  <c r="AE31" i="16" s="1"/>
  <c r="AE32" i="16" s="1"/>
  <c r="AE33" i="16" s="1"/>
  <c r="AE34" i="16" s="1"/>
  <c r="AE35" i="16" s="1"/>
  <c r="AE36" i="16" s="1"/>
  <c r="AE37" i="16" s="1"/>
  <c r="AE38" i="16" s="1"/>
  <c r="AE41" i="16" s="1"/>
  <c r="BH25" i="16"/>
  <c r="DE25" i="16"/>
  <c r="DE26" i="16" s="1"/>
  <c r="DE27" i="16" s="1"/>
  <c r="DE28" i="16" s="1"/>
  <c r="DE29" i="16" s="1"/>
  <c r="DE30" i="16" s="1"/>
  <c r="DE31" i="16" s="1"/>
  <c r="DE32" i="16" s="1"/>
  <c r="DE33" i="16" s="1"/>
  <c r="DE34" i="16" s="1"/>
  <c r="DE35" i="16" s="1"/>
  <c r="DE36" i="16" s="1"/>
  <c r="DE37" i="16" s="1"/>
  <c r="DE38" i="16" s="1"/>
  <c r="DE41" i="16" s="1"/>
  <c r="DE45" i="16" s="1"/>
  <c r="AD26" i="16"/>
  <c r="AB25" i="16"/>
  <c r="CH1" i="1"/>
  <c r="BQ1" i="1"/>
  <c r="DD24" i="16" l="1"/>
  <c r="DD25" i="16" s="1"/>
  <c r="DD26" i="16" s="1"/>
  <c r="AD27" i="16"/>
  <c r="BX26" i="16"/>
  <c r="AB26" i="16"/>
  <c r="AB27" i="16" s="1"/>
  <c r="AB28" i="16" s="1"/>
  <c r="AB29" i="16" s="1"/>
  <c r="AB30" i="16" s="1"/>
  <c r="AB31" i="16" s="1"/>
  <c r="AB32" i="16" s="1"/>
  <c r="AB33" i="16" s="1"/>
  <c r="AB34" i="16" s="1"/>
  <c r="AB35" i="16" s="1"/>
  <c r="AB36" i="16" s="1"/>
  <c r="AB37" i="16" s="1"/>
  <c r="AB38" i="16" s="1"/>
  <c r="BO14" i="16"/>
  <c r="BZ34" i="16"/>
  <c r="BZ35" i="16"/>
  <c r="BZ36" i="16"/>
  <c r="BZ37" i="16"/>
  <c r="BD13" i="1"/>
  <c r="BD12" i="1"/>
  <c r="BB58" i="1"/>
  <c r="BB57" i="1"/>
  <c r="BI56" i="1"/>
  <c r="BE56" i="1"/>
  <c r="BI55" i="1"/>
  <c r="BE55" i="1"/>
  <c r="BI54" i="1"/>
  <c r="BE54" i="1"/>
  <c r="BI53" i="1"/>
  <c r="BE53" i="1"/>
  <c r="BI52" i="1"/>
  <c r="BE52" i="1"/>
  <c r="BI51" i="1"/>
  <c r="BE51" i="1"/>
  <c r="BI50" i="1"/>
  <c r="BE50" i="1"/>
  <c r="BI49" i="1"/>
  <c r="BE49" i="1"/>
  <c r="BI48" i="1"/>
  <c r="BE48" i="1"/>
  <c r="BI47" i="1"/>
  <c r="BE47" i="1"/>
  <c r="BI46" i="1"/>
  <c r="BE46" i="1"/>
  <c r="BI45" i="1"/>
  <c r="BE45" i="1"/>
  <c r="BI44" i="1"/>
  <c r="BE44" i="1"/>
  <c r="BI43" i="1"/>
  <c r="BE43" i="1"/>
  <c r="BI42" i="1"/>
  <c r="BE42" i="1"/>
  <c r="BI41" i="1"/>
  <c r="BE41" i="1"/>
  <c r="BI40" i="1"/>
  <c r="BE40" i="1"/>
  <c r="BI39" i="1"/>
  <c r="BE39" i="1"/>
  <c r="BI38" i="1"/>
  <c r="BE38" i="1"/>
  <c r="BI37" i="1"/>
  <c r="BE37" i="1"/>
  <c r="BI36" i="1"/>
  <c r="BE36" i="1"/>
  <c r="BI35" i="1"/>
  <c r="BE35" i="1"/>
  <c r="BI34" i="1"/>
  <c r="BE34" i="1"/>
  <c r="BI33" i="1"/>
  <c r="BE33" i="1"/>
  <c r="BI32" i="1"/>
  <c r="BE32" i="1"/>
  <c r="BI31" i="1"/>
  <c r="BE31" i="1"/>
  <c r="BI30" i="1"/>
  <c r="BE30" i="1"/>
  <c r="BI29" i="1"/>
  <c r="BE29" i="1"/>
  <c r="BI28" i="1"/>
  <c r="BE28" i="1"/>
  <c r="BI27" i="1"/>
  <c r="BE27" i="1"/>
  <c r="BI26" i="1"/>
  <c r="BE26" i="1"/>
  <c r="BI25" i="1"/>
  <c r="BE25" i="1"/>
  <c r="BI24" i="1"/>
  <c r="BE24" i="1"/>
  <c r="BI23" i="1"/>
  <c r="BE23" i="1"/>
  <c r="BI22" i="1"/>
  <c r="BE22" i="1"/>
  <c r="BI21" i="1"/>
  <c r="BE21" i="1"/>
  <c r="BI20" i="1"/>
  <c r="BE20" i="1"/>
  <c r="BI19" i="1"/>
  <c r="BE19" i="1"/>
  <c r="BI18" i="1"/>
  <c r="BE18" i="1"/>
  <c r="BI17" i="1"/>
  <c r="BE17" i="1"/>
  <c r="BI16" i="1"/>
  <c r="BE16" i="1"/>
  <c r="BI15" i="1"/>
  <c r="BE15" i="1"/>
  <c r="BI14" i="1"/>
  <c r="BE14" i="1"/>
  <c r="BI13" i="1"/>
  <c r="BE13" i="1"/>
  <c r="BI12" i="1"/>
  <c r="BE12" i="1"/>
  <c r="BJ11" i="1"/>
  <c r="BI11" i="1"/>
  <c r="BF11" i="1"/>
  <c r="BG11" i="1" s="1"/>
  <c r="BI10" i="1"/>
  <c r="BH10" i="1"/>
  <c r="BG10" i="1"/>
  <c r="BF10" i="1"/>
  <c r="BE10" i="1"/>
  <c r="BC10" i="1"/>
  <c r="BB10" i="1"/>
  <c r="AZ1" i="1"/>
  <c r="AI57" i="1"/>
  <c r="AI58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12" i="1"/>
  <c r="DD27" i="16" l="1"/>
  <c r="DD28" i="16" s="1"/>
  <c r="DD29" i="16" s="1"/>
  <c r="DD30" i="16" s="1"/>
  <c r="DD31" i="16" s="1"/>
  <c r="DD32" i="16" s="1"/>
  <c r="DD33" i="16" s="1"/>
  <c r="DD34" i="16" s="1"/>
  <c r="DD35" i="16" s="1"/>
  <c r="DD36" i="16" s="1"/>
  <c r="DD37" i="16" s="1"/>
  <c r="DD38" i="16" s="1"/>
  <c r="DD41" i="16" s="1"/>
  <c r="DD45" i="16" s="1"/>
  <c r="BH28" i="16"/>
  <c r="BX29" i="16" s="1"/>
  <c r="AD28" i="16"/>
  <c r="BH27" i="16"/>
  <c r="BF13" i="1"/>
  <c r="BG13" i="1" s="1"/>
  <c r="BI59" i="1"/>
  <c r="BF12" i="1"/>
  <c r="BG12" i="1" s="1"/>
  <c r="AD29" i="16" l="1"/>
  <c r="BX28" i="16"/>
  <c r="AX36" i="16"/>
  <c r="BN37" i="16" s="1"/>
  <c r="AX37" i="16"/>
  <c r="BN38" i="16" s="1"/>
  <c r="AX38" i="16"/>
  <c r="AX34" i="16"/>
  <c r="BN35" i="16" s="1"/>
  <c r="AR15" i="16"/>
  <c r="AR16" i="16"/>
  <c r="BG31" i="16"/>
  <c r="BG32" i="16"/>
  <c r="BG33" i="16"/>
  <c r="BW34" i="16" s="1"/>
  <c r="BG34" i="16"/>
  <c r="BW35" i="16" s="1"/>
  <c r="BG35" i="16"/>
  <c r="BW36" i="16" s="1"/>
  <c r="BG36" i="16"/>
  <c r="BW37" i="16" s="1"/>
  <c r="BG37" i="16"/>
  <c r="BG38" i="16"/>
  <c r="AR14" i="16"/>
  <c r="U14" i="16"/>
  <c r="CV14" i="16"/>
  <c r="EA14" i="16" s="1"/>
  <c r="EQ14" i="16" s="1"/>
  <c r="CW14" i="16"/>
  <c r="EB14" i="16" s="1"/>
  <c r="ER14" i="16" s="1"/>
  <c r="CX14" i="16"/>
  <c r="EC14" i="16" s="1"/>
  <c r="ES14" i="16" s="1"/>
  <c r="CY14" i="16"/>
  <c r="ED14" i="16" s="1"/>
  <c r="ET14" i="16" s="1"/>
  <c r="CZ14" i="16"/>
  <c r="EE14" i="16" s="1"/>
  <c r="EU14" i="16" s="1"/>
  <c r="DA14" i="16"/>
  <c r="EF14" i="16" s="1"/>
  <c r="EV14" i="16" s="1"/>
  <c r="DB14" i="16"/>
  <c r="EG14" i="16" s="1"/>
  <c r="EW14" i="16" s="1"/>
  <c r="DC14" i="16"/>
  <c r="EH14" i="16" s="1"/>
  <c r="CU14" i="16"/>
  <c r="G10" i="1"/>
  <c r="E10" i="1"/>
  <c r="E1" i="1"/>
  <c r="E2" i="1"/>
  <c r="CY15" i="16" l="1"/>
  <c r="CX15" i="16"/>
  <c r="CW15" i="16"/>
  <c r="CV15" i="16"/>
  <c r="DC15" i="16"/>
  <c r="CU15" i="16"/>
  <c r="CU16" i="16" s="1"/>
  <c r="DB15" i="16"/>
  <c r="DA15" i="16"/>
  <c r="U16" i="16"/>
  <c r="U17" i="16"/>
  <c r="U15" i="16"/>
  <c r="BH30" i="16"/>
  <c r="BX31" i="16" s="1"/>
  <c r="AD30" i="16"/>
  <c r="CY16" i="16"/>
  <c r="CZ15" i="16"/>
  <c r="BH29" i="16"/>
  <c r="DZ14" i="16"/>
  <c r="AR41" i="16"/>
  <c r="AX35" i="16"/>
  <c r="BN36" i="16" s="1"/>
  <c r="E11" i="27"/>
  <c r="BX30" i="16" l="1"/>
  <c r="AD31" i="16"/>
  <c r="CW16" i="16"/>
  <c r="CW17" i="16" s="1"/>
  <c r="CX16" i="16"/>
  <c r="DA16" i="16"/>
  <c r="DA17" i="16" s="1"/>
  <c r="DC16" i="16"/>
  <c r="DC17" i="16" s="1"/>
  <c r="CV16" i="16"/>
  <c r="CU17" i="16"/>
  <c r="CZ16" i="16"/>
  <c r="CY17" i="16"/>
  <c r="DB16" i="16"/>
  <c r="U18" i="16"/>
  <c r="U19" i="16" s="1"/>
  <c r="EK14" i="16"/>
  <c r="EL14" i="16" l="1"/>
  <c r="FA14" i="16"/>
  <c r="FB14" i="16" s="1"/>
  <c r="FC14" i="16" s="1"/>
  <c r="DC18" i="16"/>
  <c r="DC19" i="16" s="1"/>
  <c r="DC20" i="16" s="1"/>
  <c r="DA18" i="16"/>
  <c r="CW18" i="16"/>
  <c r="DB17" i="16"/>
  <c r="DB18" i="16" s="1"/>
  <c r="CX17" i="16"/>
  <c r="CX18" i="16" s="1"/>
  <c r="BH32" i="16"/>
  <c r="BX33" i="16" s="1"/>
  <c r="AD32" i="16"/>
  <c r="BH31" i="16"/>
  <c r="U20" i="16"/>
  <c r="CV17" i="16"/>
  <c r="CY18" i="16"/>
  <c r="CY19" i="16" s="1"/>
  <c r="CZ17" i="16"/>
  <c r="CZ18" i="16" s="1"/>
  <c r="CU18" i="16"/>
  <c r="DA19" i="16"/>
  <c r="DF17" i="16" l="1"/>
  <c r="AD33" i="16"/>
  <c r="CZ19" i="16"/>
  <c r="CZ20" i="16"/>
  <c r="BX32" i="16"/>
  <c r="DC21" i="16"/>
  <c r="CV18" i="16"/>
  <c r="DF18" i="16" s="1"/>
  <c r="CU19" i="16"/>
  <c r="CY20" i="16"/>
  <c r="U21" i="16"/>
  <c r="CW19" i="16"/>
  <c r="CX19" i="16"/>
  <c r="DA20" i="16"/>
  <c r="DA21" i="16" s="1"/>
  <c r="CV19" i="16"/>
  <c r="DB19" i="16"/>
  <c r="CS6" i="16"/>
  <c r="CN47" i="16"/>
  <c r="CM47" i="16"/>
  <c r="CL47" i="16"/>
  <c r="CK47" i="16"/>
  <c r="CJ47" i="16"/>
  <c r="CI47" i="16"/>
  <c r="CH47" i="16"/>
  <c r="CG47" i="16"/>
  <c r="CF47" i="16"/>
  <c r="CT15" i="16"/>
  <c r="DF15" i="16" s="1"/>
  <c r="CT16" i="16"/>
  <c r="DF16" i="16" s="1"/>
  <c r="CT17" i="16"/>
  <c r="CT18" i="16"/>
  <c r="CT19" i="16"/>
  <c r="CT20" i="16"/>
  <c r="CT21" i="16"/>
  <c r="CT22" i="16"/>
  <c r="CT23" i="16"/>
  <c r="CT24" i="16"/>
  <c r="CT25" i="16"/>
  <c r="CT26" i="16"/>
  <c r="CT27" i="16"/>
  <c r="CT28" i="16"/>
  <c r="CT29" i="16"/>
  <c r="CT30" i="16"/>
  <c r="CT31" i="16"/>
  <c r="CT32" i="16"/>
  <c r="CT33" i="16"/>
  <c r="CT34" i="16"/>
  <c r="CT35" i="16"/>
  <c r="CT36" i="16"/>
  <c r="CT37" i="16"/>
  <c r="CT38" i="16"/>
  <c r="CT14" i="16"/>
  <c r="DF14" i="16" s="1"/>
  <c r="CF10" i="16"/>
  <c r="CE10" i="16"/>
  <c r="CT12" i="16"/>
  <c r="DF12" i="16"/>
  <c r="CS12" i="16"/>
  <c r="CT11" i="16"/>
  <c r="CS11" i="16"/>
  <c r="CS10" i="16"/>
  <c r="CS1" i="16"/>
  <c r="S1" i="16"/>
  <c r="DF19" i="16" l="1"/>
  <c r="CU20" i="16"/>
  <c r="CX20" i="16"/>
  <c r="CX21" i="16" s="1"/>
  <c r="DC22" i="16"/>
  <c r="BH34" i="16"/>
  <c r="BX35" i="16" s="1"/>
  <c r="AD34" i="16"/>
  <c r="CV20" i="16"/>
  <c r="BH33" i="16"/>
  <c r="CY21" i="16"/>
  <c r="DB20" i="16"/>
  <c r="DA22" i="16"/>
  <c r="DA23" i="16" s="1"/>
  <c r="DA24" i="16" s="1"/>
  <c r="CY22" i="16"/>
  <c r="CW20" i="16"/>
  <c r="U22" i="16"/>
  <c r="AF22" i="16" s="1"/>
  <c r="CZ21" i="16"/>
  <c r="CY23" i="16"/>
  <c r="CQ10" i="16"/>
  <c r="G47" i="16"/>
  <c r="H47" i="16"/>
  <c r="I47" i="16"/>
  <c r="J47" i="16"/>
  <c r="K47" i="16"/>
  <c r="L47" i="16"/>
  <c r="M47" i="16"/>
  <c r="P47" i="16"/>
  <c r="F47" i="16"/>
  <c r="U12" i="16"/>
  <c r="AF12" i="16"/>
  <c r="T12" i="16"/>
  <c r="T14" i="16"/>
  <c r="AF14" i="16" s="1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U10" i="16"/>
  <c r="S14" i="16"/>
  <c r="S6" i="16"/>
  <c r="S11" i="16"/>
  <c r="S10" i="16"/>
  <c r="CX22" i="16" l="1"/>
  <c r="DA25" i="16"/>
  <c r="DA26" i="16" s="1"/>
  <c r="DA27" i="16" s="1"/>
  <c r="DA28" i="16" s="1"/>
  <c r="DA29" i="16" s="1"/>
  <c r="CY24" i="16"/>
  <c r="BX34" i="16"/>
  <c r="CW21" i="16"/>
  <c r="CW22" i="16" s="1"/>
  <c r="CW23" i="16" s="1"/>
  <c r="CW24" i="16" s="1"/>
  <c r="CW25" i="16" s="1"/>
  <c r="CX23" i="16"/>
  <c r="DF20" i="16"/>
  <c r="CU21" i="16"/>
  <c r="CZ22" i="16"/>
  <c r="CZ23" i="16" s="1"/>
  <c r="CZ24" i="16" s="1"/>
  <c r="CZ25" i="16" s="1"/>
  <c r="CZ26" i="16" s="1"/>
  <c r="CZ27" i="16" s="1"/>
  <c r="CZ28" i="16" s="1"/>
  <c r="CZ29" i="16" s="1"/>
  <c r="CZ30" i="16" s="1"/>
  <c r="CZ31" i="16" s="1"/>
  <c r="CZ32" i="16" s="1"/>
  <c r="CZ33" i="16" s="1"/>
  <c r="CZ34" i="16" s="1"/>
  <c r="CZ35" i="16" s="1"/>
  <c r="CZ36" i="16" s="1"/>
  <c r="CZ37" i="16" s="1"/>
  <c r="CZ38" i="16" s="1"/>
  <c r="DA30" i="16"/>
  <c r="DA31" i="16" s="1"/>
  <c r="DA32" i="16" s="1"/>
  <c r="DA33" i="16" s="1"/>
  <c r="DA34" i="16" s="1"/>
  <c r="DA35" i="16" s="1"/>
  <c r="DA36" i="16" s="1"/>
  <c r="DA37" i="16" s="1"/>
  <c r="DA38" i="16" s="1"/>
  <c r="AD35" i="16"/>
  <c r="BH35" i="16"/>
  <c r="BX36" i="16" s="1"/>
  <c r="DB21" i="16"/>
  <c r="CY25" i="16"/>
  <c r="CY26" i="16"/>
  <c r="CY27" i="16" s="1"/>
  <c r="CY28" i="16" s="1"/>
  <c r="CY29" i="16" s="1"/>
  <c r="CY30" i="16" s="1"/>
  <c r="DC23" i="16"/>
  <c r="DB22" i="16"/>
  <c r="DB23" i="16" s="1"/>
  <c r="DB24" i="16" s="1"/>
  <c r="DB25" i="16" s="1"/>
  <c r="DB26" i="16" s="1"/>
  <c r="DB27" i="16" s="1"/>
  <c r="DB28" i="16" s="1"/>
  <c r="CV21" i="16"/>
  <c r="CV22" i="16" s="1"/>
  <c r="CV23" i="16" s="1"/>
  <c r="CV24" i="16" s="1"/>
  <c r="CV25" i="16" s="1"/>
  <c r="CV26" i="16" s="1"/>
  <c r="CV27" i="16" s="1"/>
  <c r="CV28" i="16" s="1"/>
  <c r="CV29" i="16" s="1"/>
  <c r="CV30" i="16" s="1"/>
  <c r="CV31" i="16" s="1"/>
  <c r="CV32" i="16" s="1"/>
  <c r="CX24" i="16"/>
  <c r="CX25" i="16" s="1"/>
  <c r="CX26" i="16" s="1"/>
  <c r="CX27" i="16" s="1"/>
  <c r="U23" i="16"/>
  <c r="AF15" i="16"/>
  <c r="T41" i="16"/>
  <c r="T45" i="16" s="1"/>
  <c r="AF18" i="16"/>
  <c r="AF21" i="16"/>
  <c r="AF20" i="16"/>
  <c r="AF19" i="16"/>
  <c r="AF17" i="16"/>
  <c r="AF16" i="16"/>
  <c r="AF10" i="16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14" i="1"/>
  <c r="B136" i="6"/>
  <c r="U13" i="1"/>
  <c r="S13" i="1"/>
  <c r="W13" i="1"/>
  <c r="U10" i="1"/>
  <c r="W10" i="1"/>
  <c r="CY31" i="16" l="1"/>
  <c r="CY32" i="16" s="1"/>
  <c r="CY33" i="16" s="1"/>
  <c r="CY34" i="16" s="1"/>
  <c r="CY35" i="16" s="1"/>
  <c r="CY36" i="16" s="1"/>
  <c r="CY37" i="16" s="1"/>
  <c r="CY38" i="16" s="1"/>
  <c r="DC24" i="16"/>
  <c r="CX28" i="16"/>
  <c r="CX29" i="16" s="1"/>
  <c r="CX30" i="16" s="1"/>
  <c r="CX31" i="16" s="1"/>
  <c r="CX32" i="16" s="1"/>
  <c r="CX33" i="16" s="1"/>
  <c r="CX34" i="16" s="1"/>
  <c r="CX35" i="16" s="1"/>
  <c r="CX36" i="16" s="1"/>
  <c r="CX37" i="16" s="1"/>
  <c r="CX38" i="16" s="1"/>
  <c r="DB29" i="16"/>
  <c r="DB30" i="16" s="1"/>
  <c r="DB31" i="16" s="1"/>
  <c r="DB32" i="16" s="1"/>
  <c r="DB33" i="16" s="1"/>
  <c r="DB34" i="16" s="1"/>
  <c r="DB35" i="16" s="1"/>
  <c r="DB36" i="16" s="1"/>
  <c r="DB37" i="16" s="1"/>
  <c r="DB38" i="16" s="1"/>
  <c r="DF21" i="16"/>
  <c r="AF23" i="16"/>
  <c r="U24" i="16"/>
  <c r="DC25" i="16"/>
  <c r="DC26" i="16" s="1"/>
  <c r="DC27" i="16" s="1"/>
  <c r="CV33" i="16"/>
  <c r="CV34" i="16" s="1"/>
  <c r="CV35" i="16" s="1"/>
  <c r="CV36" i="16" s="1"/>
  <c r="CV37" i="16" s="1"/>
  <c r="CV38" i="16" s="1"/>
  <c r="CU22" i="16"/>
  <c r="DF22" i="16" s="1"/>
  <c r="BH36" i="16"/>
  <c r="BX37" i="16" s="1"/>
  <c r="AD36" i="16"/>
  <c r="CW26" i="16"/>
  <c r="CW27" i="16" s="1"/>
  <c r="CW28" i="16" s="1"/>
  <c r="CW29" i="16" s="1"/>
  <c r="CW30" i="16" s="1"/>
  <c r="CW31" i="16" s="1"/>
  <c r="CW32" i="16" s="1"/>
  <c r="CW33" i="16" s="1"/>
  <c r="CW34" i="16" s="1"/>
  <c r="CW35" i="16" s="1"/>
  <c r="CW36" i="16" s="1"/>
  <c r="CW37" i="16" s="1"/>
  <c r="CW38" i="16" s="1"/>
  <c r="BJ10" i="29"/>
  <c r="BK10" i="29"/>
  <c r="BL10" i="29"/>
  <c r="BM10" i="29"/>
  <c r="BN10" i="29"/>
  <c r="BO10" i="29"/>
  <c r="BP10" i="29"/>
  <c r="BQ10" i="29"/>
  <c r="BI10" i="29"/>
  <c r="DC28" i="16" l="1"/>
  <c r="DC29" i="16" s="1"/>
  <c r="DC30" i="16" s="1"/>
  <c r="DC31" i="16" s="1"/>
  <c r="DC32" i="16" s="1"/>
  <c r="DC33" i="16" s="1"/>
  <c r="DC34" i="16" s="1"/>
  <c r="DC35" i="16" s="1"/>
  <c r="DC36" i="16" s="1"/>
  <c r="DC37" i="16" s="1"/>
  <c r="DC38" i="16" s="1"/>
  <c r="BH37" i="16"/>
  <c r="BX38" i="16" s="1"/>
  <c r="BX41" i="16" s="1"/>
  <c r="AD37" i="16"/>
  <c r="AF24" i="16"/>
  <c r="U25" i="16"/>
  <c r="CU23" i="16"/>
  <c r="S10" i="1"/>
  <c r="D1" i="29"/>
  <c r="D2" i="29"/>
  <c r="BG42" i="29"/>
  <c r="R42" i="29"/>
  <c r="E40" i="29"/>
  <c r="N36" i="29"/>
  <c r="BQ37" i="29" s="1"/>
  <c r="M36" i="29"/>
  <c r="BP37" i="29" s="1"/>
  <c r="L36" i="29"/>
  <c r="K36" i="29"/>
  <c r="BN37" i="29" s="1"/>
  <c r="J36" i="29"/>
  <c r="BM37" i="29" s="1"/>
  <c r="I36" i="29"/>
  <c r="H36" i="29"/>
  <c r="BK37" i="29" s="1"/>
  <c r="G36" i="29"/>
  <c r="BJ37" i="29" s="1"/>
  <c r="F36" i="29"/>
  <c r="BI37" i="29" s="1"/>
  <c r="E36" i="29"/>
  <c r="BQ33" i="29"/>
  <c r="BP33" i="29"/>
  <c r="BO33" i="29"/>
  <c r="BN33" i="29"/>
  <c r="BM33" i="29"/>
  <c r="BL33" i="29"/>
  <c r="BK33" i="29"/>
  <c r="BJ33" i="29"/>
  <c r="BI33" i="29"/>
  <c r="AE33" i="29"/>
  <c r="O33" i="29"/>
  <c r="BQ32" i="29"/>
  <c r="BP32" i="29"/>
  <c r="BO32" i="29"/>
  <c r="BN32" i="29"/>
  <c r="BM32" i="29"/>
  <c r="BL32" i="29"/>
  <c r="BK32" i="29"/>
  <c r="BJ32" i="29"/>
  <c r="BI32" i="29"/>
  <c r="AE32" i="29"/>
  <c r="O32" i="29"/>
  <c r="BQ31" i="29"/>
  <c r="BP31" i="29"/>
  <c r="BO31" i="29"/>
  <c r="BN31" i="29"/>
  <c r="BM31" i="29"/>
  <c r="BL31" i="29"/>
  <c r="BK31" i="29"/>
  <c r="BJ31" i="29"/>
  <c r="BI31" i="29"/>
  <c r="AE31" i="29"/>
  <c r="O31" i="29"/>
  <c r="BQ30" i="29"/>
  <c r="BP30" i="29"/>
  <c r="BO30" i="29"/>
  <c r="BN30" i="29"/>
  <c r="BM30" i="29"/>
  <c r="BL30" i="29"/>
  <c r="BK30" i="29"/>
  <c r="BJ30" i="29"/>
  <c r="BI30" i="29"/>
  <c r="AE30" i="29"/>
  <c r="O30" i="29"/>
  <c r="BQ29" i="29"/>
  <c r="BP29" i="29"/>
  <c r="BO29" i="29"/>
  <c r="BN29" i="29"/>
  <c r="BM29" i="29"/>
  <c r="BL29" i="29"/>
  <c r="BK29" i="29"/>
  <c r="BJ29" i="29"/>
  <c r="BI29" i="29"/>
  <c r="AE29" i="29"/>
  <c r="O29" i="29"/>
  <c r="BQ28" i="29"/>
  <c r="BP28" i="29"/>
  <c r="BO28" i="29"/>
  <c r="BN28" i="29"/>
  <c r="BM28" i="29"/>
  <c r="BL28" i="29"/>
  <c r="BK28" i="29"/>
  <c r="BJ28" i="29"/>
  <c r="BI28" i="29"/>
  <c r="AE28" i="29"/>
  <c r="O28" i="29"/>
  <c r="BQ27" i="29"/>
  <c r="BP27" i="29"/>
  <c r="BO27" i="29"/>
  <c r="BN27" i="29"/>
  <c r="BM27" i="29"/>
  <c r="BL27" i="29"/>
  <c r="BK27" i="29"/>
  <c r="BJ27" i="29"/>
  <c r="BI27" i="29"/>
  <c r="AE27" i="29"/>
  <c r="O27" i="29"/>
  <c r="BQ26" i="29"/>
  <c r="BP26" i="29"/>
  <c r="BO26" i="29"/>
  <c r="BN26" i="29"/>
  <c r="BM26" i="29"/>
  <c r="BL26" i="29"/>
  <c r="BK26" i="29"/>
  <c r="BJ26" i="29"/>
  <c r="BI26" i="29"/>
  <c r="AE26" i="29"/>
  <c r="O26" i="29"/>
  <c r="BQ25" i="29"/>
  <c r="BP25" i="29"/>
  <c r="BO25" i="29"/>
  <c r="BN25" i="29"/>
  <c r="BM25" i="29"/>
  <c r="BL25" i="29"/>
  <c r="BK25" i="29"/>
  <c r="BJ25" i="29"/>
  <c r="BI25" i="29"/>
  <c r="AE25" i="29"/>
  <c r="O25" i="29"/>
  <c r="BQ24" i="29"/>
  <c r="BP24" i="29"/>
  <c r="BO24" i="29"/>
  <c r="BN24" i="29"/>
  <c r="BM24" i="29"/>
  <c r="BL24" i="29"/>
  <c r="BK24" i="29"/>
  <c r="BJ24" i="29"/>
  <c r="BI24" i="29"/>
  <c r="AE24" i="29"/>
  <c r="O24" i="29"/>
  <c r="BQ23" i="29"/>
  <c r="BP23" i="29"/>
  <c r="BO23" i="29"/>
  <c r="BN23" i="29"/>
  <c r="BM23" i="29"/>
  <c r="BL23" i="29"/>
  <c r="BK23" i="29"/>
  <c r="BJ23" i="29"/>
  <c r="BI23" i="29"/>
  <c r="AE23" i="29"/>
  <c r="O23" i="29"/>
  <c r="BQ22" i="29"/>
  <c r="BP22" i="29"/>
  <c r="BO22" i="29"/>
  <c r="BN22" i="29"/>
  <c r="BM22" i="29"/>
  <c r="BL22" i="29"/>
  <c r="BK22" i="29"/>
  <c r="BJ22" i="29"/>
  <c r="BI22" i="29"/>
  <c r="AE22" i="29"/>
  <c r="O22" i="29"/>
  <c r="BQ21" i="29"/>
  <c r="BP21" i="29"/>
  <c r="BO21" i="29"/>
  <c r="BN21" i="29"/>
  <c r="BM21" i="29"/>
  <c r="BL21" i="29"/>
  <c r="BK21" i="29"/>
  <c r="BJ21" i="29"/>
  <c r="BI21" i="29"/>
  <c r="AE21" i="29"/>
  <c r="O21" i="29"/>
  <c r="BQ20" i="29"/>
  <c r="BP20" i="29"/>
  <c r="BO20" i="29"/>
  <c r="BN20" i="29"/>
  <c r="BM20" i="29"/>
  <c r="BL20" i="29"/>
  <c r="BK20" i="29"/>
  <c r="BJ20" i="29"/>
  <c r="BI20" i="29"/>
  <c r="AE20" i="29"/>
  <c r="O20" i="29"/>
  <c r="BQ19" i="29"/>
  <c r="BP19" i="29"/>
  <c r="BO19" i="29"/>
  <c r="BN19" i="29"/>
  <c r="BM19" i="29"/>
  <c r="BL19" i="29"/>
  <c r="BK19" i="29"/>
  <c r="BJ19" i="29"/>
  <c r="BI19" i="29"/>
  <c r="AE19" i="29"/>
  <c r="O19" i="29"/>
  <c r="BQ18" i="29"/>
  <c r="BP18" i="29"/>
  <c r="BO18" i="29"/>
  <c r="BN18" i="29"/>
  <c r="BM18" i="29"/>
  <c r="BL18" i="29"/>
  <c r="BK18" i="29"/>
  <c r="BJ18" i="29"/>
  <c r="BI18" i="29"/>
  <c r="AE18" i="29"/>
  <c r="AS21" i="29" s="1"/>
  <c r="AS36" i="29" s="1"/>
  <c r="O18" i="29"/>
  <c r="BQ17" i="29"/>
  <c r="BP17" i="29"/>
  <c r="BO17" i="29"/>
  <c r="BN17" i="29"/>
  <c r="BM17" i="29"/>
  <c r="BL17" i="29"/>
  <c r="BK17" i="29"/>
  <c r="BJ17" i="29"/>
  <c r="BI17" i="29"/>
  <c r="AE17" i="29"/>
  <c r="O17" i="29"/>
  <c r="BQ16" i="29"/>
  <c r="BP16" i="29"/>
  <c r="BO16" i="29"/>
  <c r="BN16" i="29"/>
  <c r="BM16" i="29"/>
  <c r="BL16" i="29"/>
  <c r="BK16" i="29"/>
  <c r="BJ16" i="29"/>
  <c r="BI16" i="29"/>
  <c r="AE16" i="29"/>
  <c r="O16" i="29"/>
  <c r="BQ15" i="29"/>
  <c r="BP15" i="29"/>
  <c r="BO15" i="29"/>
  <c r="BN15" i="29"/>
  <c r="BM15" i="29"/>
  <c r="BL15" i="29"/>
  <c r="BK15" i="29"/>
  <c r="BJ15" i="29"/>
  <c r="BI15" i="29"/>
  <c r="AE15" i="29"/>
  <c r="AD15" i="29"/>
  <c r="AD16" i="29" s="1"/>
  <c r="AD17" i="29" s="1"/>
  <c r="AD18" i="29" s="1"/>
  <c r="AD19" i="29" s="1"/>
  <c r="AD20" i="29" s="1"/>
  <c r="AD21" i="29" s="1"/>
  <c r="AD22" i="29" s="1"/>
  <c r="AD23" i="29" s="1"/>
  <c r="AD24" i="29" s="1"/>
  <c r="AD25" i="29" s="1"/>
  <c r="AD26" i="29" s="1"/>
  <c r="AD27" i="29" s="1"/>
  <c r="AD28" i="29" s="1"/>
  <c r="AD29" i="29" s="1"/>
  <c r="AD30" i="29" s="1"/>
  <c r="AD31" i="29" s="1"/>
  <c r="AD32" i="29" s="1"/>
  <c r="AD33" i="29" s="1"/>
  <c r="O15" i="29"/>
  <c r="D15" i="29"/>
  <c r="D16" i="29" s="1"/>
  <c r="DD14" i="29"/>
  <c r="DC14" i="29"/>
  <c r="DB14" i="29"/>
  <c r="DA14" i="29"/>
  <c r="CZ14" i="29"/>
  <c r="CY14" i="29"/>
  <c r="CX14" i="29"/>
  <c r="CW14" i="29"/>
  <c r="CV14" i="29"/>
  <c r="CQ14" i="29"/>
  <c r="CK14" i="29"/>
  <c r="CJ14" i="29"/>
  <c r="CI14" i="29"/>
  <c r="BQ14" i="29"/>
  <c r="BP14" i="29"/>
  <c r="CP14" i="29" s="1"/>
  <c r="BO14" i="29"/>
  <c r="CO14" i="29" s="1"/>
  <c r="BN14" i="29"/>
  <c r="CN14" i="29" s="1"/>
  <c r="DA15" i="29" s="1"/>
  <c r="BM14" i="29"/>
  <c r="CM14" i="29" s="1"/>
  <c r="BL14" i="29"/>
  <c r="CL14" i="29" s="1"/>
  <c r="BK14" i="29"/>
  <c r="BJ14" i="29"/>
  <c r="BI14" i="29"/>
  <c r="BG14" i="29"/>
  <c r="BT14" i="29" s="1"/>
  <c r="CG14" i="29" s="1"/>
  <c r="CT14" i="29" s="1"/>
  <c r="BB14" i="29"/>
  <c r="BA14" i="29"/>
  <c r="AZ14" i="29"/>
  <c r="AY14" i="29"/>
  <c r="AX14" i="29"/>
  <c r="AW14" i="29"/>
  <c r="AV14" i="29"/>
  <c r="AU14" i="29"/>
  <c r="AT14" i="29"/>
  <c r="AR14" i="29"/>
  <c r="AR15" i="29" s="1"/>
  <c r="AR16" i="29" s="1"/>
  <c r="AR17" i="29" s="1"/>
  <c r="AR18" i="29" s="1"/>
  <c r="AR19" i="29" s="1"/>
  <c r="AR20" i="29" s="1"/>
  <c r="AR21" i="29" s="1"/>
  <c r="AR22" i="29" s="1"/>
  <c r="AR23" i="29" s="1"/>
  <c r="AR24" i="29" s="1"/>
  <c r="AR25" i="29" s="1"/>
  <c r="AR26" i="29" s="1"/>
  <c r="AR27" i="29" s="1"/>
  <c r="AR28" i="29" s="1"/>
  <c r="AR29" i="29" s="1"/>
  <c r="AR30" i="29" s="1"/>
  <c r="AR31" i="29" s="1"/>
  <c r="AR32" i="29" s="1"/>
  <c r="AR33" i="29" s="1"/>
  <c r="AN14" i="29"/>
  <c r="AM14" i="29"/>
  <c r="AL14" i="29"/>
  <c r="AK14" i="29"/>
  <c r="AJ14" i="29"/>
  <c r="AI14" i="29"/>
  <c r="AH14" i="29"/>
  <c r="AV15" i="29" s="1"/>
  <c r="AG14" i="29"/>
  <c r="AU15" i="29" s="1"/>
  <c r="AF14" i="29"/>
  <c r="AE14" i="29"/>
  <c r="AD14" i="29"/>
  <c r="Q14" i="29"/>
  <c r="Q15" i="29" s="1"/>
  <c r="Q16" i="29" s="1"/>
  <c r="Q17" i="29" s="1"/>
  <c r="Q18" i="29" s="1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Q29" i="29" s="1"/>
  <c r="Q30" i="29" s="1"/>
  <c r="Q31" i="29" s="1"/>
  <c r="Q32" i="29" s="1"/>
  <c r="Q33" i="29" s="1"/>
  <c r="O14" i="29"/>
  <c r="DD12" i="29"/>
  <c r="DC12" i="29"/>
  <c r="DB12" i="29"/>
  <c r="DA12" i="29"/>
  <c r="CZ12" i="29"/>
  <c r="CY12" i="29"/>
  <c r="CX12" i="29"/>
  <c r="CW12" i="29"/>
  <c r="CV12" i="29"/>
  <c r="CK12" i="29"/>
  <c r="CJ12" i="29"/>
  <c r="CI12" i="29"/>
  <c r="CD12" i="29"/>
  <c r="CQ12" i="29" s="1"/>
  <c r="CC12" i="29"/>
  <c r="CP12" i="29" s="1"/>
  <c r="BX12" i="29"/>
  <c r="BV12" i="29"/>
  <c r="BQ12" i="29"/>
  <c r="BP12" i="29"/>
  <c r="BO12" i="29"/>
  <c r="CB12" i="29" s="1"/>
  <c r="BN12" i="29"/>
  <c r="CA12" i="29" s="1"/>
  <c r="BM12" i="29"/>
  <c r="BZ12" i="29" s="1"/>
  <c r="BL12" i="29"/>
  <c r="BY12" i="29" s="1"/>
  <c r="BK12" i="29"/>
  <c r="BJ12" i="29"/>
  <c r="BW12" i="29" s="1"/>
  <c r="BI12" i="29"/>
  <c r="BB12" i="29"/>
  <c r="AV12" i="29"/>
  <c r="AU12" i="29"/>
  <c r="AN12" i="29"/>
  <c r="AM12" i="29"/>
  <c r="AL12" i="29"/>
  <c r="AK12" i="29"/>
  <c r="AJ12" i="29"/>
  <c r="AI12" i="29"/>
  <c r="AH12" i="29"/>
  <c r="AG12" i="29"/>
  <c r="AF12" i="29"/>
  <c r="AA12" i="29"/>
  <c r="BA12" i="29" s="1"/>
  <c r="Z12" i="29"/>
  <c r="AZ12" i="29" s="1"/>
  <c r="Y12" i="29"/>
  <c r="AY12" i="29" s="1"/>
  <c r="X12" i="29"/>
  <c r="AX12" i="29" s="1"/>
  <c r="W12" i="29"/>
  <c r="AW12" i="29" s="1"/>
  <c r="V12" i="29"/>
  <c r="U12" i="29"/>
  <c r="T12" i="29"/>
  <c r="AT12" i="29" s="1"/>
  <c r="S12" i="29"/>
  <c r="CD11" i="29"/>
  <c r="CQ11" i="29" s="1"/>
  <c r="DD11" i="29" s="1"/>
  <c r="CC11" i="29"/>
  <c r="CP11" i="29" s="1"/>
  <c r="DC11" i="29" s="1"/>
  <c r="CB11" i="29"/>
  <c r="CO11" i="29" s="1"/>
  <c r="DB11" i="29" s="1"/>
  <c r="CA11" i="29"/>
  <c r="CN11" i="29" s="1"/>
  <c r="DA11" i="29" s="1"/>
  <c r="BZ11" i="29"/>
  <c r="CM11" i="29" s="1"/>
  <c r="CZ11" i="29" s="1"/>
  <c r="I11" i="29"/>
  <c r="V11" i="29" s="1"/>
  <c r="G11" i="29"/>
  <c r="T11" i="29" s="1"/>
  <c r="S11" i="29"/>
  <c r="N11" i="29"/>
  <c r="AA11" i="29" s="1"/>
  <c r="AA14" i="29" s="1"/>
  <c r="L11" i="29"/>
  <c r="Y11" i="29" s="1"/>
  <c r="J11" i="29"/>
  <c r="W11" i="29" s="1"/>
  <c r="DD10" i="29"/>
  <c r="DC10" i="29"/>
  <c r="DB10" i="29"/>
  <c r="DA10" i="29"/>
  <c r="CZ10" i="29"/>
  <c r="CY10" i="29"/>
  <c r="CX10" i="29"/>
  <c r="CW10" i="29"/>
  <c r="CV10" i="29"/>
  <c r="CQ10" i="29"/>
  <c r="CP10" i="29"/>
  <c r="CO10" i="29"/>
  <c r="CN10" i="29"/>
  <c r="CM10" i="29"/>
  <c r="CL10" i="29"/>
  <c r="CK10" i="29"/>
  <c r="CJ10" i="29"/>
  <c r="CI10" i="29"/>
  <c r="CD10" i="29"/>
  <c r="CC10" i="29"/>
  <c r="CB10" i="29"/>
  <c r="CA10" i="29"/>
  <c r="BZ10" i="29"/>
  <c r="BY10" i="29"/>
  <c r="BX10" i="29"/>
  <c r="BW10" i="29"/>
  <c r="BV10" i="29"/>
  <c r="AN10" i="29"/>
  <c r="AM10" i="29"/>
  <c r="AL10" i="29"/>
  <c r="AK10" i="29"/>
  <c r="AJ10" i="29"/>
  <c r="AI10" i="29"/>
  <c r="AH10" i="29"/>
  <c r="AG10" i="29"/>
  <c r="AF10" i="29"/>
  <c r="AA10" i="29"/>
  <c r="BB10" i="29" s="1"/>
  <c r="Z10" i="29"/>
  <c r="BA10" i="29" s="1"/>
  <c r="Y10" i="29"/>
  <c r="AZ10" i="29" s="1"/>
  <c r="X10" i="29"/>
  <c r="AY10" i="29" s="1"/>
  <c r="W10" i="29"/>
  <c r="AX10" i="29" s="1"/>
  <c r="V10" i="29"/>
  <c r="AW10" i="29" s="1"/>
  <c r="U10" i="29"/>
  <c r="AV10" i="29" s="1"/>
  <c r="T10" i="29"/>
  <c r="AU10" i="29" s="1"/>
  <c r="S10" i="29"/>
  <c r="AT10" i="29" s="1"/>
  <c r="O10" i="29"/>
  <c r="CT2" i="29"/>
  <c r="BT2" i="29"/>
  <c r="BG2" i="29"/>
  <c r="AD2" i="29"/>
  <c r="CT1" i="29"/>
  <c r="BT1" i="29"/>
  <c r="BG1" i="29"/>
  <c r="AD1" i="29"/>
  <c r="DF23" i="16" l="1"/>
  <c r="CU24" i="16"/>
  <c r="AF25" i="16"/>
  <c r="U26" i="16"/>
  <c r="BH38" i="16"/>
  <c r="BH41" i="16" s="1"/>
  <c r="AD38" i="16"/>
  <c r="BD10" i="29"/>
  <c r="M11" i="29"/>
  <c r="K11" i="29"/>
  <c r="K40" i="29" s="1"/>
  <c r="AA18" i="29"/>
  <c r="AN19" i="29" s="1"/>
  <c r="BB20" i="29" s="1"/>
  <c r="BV11" i="29"/>
  <c r="CI11" i="29" s="1"/>
  <c r="CV11" i="29" s="1"/>
  <c r="AA15" i="29"/>
  <c r="AN16" i="29" s="1"/>
  <c r="BB17" i="29" s="1"/>
  <c r="BR21" i="29"/>
  <c r="BR16" i="29"/>
  <c r="O36" i="29"/>
  <c r="BR37" i="29" s="1"/>
  <c r="BR24" i="29"/>
  <c r="BK36" i="29"/>
  <c r="BK38" i="29" s="1"/>
  <c r="BL36" i="29"/>
  <c r="BP36" i="29"/>
  <c r="BP38" i="29" s="1"/>
  <c r="BE14" i="29"/>
  <c r="V33" i="29"/>
  <c r="V32" i="29"/>
  <c r="AI33" i="29" s="1"/>
  <c r="V31" i="29"/>
  <c r="AI32" i="29" s="1"/>
  <c r="AW33" i="29" s="1"/>
  <c r="V30" i="29"/>
  <c r="AI31" i="29" s="1"/>
  <c r="AW32" i="29" s="1"/>
  <c r="V29" i="29"/>
  <c r="AI30" i="29" s="1"/>
  <c r="AW31" i="29" s="1"/>
  <c r="V28" i="29"/>
  <c r="AI29" i="29" s="1"/>
  <c r="AW30" i="29" s="1"/>
  <c r="V26" i="29"/>
  <c r="AI27" i="29" s="1"/>
  <c r="AW28" i="29" s="1"/>
  <c r="V25" i="29"/>
  <c r="AI26" i="29" s="1"/>
  <c r="AW27" i="29" s="1"/>
  <c r="V24" i="29"/>
  <c r="AI25" i="29" s="1"/>
  <c r="AW26" i="29" s="1"/>
  <c r="V23" i="29"/>
  <c r="AI24" i="29" s="1"/>
  <c r="AW25" i="29" s="1"/>
  <c r="V22" i="29"/>
  <c r="AI23" i="29" s="1"/>
  <c r="AW24" i="29" s="1"/>
  <c r="V21" i="29"/>
  <c r="AI22" i="29" s="1"/>
  <c r="AW23" i="29" s="1"/>
  <c r="V20" i="29"/>
  <c r="AI21" i="29" s="1"/>
  <c r="AW22" i="29" s="1"/>
  <c r="V27" i="29"/>
  <c r="AI28" i="29" s="1"/>
  <c r="AW29" i="29" s="1"/>
  <c r="V14" i="29"/>
  <c r="V19" i="29"/>
  <c r="AI20" i="29" s="1"/>
  <c r="AW21" i="29" s="1"/>
  <c r="V18" i="29"/>
  <c r="AI19" i="29" s="1"/>
  <c r="AW20" i="29" s="1"/>
  <c r="V17" i="29"/>
  <c r="AI18" i="29" s="1"/>
  <c r="AW19" i="29" s="1"/>
  <c r="V16" i="29"/>
  <c r="AI17" i="29" s="1"/>
  <c r="AW18" i="29" s="1"/>
  <c r="V15" i="29"/>
  <c r="AI16" i="29" s="1"/>
  <c r="AW17" i="29" s="1"/>
  <c r="AI11" i="29"/>
  <c r="AW11" i="29" s="1"/>
  <c r="W33" i="29"/>
  <c r="W32" i="29"/>
  <c r="AJ33" i="29" s="1"/>
  <c r="W31" i="29"/>
  <c r="AJ32" i="29" s="1"/>
  <c r="AX33" i="29" s="1"/>
  <c r="W30" i="29"/>
  <c r="AJ31" i="29" s="1"/>
  <c r="AX32" i="29" s="1"/>
  <c r="W29" i="29"/>
  <c r="AJ30" i="29" s="1"/>
  <c r="AX31" i="29" s="1"/>
  <c r="W28" i="29"/>
  <c r="AJ29" i="29" s="1"/>
  <c r="AX30" i="29" s="1"/>
  <c r="W27" i="29"/>
  <c r="AJ28" i="29" s="1"/>
  <c r="AX29" i="29" s="1"/>
  <c r="W26" i="29"/>
  <c r="AJ27" i="29" s="1"/>
  <c r="AX28" i="29" s="1"/>
  <c r="W25" i="29"/>
  <c r="AJ26" i="29" s="1"/>
  <c r="AX27" i="29" s="1"/>
  <c r="W24" i="29"/>
  <c r="AJ25" i="29" s="1"/>
  <c r="AX26" i="29" s="1"/>
  <c r="W23" i="29"/>
  <c r="AJ24" i="29" s="1"/>
  <c r="AX25" i="29" s="1"/>
  <c r="W22" i="29"/>
  <c r="AJ23" i="29" s="1"/>
  <c r="AX24" i="29" s="1"/>
  <c r="W21" i="29"/>
  <c r="AJ22" i="29" s="1"/>
  <c r="AX23" i="29" s="1"/>
  <c r="W20" i="29"/>
  <c r="AJ21" i="29" s="1"/>
  <c r="AX22" i="29" s="1"/>
  <c r="W14" i="29"/>
  <c r="W19" i="29"/>
  <c r="AJ20" i="29" s="1"/>
  <c r="AX21" i="29" s="1"/>
  <c r="W18" i="29"/>
  <c r="AJ19" i="29" s="1"/>
  <c r="AX20" i="29" s="1"/>
  <c r="W17" i="29"/>
  <c r="AJ18" i="29" s="1"/>
  <c r="AX19" i="29" s="1"/>
  <c r="W16" i="29"/>
  <c r="AJ17" i="29" s="1"/>
  <c r="AX18" i="29" s="1"/>
  <c r="W15" i="29"/>
  <c r="AJ16" i="29" s="1"/>
  <c r="AX17" i="29" s="1"/>
  <c r="AJ11" i="29"/>
  <c r="AX11" i="29" s="1"/>
  <c r="Y33" i="29"/>
  <c r="Y32" i="29"/>
  <c r="AL33" i="29" s="1"/>
  <c r="Y31" i="29"/>
  <c r="AL32" i="29" s="1"/>
  <c r="AZ33" i="29" s="1"/>
  <c r="Y30" i="29"/>
  <c r="AL31" i="29" s="1"/>
  <c r="AZ32" i="29" s="1"/>
  <c r="Y29" i="29"/>
  <c r="AL30" i="29" s="1"/>
  <c r="AZ31" i="29" s="1"/>
  <c r="Y28" i="29"/>
  <c r="AL29" i="29" s="1"/>
  <c r="AZ30" i="29" s="1"/>
  <c r="Y27" i="29"/>
  <c r="AL28" i="29" s="1"/>
  <c r="AZ29" i="29" s="1"/>
  <c r="Y26" i="29"/>
  <c r="AL27" i="29" s="1"/>
  <c r="AZ28" i="29" s="1"/>
  <c r="Y25" i="29"/>
  <c r="AL26" i="29" s="1"/>
  <c r="AZ27" i="29" s="1"/>
  <c r="Y24" i="29"/>
  <c r="AL25" i="29" s="1"/>
  <c r="AZ26" i="29" s="1"/>
  <c r="Y23" i="29"/>
  <c r="AL24" i="29" s="1"/>
  <c r="AZ25" i="29" s="1"/>
  <c r="Y22" i="29"/>
  <c r="AL23" i="29" s="1"/>
  <c r="AZ24" i="29" s="1"/>
  <c r="Y21" i="29"/>
  <c r="AL22" i="29" s="1"/>
  <c r="AZ23" i="29" s="1"/>
  <c r="Y20" i="29"/>
  <c r="AL21" i="29" s="1"/>
  <c r="AZ22" i="29" s="1"/>
  <c r="Y14" i="29"/>
  <c r="Y19" i="29"/>
  <c r="AL20" i="29" s="1"/>
  <c r="AZ21" i="29" s="1"/>
  <c r="Y18" i="29"/>
  <c r="AL19" i="29" s="1"/>
  <c r="AZ20" i="29" s="1"/>
  <c r="Y17" i="29"/>
  <c r="AL18" i="29" s="1"/>
  <c r="AZ19" i="29" s="1"/>
  <c r="Y16" i="29"/>
  <c r="AL17" i="29" s="1"/>
  <c r="AZ18" i="29" s="1"/>
  <c r="Y15" i="29"/>
  <c r="AL16" i="29" s="1"/>
  <c r="AZ17" i="29" s="1"/>
  <c r="AL11" i="29"/>
  <c r="AZ11" i="29" s="1"/>
  <c r="AN15" i="29"/>
  <c r="BB16" i="29" s="1"/>
  <c r="S33" i="29"/>
  <c r="S32" i="29"/>
  <c r="S31" i="29"/>
  <c r="S30" i="29"/>
  <c r="S29" i="29"/>
  <c r="S28" i="29"/>
  <c r="S27" i="29"/>
  <c r="S24" i="29"/>
  <c r="S21" i="29"/>
  <c r="AF11" i="29"/>
  <c r="AT11" i="29" s="1"/>
  <c r="S22" i="29"/>
  <c r="S25" i="29"/>
  <c r="S18" i="29"/>
  <c r="S14" i="29"/>
  <c r="S15" i="29"/>
  <c r="S26" i="29"/>
  <c r="S16" i="29"/>
  <c r="S19" i="29"/>
  <c r="S23" i="29"/>
  <c r="S20" i="29"/>
  <c r="S17" i="29"/>
  <c r="R43" i="29" s="1"/>
  <c r="T32" i="29"/>
  <c r="AG33" i="29" s="1"/>
  <c r="T30" i="29"/>
  <c r="AG31" i="29" s="1"/>
  <c r="AU32" i="29" s="1"/>
  <c r="T28" i="29"/>
  <c r="AG29" i="29" s="1"/>
  <c r="AU30" i="29" s="1"/>
  <c r="T33" i="29"/>
  <c r="T31" i="29"/>
  <c r="AG32" i="29" s="1"/>
  <c r="AU33" i="29" s="1"/>
  <c r="T29" i="29"/>
  <c r="AG30" i="29" s="1"/>
  <c r="AU31" i="29" s="1"/>
  <c r="T26" i="29"/>
  <c r="AG27" i="29" s="1"/>
  <c r="AU28" i="29" s="1"/>
  <c r="T25" i="29"/>
  <c r="AG26" i="29" s="1"/>
  <c r="AU27" i="29" s="1"/>
  <c r="T24" i="29"/>
  <c r="AG25" i="29" s="1"/>
  <c r="AU26" i="29" s="1"/>
  <c r="T23" i="29"/>
  <c r="AG24" i="29" s="1"/>
  <c r="AU25" i="29" s="1"/>
  <c r="T22" i="29"/>
  <c r="AG23" i="29" s="1"/>
  <c r="AU24" i="29" s="1"/>
  <c r="T21" i="29"/>
  <c r="AG22" i="29" s="1"/>
  <c r="AU23" i="29" s="1"/>
  <c r="AG11" i="29"/>
  <c r="AU11" i="29" s="1"/>
  <c r="T20" i="29"/>
  <c r="AG21" i="29" s="1"/>
  <c r="AU22" i="29" s="1"/>
  <c r="T14" i="29"/>
  <c r="M40" i="29"/>
  <c r="Z11" i="29"/>
  <c r="AX15" i="29"/>
  <c r="AA33" i="29"/>
  <c r="AA32" i="29"/>
  <c r="AN33" i="29" s="1"/>
  <c r="AA31" i="29"/>
  <c r="AN32" i="29" s="1"/>
  <c r="BB33" i="29" s="1"/>
  <c r="AA30" i="29"/>
  <c r="AN31" i="29" s="1"/>
  <c r="BB32" i="29" s="1"/>
  <c r="AA29" i="29"/>
  <c r="AN30" i="29" s="1"/>
  <c r="BB31" i="29" s="1"/>
  <c r="AA28" i="29"/>
  <c r="AN29" i="29" s="1"/>
  <c r="BB30" i="29" s="1"/>
  <c r="AA27" i="29"/>
  <c r="AN28" i="29" s="1"/>
  <c r="BB29" i="29" s="1"/>
  <c r="AA26" i="29"/>
  <c r="AN27" i="29" s="1"/>
  <c r="BB28" i="29" s="1"/>
  <c r="AA22" i="29"/>
  <c r="AN23" i="29" s="1"/>
  <c r="BB24" i="29" s="1"/>
  <c r="AN11" i="29"/>
  <c r="BB11" i="29" s="1"/>
  <c r="AA25" i="29"/>
  <c r="AN26" i="29" s="1"/>
  <c r="BB27" i="29" s="1"/>
  <c r="AA23" i="29"/>
  <c r="AN24" i="29" s="1"/>
  <c r="BB25" i="29" s="1"/>
  <c r="AA20" i="29"/>
  <c r="AN21" i="29" s="1"/>
  <c r="BB22" i="29" s="1"/>
  <c r="AY15" i="29"/>
  <c r="DC15" i="29"/>
  <c r="DB15" i="29"/>
  <c r="T17" i="29"/>
  <c r="AG18" i="29" s="1"/>
  <c r="AU19" i="29" s="1"/>
  <c r="BR18" i="29"/>
  <c r="AA21" i="29"/>
  <c r="AN22" i="29" s="1"/>
  <c r="BB23" i="29" s="1"/>
  <c r="AA24" i="29"/>
  <c r="AN25" i="29" s="1"/>
  <c r="BB26" i="29" s="1"/>
  <c r="D17" i="29"/>
  <c r="BG16" i="29"/>
  <c r="BT16" i="29" s="1"/>
  <c r="BR15" i="29"/>
  <c r="AA17" i="29"/>
  <c r="AN18" i="29" s="1"/>
  <c r="BB19" i="29" s="1"/>
  <c r="BR26" i="29"/>
  <c r="AP14" i="29"/>
  <c r="BR14" i="29"/>
  <c r="CV15" i="29"/>
  <c r="BN36" i="29"/>
  <c r="T19" i="29"/>
  <c r="AG20" i="29" s="1"/>
  <c r="AU21" i="29" s="1"/>
  <c r="BR19" i="29"/>
  <c r="AB10" i="29"/>
  <c r="CZ15" i="29"/>
  <c r="DD15" i="29"/>
  <c r="T18" i="29"/>
  <c r="AG19" i="29" s="1"/>
  <c r="AU20" i="29" s="1"/>
  <c r="AP10" i="29"/>
  <c r="H11" i="29"/>
  <c r="U11" i="29" s="1"/>
  <c r="BX11" i="29"/>
  <c r="CK11" i="29" s="1"/>
  <c r="CX11" i="29" s="1"/>
  <c r="AW15" i="29"/>
  <c r="X11" i="29"/>
  <c r="CW15" i="29"/>
  <c r="T16" i="29"/>
  <c r="AG17" i="29" s="1"/>
  <c r="AU18" i="29" s="1"/>
  <c r="BO36" i="29"/>
  <c r="BR17" i="29"/>
  <c r="AA19" i="29"/>
  <c r="AN20" i="29" s="1"/>
  <c r="BB21" i="29" s="1"/>
  <c r="T27" i="29"/>
  <c r="AG28" i="29" s="1"/>
  <c r="AU29" i="29" s="1"/>
  <c r="BW11" i="29"/>
  <c r="BD14" i="29"/>
  <c r="CR14" i="29"/>
  <c r="CY15" i="29"/>
  <c r="CX15" i="29"/>
  <c r="T15" i="29"/>
  <c r="AG16" i="29" s="1"/>
  <c r="AU17" i="29" s="1"/>
  <c r="AA16" i="29"/>
  <c r="AN17" i="29" s="1"/>
  <c r="BB18" i="29" s="1"/>
  <c r="BG15" i="29"/>
  <c r="BT15" i="29" s="1"/>
  <c r="BP41" i="29"/>
  <c r="BI36" i="29"/>
  <c r="BQ36" i="29"/>
  <c r="BR23" i="29"/>
  <c r="BY11" i="29"/>
  <c r="CL11" i="29" s="1"/>
  <c r="CY11" i="29" s="1"/>
  <c r="DE14" i="29"/>
  <c r="BJ36" i="29"/>
  <c r="AZ15" i="29"/>
  <c r="BK41" i="29"/>
  <c r="BR20" i="29"/>
  <c r="BR25" i="29"/>
  <c r="BA15" i="29"/>
  <c r="BL41" i="29"/>
  <c r="BR22" i="29"/>
  <c r="AT15" i="29"/>
  <c r="BB15" i="29"/>
  <c r="BM36" i="29"/>
  <c r="BL37" i="29"/>
  <c r="BL38" i="29" s="1"/>
  <c r="I40" i="29"/>
  <c r="J40" i="29"/>
  <c r="L40" i="29"/>
  <c r="F40" i="29"/>
  <c r="N40" i="29"/>
  <c r="BO37" i="29"/>
  <c r="G40" i="29"/>
  <c r="BR27" i="29"/>
  <c r="BR28" i="29"/>
  <c r="BR29" i="29"/>
  <c r="BR30" i="29"/>
  <c r="BR31" i="29"/>
  <c r="BR32" i="29"/>
  <c r="BR33" i="29"/>
  <c r="AS41" i="16" l="1"/>
  <c r="AD41" i="16"/>
  <c r="AD45" i="16" s="1"/>
  <c r="AF26" i="16"/>
  <c r="U27" i="16"/>
  <c r="DF24" i="16"/>
  <c r="CU25" i="16"/>
  <c r="H40" i="29"/>
  <c r="BB36" i="29"/>
  <c r="DE15" i="29"/>
  <c r="AN36" i="29"/>
  <c r="D18" i="29"/>
  <c r="BG17" i="29"/>
  <c r="BT17" i="29" s="1"/>
  <c r="AF29" i="29"/>
  <c r="BJ38" i="29"/>
  <c r="BJ41" i="29"/>
  <c r="X33" i="29"/>
  <c r="X32" i="29"/>
  <c r="AK33" i="29" s="1"/>
  <c r="X31" i="29"/>
  <c r="AK32" i="29" s="1"/>
  <c r="AY33" i="29" s="1"/>
  <c r="X30" i="29"/>
  <c r="AK31" i="29" s="1"/>
  <c r="AY32" i="29" s="1"/>
  <c r="X29" i="29"/>
  <c r="AK30" i="29" s="1"/>
  <c r="AY31" i="29" s="1"/>
  <c r="X28" i="29"/>
  <c r="AK29" i="29" s="1"/>
  <c r="AY30" i="29" s="1"/>
  <c r="X27" i="29"/>
  <c r="AK28" i="29" s="1"/>
  <c r="AY29" i="29" s="1"/>
  <c r="X26" i="29"/>
  <c r="AK27" i="29" s="1"/>
  <c r="AY28" i="29" s="1"/>
  <c r="X25" i="29"/>
  <c r="AK26" i="29" s="1"/>
  <c r="AY27" i="29" s="1"/>
  <c r="X24" i="29"/>
  <c r="AK25" i="29" s="1"/>
  <c r="AY26" i="29" s="1"/>
  <c r="X23" i="29"/>
  <c r="AK24" i="29" s="1"/>
  <c r="AY25" i="29" s="1"/>
  <c r="X22" i="29"/>
  <c r="AK23" i="29" s="1"/>
  <c r="AY24" i="29" s="1"/>
  <c r="X21" i="29"/>
  <c r="AK22" i="29" s="1"/>
  <c r="AY23" i="29" s="1"/>
  <c r="X20" i="29"/>
  <c r="AK21" i="29" s="1"/>
  <c r="AY22" i="29" s="1"/>
  <c r="X14" i="29"/>
  <c r="X19" i="29"/>
  <c r="AK20" i="29" s="1"/>
  <c r="AY21" i="29" s="1"/>
  <c r="X18" i="29"/>
  <c r="AK19" i="29" s="1"/>
  <c r="AY20" i="29" s="1"/>
  <c r="X17" i="29"/>
  <c r="AK18" i="29" s="1"/>
  <c r="AY19" i="29" s="1"/>
  <c r="X16" i="29"/>
  <c r="AK17" i="29" s="1"/>
  <c r="AY18" i="29" s="1"/>
  <c r="X15" i="29"/>
  <c r="AK16" i="29" s="1"/>
  <c r="AY17" i="29" s="1"/>
  <c r="AK11" i="29"/>
  <c r="AY11" i="29" s="1"/>
  <c r="U33" i="29"/>
  <c r="AB33" i="29" s="1"/>
  <c r="U32" i="29"/>
  <c r="AH33" i="29" s="1"/>
  <c r="U31" i="29"/>
  <c r="AH32" i="29" s="1"/>
  <c r="AV33" i="29" s="1"/>
  <c r="U30" i="29"/>
  <c r="AH31" i="29" s="1"/>
  <c r="AV32" i="29" s="1"/>
  <c r="U29" i="29"/>
  <c r="AH30" i="29" s="1"/>
  <c r="AV31" i="29" s="1"/>
  <c r="U28" i="29"/>
  <c r="AH29" i="29" s="1"/>
  <c r="AV30" i="29" s="1"/>
  <c r="U27" i="29"/>
  <c r="AH28" i="29" s="1"/>
  <c r="AV29" i="29" s="1"/>
  <c r="U26" i="29"/>
  <c r="AH27" i="29" s="1"/>
  <c r="AV28" i="29" s="1"/>
  <c r="U25" i="29"/>
  <c r="AH26" i="29" s="1"/>
  <c r="AV27" i="29" s="1"/>
  <c r="U24" i="29"/>
  <c r="AH25" i="29" s="1"/>
  <c r="AV26" i="29" s="1"/>
  <c r="U23" i="29"/>
  <c r="AH24" i="29" s="1"/>
  <c r="AV25" i="29" s="1"/>
  <c r="U22" i="29"/>
  <c r="AH23" i="29" s="1"/>
  <c r="AV24" i="29" s="1"/>
  <c r="U21" i="29"/>
  <c r="AH22" i="29" s="1"/>
  <c r="AV23" i="29" s="1"/>
  <c r="U20" i="29"/>
  <c r="AH21" i="29" s="1"/>
  <c r="AV22" i="29" s="1"/>
  <c r="U14" i="29"/>
  <c r="U19" i="29"/>
  <c r="AH20" i="29" s="1"/>
  <c r="AV21" i="29" s="1"/>
  <c r="U18" i="29"/>
  <c r="AH19" i="29" s="1"/>
  <c r="AV20" i="29" s="1"/>
  <c r="U17" i="29"/>
  <c r="AH18" i="29" s="1"/>
  <c r="AV19" i="29" s="1"/>
  <c r="U16" i="29"/>
  <c r="AH17" i="29" s="1"/>
  <c r="AV18" i="29" s="1"/>
  <c r="U15" i="29"/>
  <c r="AH16" i="29" s="1"/>
  <c r="AV17" i="29" s="1"/>
  <c r="AH11" i="29"/>
  <c r="AV11" i="29" s="1"/>
  <c r="AF18" i="29"/>
  <c r="AF19" i="29"/>
  <c r="AF30" i="29"/>
  <c r="V36" i="29"/>
  <c r="AI15" i="29"/>
  <c r="AG15" i="29"/>
  <c r="T36" i="29"/>
  <c r="AF21" i="29"/>
  <c r="AF26" i="29"/>
  <c r="AF31" i="29"/>
  <c r="O40" i="29"/>
  <c r="BM41" i="29"/>
  <c r="BM38" i="29"/>
  <c r="AF24" i="29"/>
  <c r="AF23" i="29"/>
  <c r="AF32" i="29"/>
  <c r="AF20" i="29"/>
  <c r="AF33" i="29"/>
  <c r="W36" i="29"/>
  <c r="AJ15" i="29"/>
  <c r="S36" i="29"/>
  <c r="AF15" i="29"/>
  <c r="BD15" i="29"/>
  <c r="BW17" i="29"/>
  <c r="BW16" i="29"/>
  <c r="BW15" i="29"/>
  <c r="CJ11" i="29"/>
  <c r="CW11" i="29" s="1"/>
  <c r="BO38" i="29"/>
  <c r="BO41" i="29"/>
  <c r="BR36" i="29"/>
  <c r="BR38" i="29" s="1"/>
  <c r="AF17" i="29"/>
  <c r="AF22" i="29"/>
  <c r="BQ38" i="29"/>
  <c r="BQ41" i="29"/>
  <c r="AF27" i="29"/>
  <c r="AF25" i="29"/>
  <c r="Y36" i="29"/>
  <c r="AL15" i="29"/>
  <c r="Z33" i="29"/>
  <c r="Z32" i="29"/>
  <c r="AM33" i="29" s="1"/>
  <c r="Z31" i="29"/>
  <c r="AM32" i="29" s="1"/>
  <c r="BA33" i="29" s="1"/>
  <c r="Z30" i="29"/>
  <c r="AM31" i="29" s="1"/>
  <c r="BA32" i="29" s="1"/>
  <c r="Z29" i="29"/>
  <c r="AM30" i="29" s="1"/>
  <c r="BA31" i="29" s="1"/>
  <c r="Z21" i="29"/>
  <c r="AM22" i="29" s="1"/>
  <c r="BA23" i="29" s="1"/>
  <c r="Z20" i="29"/>
  <c r="AM21" i="29" s="1"/>
  <c r="BA22" i="29" s="1"/>
  <c r="Z27" i="29"/>
  <c r="AM28" i="29" s="1"/>
  <c r="BA29" i="29" s="1"/>
  <c r="Z24" i="29"/>
  <c r="AM25" i="29" s="1"/>
  <c r="BA26" i="29" s="1"/>
  <c r="Z19" i="29"/>
  <c r="AM20" i="29" s="1"/>
  <c r="BA21" i="29" s="1"/>
  <c r="Z18" i="29"/>
  <c r="AM19" i="29" s="1"/>
  <c r="BA20" i="29" s="1"/>
  <c r="Z17" i="29"/>
  <c r="AM18" i="29" s="1"/>
  <c r="BA19" i="29" s="1"/>
  <c r="Z16" i="29"/>
  <c r="AM17" i="29" s="1"/>
  <c r="BA18" i="29" s="1"/>
  <c r="Z15" i="29"/>
  <c r="AM16" i="29" s="1"/>
  <c r="BA17" i="29" s="1"/>
  <c r="Z22" i="29"/>
  <c r="AM23" i="29" s="1"/>
  <c r="BA24" i="29" s="1"/>
  <c r="AM11" i="29"/>
  <c r="BA11" i="29" s="1"/>
  <c r="Z25" i="29"/>
  <c r="AM26" i="29" s="1"/>
  <c r="BA27" i="29" s="1"/>
  <c r="Z23" i="29"/>
  <c r="AM24" i="29" s="1"/>
  <c r="BA25" i="29" s="1"/>
  <c r="Z26" i="29"/>
  <c r="AM27" i="29" s="1"/>
  <c r="BA28" i="29" s="1"/>
  <c r="Z14" i="29"/>
  <c r="Z28" i="29"/>
  <c r="AM29" i="29" s="1"/>
  <c r="BA30" i="29" s="1"/>
  <c r="BI38" i="29"/>
  <c r="BI41" i="29"/>
  <c r="CG15" i="29"/>
  <c r="CT15" i="29" s="1"/>
  <c r="BV15" i="29"/>
  <c r="BN38" i="29"/>
  <c r="BN41" i="29"/>
  <c r="CG16" i="29"/>
  <c r="CT16" i="29" s="1"/>
  <c r="BV16" i="29"/>
  <c r="AF16" i="29"/>
  <c r="AF28" i="29"/>
  <c r="AA36" i="29"/>
  <c r="DF25" i="16" l="1"/>
  <c r="CU26" i="16"/>
  <c r="AF27" i="16"/>
  <c r="U28" i="16"/>
  <c r="AB15" i="29"/>
  <c r="CZ41" i="16"/>
  <c r="CY41" i="16"/>
  <c r="DA41" i="16"/>
  <c r="AB28" i="29"/>
  <c r="AB27" i="29"/>
  <c r="BR41" i="29"/>
  <c r="AT29" i="29"/>
  <c r="BD29" i="29" s="1"/>
  <c r="AP28" i="29"/>
  <c r="AZ16" i="29"/>
  <c r="AZ36" i="29" s="1"/>
  <c r="AL36" i="29"/>
  <c r="BY17" i="29"/>
  <c r="CJ17" i="29"/>
  <c r="CW18" i="29" s="1"/>
  <c r="AT33" i="29"/>
  <c r="BD33" i="29" s="1"/>
  <c r="AP32" i="29"/>
  <c r="AB18" i="29"/>
  <c r="AX16" i="29"/>
  <c r="AX36" i="29" s="1"/>
  <c r="AJ36" i="29"/>
  <c r="AT17" i="29"/>
  <c r="BD17" i="29" s="1"/>
  <c r="AP16" i="29"/>
  <c r="AB24" i="29"/>
  <c r="AB21" i="29"/>
  <c r="AT24" i="29"/>
  <c r="BD24" i="29" s="1"/>
  <c r="AP23" i="29"/>
  <c r="AB30" i="29"/>
  <c r="AB17" i="29"/>
  <c r="U36" i="29"/>
  <c r="AH15" i="29"/>
  <c r="AT30" i="29"/>
  <c r="BD30" i="29" s="1"/>
  <c r="AP29" i="29"/>
  <c r="BX16" i="29"/>
  <c r="CI16" i="29"/>
  <c r="AT26" i="29"/>
  <c r="BD26" i="29" s="1"/>
  <c r="AP25" i="29"/>
  <c r="AT23" i="29"/>
  <c r="BD23" i="29" s="1"/>
  <c r="AP22" i="29"/>
  <c r="AB32" i="29"/>
  <c r="AB23" i="29"/>
  <c r="AT32" i="29"/>
  <c r="BD32" i="29" s="1"/>
  <c r="AP31" i="29"/>
  <c r="AT19" i="29"/>
  <c r="BD19" i="29" s="1"/>
  <c r="AP18" i="29"/>
  <c r="CG17" i="29"/>
  <c r="CT17" i="29" s="1"/>
  <c r="BV17" i="29"/>
  <c r="AB22" i="29"/>
  <c r="AB26" i="29"/>
  <c r="AB16" i="29"/>
  <c r="AP33" i="29"/>
  <c r="AT25" i="29"/>
  <c r="BD25" i="29" s="1"/>
  <c r="AP24" i="29"/>
  <c r="AB25" i="29"/>
  <c r="AW16" i="29"/>
  <c r="AW36" i="29" s="1"/>
  <c r="AI36" i="29"/>
  <c r="D19" i="29"/>
  <c r="BG18" i="29"/>
  <c r="BT18" i="29" s="1"/>
  <c r="AU16" i="29"/>
  <c r="AU36" i="29" s="1"/>
  <c r="AG36" i="29"/>
  <c r="Z36" i="29"/>
  <c r="AM15" i="29"/>
  <c r="AT28" i="29"/>
  <c r="BD28" i="29" s="1"/>
  <c r="AP27" i="29"/>
  <c r="AT18" i="29"/>
  <c r="BD18" i="29" s="1"/>
  <c r="AP17" i="29"/>
  <c r="AB19" i="29"/>
  <c r="AP26" i="29"/>
  <c r="AT27" i="29"/>
  <c r="BD27" i="29" s="1"/>
  <c r="CJ15" i="29"/>
  <c r="BY15" i="29"/>
  <c r="AB14" i="29"/>
  <c r="AT21" i="29"/>
  <c r="BD21" i="29" s="1"/>
  <c r="AP20" i="29"/>
  <c r="AB20" i="29"/>
  <c r="AB29" i="29"/>
  <c r="AT20" i="29"/>
  <c r="BD20" i="29" s="1"/>
  <c r="AP19" i="29"/>
  <c r="CI15" i="29"/>
  <c r="BX15" i="29"/>
  <c r="CJ16" i="29"/>
  <c r="CW17" i="29" s="1"/>
  <c r="BY16" i="29"/>
  <c r="AT16" i="29"/>
  <c r="AF36" i="29"/>
  <c r="AB31" i="29"/>
  <c r="AT22" i="29"/>
  <c r="BD22" i="29" s="1"/>
  <c r="AP21" i="29"/>
  <c r="AT31" i="29"/>
  <c r="BD31" i="29" s="1"/>
  <c r="AP30" i="29"/>
  <c r="X36" i="29"/>
  <c r="AK15" i="29"/>
  <c r="AF28" i="16" l="1"/>
  <c r="U29" i="16"/>
  <c r="DF26" i="16"/>
  <c r="CU27" i="16"/>
  <c r="CX41" i="16"/>
  <c r="DC41" i="16"/>
  <c r="DC45" i="16" s="1"/>
  <c r="CK15" i="29"/>
  <c r="BZ15" i="29"/>
  <c r="CM15" i="29" s="1"/>
  <c r="AB36" i="29"/>
  <c r="CV16" i="29"/>
  <c r="CL15" i="29"/>
  <c r="CA15" i="29"/>
  <c r="BX17" i="29"/>
  <c r="CI17" i="29"/>
  <c r="AV16" i="29"/>
  <c r="AV36" i="29" s="1"/>
  <c r="AH36" i="29"/>
  <c r="CL17" i="29"/>
  <c r="CY18" i="29" s="1"/>
  <c r="CA17" i="29"/>
  <c r="CW16" i="29"/>
  <c r="BA16" i="29"/>
  <c r="BA36" i="29" s="1"/>
  <c r="AM36" i="29"/>
  <c r="AY16" i="29"/>
  <c r="AY36" i="29" s="1"/>
  <c r="AK36" i="29"/>
  <c r="BE15" i="29"/>
  <c r="AP15" i="29"/>
  <c r="AP36" i="29" s="1"/>
  <c r="AT36" i="29"/>
  <c r="CV17" i="29"/>
  <c r="D20" i="29"/>
  <c r="BG19" i="29"/>
  <c r="BT19" i="29" s="1"/>
  <c r="CL16" i="29"/>
  <c r="CY17" i="29" s="1"/>
  <c r="CA16" i="29"/>
  <c r="CG18" i="29"/>
  <c r="CT18" i="29" s="1"/>
  <c r="BV18" i="29"/>
  <c r="BW18" i="29"/>
  <c r="CK16" i="29"/>
  <c r="CX17" i="29" s="1"/>
  <c r="BZ16" i="29"/>
  <c r="CM16" i="29" s="1"/>
  <c r="CZ17" i="29" s="1"/>
  <c r="DF27" i="16" l="1"/>
  <c r="CU28" i="16"/>
  <c r="AF29" i="16"/>
  <c r="U30" i="16"/>
  <c r="CV41" i="16"/>
  <c r="X41" i="16"/>
  <c r="BE16" i="29"/>
  <c r="BE17" i="29" s="1"/>
  <c r="BE18" i="29" s="1"/>
  <c r="BE19" i="29" s="1"/>
  <c r="BE20" i="29" s="1"/>
  <c r="BE21" i="29" s="1"/>
  <c r="BE22" i="29" s="1"/>
  <c r="BE23" i="29" s="1"/>
  <c r="BE24" i="29" s="1"/>
  <c r="BE25" i="29" s="1"/>
  <c r="BE26" i="29" s="1"/>
  <c r="BE27" i="29" s="1"/>
  <c r="BE28" i="29" s="1"/>
  <c r="BE29" i="29" s="1"/>
  <c r="BE30" i="29" s="1"/>
  <c r="BE31" i="29" s="1"/>
  <c r="BE32" i="29" s="1"/>
  <c r="BE33" i="29" s="1"/>
  <c r="BD16" i="29"/>
  <c r="BD36" i="29" s="1"/>
  <c r="CI18" i="29"/>
  <c r="BX18" i="29"/>
  <c r="CB15" i="29"/>
  <c r="CN15" i="29"/>
  <c r="CY16" i="29"/>
  <c r="CB16" i="29"/>
  <c r="CN16" i="29"/>
  <c r="DA17" i="29" s="1"/>
  <c r="CB17" i="29"/>
  <c r="CN17" i="29"/>
  <c r="DA18" i="29" s="1"/>
  <c r="CG19" i="29"/>
  <c r="CT19" i="29" s="1"/>
  <c r="BV19" i="29"/>
  <c r="BW19" i="29"/>
  <c r="D21" i="29"/>
  <c r="BG20" i="29"/>
  <c r="BT20" i="29" s="1"/>
  <c r="CV18" i="29"/>
  <c r="CZ16" i="29"/>
  <c r="CJ18" i="29"/>
  <c r="BY18" i="29"/>
  <c r="CK17" i="29"/>
  <c r="CX18" i="29" s="1"/>
  <c r="BZ17" i="29"/>
  <c r="CM17" i="29" s="1"/>
  <c r="CZ18" i="29" s="1"/>
  <c r="CX16" i="29"/>
  <c r="DF28" i="16" l="1"/>
  <c r="CU29" i="16"/>
  <c r="AF30" i="16"/>
  <c r="U31" i="16"/>
  <c r="CW41" i="16"/>
  <c r="V41" i="16"/>
  <c r="BY19" i="29"/>
  <c r="CJ19" i="29"/>
  <c r="CW20" i="29" s="1"/>
  <c r="DA16" i="29"/>
  <c r="BX19" i="29"/>
  <c r="CI19" i="29"/>
  <c r="CG20" i="29"/>
  <c r="CT20" i="29" s="1"/>
  <c r="BV20" i="29"/>
  <c r="CI20" i="29" s="1"/>
  <c r="BW20" i="29"/>
  <c r="CC15" i="29"/>
  <c r="CO15" i="29"/>
  <c r="CA18" i="29"/>
  <c r="CL18" i="29"/>
  <c r="D22" i="29"/>
  <c r="BG21" i="29"/>
  <c r="BT21" i="29" s="1"/>
  <c r="CC17" i="29"/>
  <c r="CO17" i="29"/>
  <c r="CK18" i="29"/>
  <c r="BZ18" i="29"/>
  <c r="CM18" i="29" s="1"/>
  <c r="CW19" i="29"/>
  <c r="CV19" i="29"/>
  <c r="CC16" i="29"/>
  <c r="CO16" i="29"/>
  <c r="DF29" i="16" l="1"/>
  <c r="CU30" i="16"/>
  <c r="AF31" i="16"/>
  <c r="U32" i="16"/>
  <c r="AB41" i="16"/>
  <c r="W41" i="16"/>
  <c r="CB18" i="29"/>
  <c r="CN18" i="29"/>
  <c r="DB17" i="29"/>
  <c r="CZ19" i="29"/>
  <c r="DB16" i="29"/>
  <c r="CD16" i="29"/>
  <c r="CQ16" i="29" s="1"/>
  <c r="DD17" i="29" s="1"/>
  <c r="CP16" i="29"/>
  <c r="DC17" i="29" s="1"/>
  <c r="CX19" i="29"/>
  <c r="CP15" i="29"/>
  <c r="CD15" i="29"/>
  <c r="CQ15" i="29" s="1"/>
  <c r="DB18" i="29"/>
  <c r="CD17" i="29"/>
  <c r="CQ17" i="29" s="1"/>
  <c r="DD18" i="29" s="1"/>
  <c r="CP17" i="29"/>
  <c r="DC18" i="29" s="1"/>
  <c r="BX20" i="29"/>
  <c r="BV21" i="29"/>
  <c r="CG21" i="29"/>
  <c r="CT21" i="29" s="1"/>
  <c r="BW21" i="29"/>
  <c r="CA19" i="29"/>
  <c r="CL19" i="29"/>
  <c r="CY20" i="29" s="1"/>
  <c r="D23" i="29"/>
  <c r="BG22" i="29"/>
  <c r="BT22" i="29" s="1"/>
  <c r="CV20" i="29"/>
  <c r="BY20" i="29"/>
  <c r="CJ20" i="29"/>
  <c r="CY19" i="29"/>
  <c r="BZ19" i="29"/>
  <c r="CM19" i="29" s="1"/>
  <c r="CZ20" i="29" s="1"/>
  <c r="CK19" i="29"/>
  <c r="CX20" i="29" s="1"/>
  <c r="AF32" i="16" l="1"/>
  <c r="U33" i="16"/>
  <c r="DF30" i="16"/>
  <c r="CU31" i="16"/>
  <c r="AA41" i="16"/>
  <c r="BZ20" i="29"/>
  <c r="CM20" i="29" s="1"/>
  <c r="CZ21" i="29" s="1"/>
  <c r="CK20" i="29"/>
  <c r="CX21" i="29" s="1"/>
  <c r="DC16" i="29"/>
  <c r="CI21" i="29"/>
  <c r="BX21" i="29"/>
  <c r="BV22" i="29"/>
  <c r="CG22" i="29"/>
  <c r="CT22" i="29" s="1"/>
  <c r="BW22" i="29"/>
  <c r="CV21" i="29"/>
  <c r="DD16" i="29"/>
  <c r="D24" i="29"/>
  <c r="BG23" i="29"/>
  <c r="BT23" i="29" s="1"/>
  <c r="CR16" i="29"/>
  <c r="CW21" i="29"/>
  <c r="CB19" i="29"/>
  <c r="CN19" i="29"/>
  <c r="DA20" i="29" s="1"/>
  <c r="DE17" i="29"/>
  <c r="CL20" i="29"/>
  <c r="CY21" i="29" s="1"/>
  <c r="CA20" i="29"/>
  <c r="BY21" i="29"/>
  <c r="CJ21" i="29"/>
  <c r="CW22" i="29" s="1"/>
  <c r="CR17" i="29"/>
  <c r="DA19" i="29"/>
  <c r="DE18" i="29"/>
  <c r="CR15" i="29"/>
  <c r="CC18" i="29"/>
  <c r="CO18" i="29"/>
  <c r="DF31" i="16" l="1"/>
  <c r="CU32" i="16"/>
  <c r="AF33" i="16"/>
  <c r="U34" i="16"/>
  <c r="DB41" i="16"/>
  <c r="Z41" i="16"/>
  <c r="AC41" i="16"/>
  <c r="CV22" i="29"/>
  <c r="BV23" i="29"/>
  <c r="CG23" i="29"/>
  <c r="CT23" i="29" s="1"/>
  <c r="BW23" i="29"/>
  <c r="CK21" i="29"/>
  <c r="BZ21" i="29"/>
  <c r="CM21" i="29" s="1"/>
  <c r="D25" i="29"/>
  <c r="BG24" i="29"/>
  <c r="BT24" i="29" s="1"/>
  <c r="BY22" i="29"/>
  <c r="CJ22" i="29"/>
  <c r="CW23" i="29" s="1"/>
  <c r="DE16" i="29"/>
  <c r="DB19" i="29"/>
  <c r="CC19" i="29"/>
  <c r="CO19" i="29"/>
  <c r="DB20" i="29" s="1"/>
  <c r="CD18" i="29"/>
  <c r="CQ18" i="29" s="1"/>
  <c r="CP18" i="29"/>
  <c r="CL21" i="29"/>
  <c r="CY22" i="29" s="1"/>
  <c r="CA21" i="29"/>
  <c r="CI22" i="29"/>
  <c r="BX22" i="29"/>
  <c r="CB20" i="29"/>
  <c r="CN20" i="29"/>
  <c r="DA21" i="29" s="1"/>
  <c r="DF32" i="16" l="1"/>
  <c r="CU33" i="16"/>
  <c r="AF34" i="16"/>
  <c r="U35" i="16"/>
  <c r="CV23" i="29"/>
  <c r="CZ22" i="29"/>
  <c r="D26" i="29"/>
  <c r="BG25" i="29"/>
  <c r="BT25" i="29" s="1"/>
  <c r="CX22" i="29"/>
  <c r="CD19" i="29"/>
  <c r="CQ19" i="29" s="1"/>
  <c r="DD20" i="29" s="1"/>
  <c r="CP19" i="29"/>
  <c r="CB21" i="29"/>
  <c r="CN21" i="29"/>
  <c r="DA22" i="29" s="1"/>
  <c r="BY23" i="29"/>
  <c r="CJ23" i="29"/>
  <c r="CW24" i="29" s="1"/>
  <c r="DC19" i="29"/>
  <c r="CK22" i="29"/>
  <c r="CX23" i="29" s="1"/>
  <c r="BZ22" i="29"/>
  <c r="CM22" i="29" s="1"/>
  <c r="CZ23" i="29" s="1"/>
  <c r="CC20" i="29"/>
  <c r="CO20" i="29"/>
  <c r="DD19" i="29"/>
  <c r="CL22" i="29"/>
  <c r="CY23" i="29" s="1"/>
  <c r="CA22" i="29"/>
  <c r="CI23" i="29"/>
  <c r="BX23" i="29"/>
  <c r="CR18" i="29"/>
  <c r="BV24" i="29"/>
  <c r="CG24" i="29"/>
  <c r="CT24" i="29" s="1"/>
  <c r="BW24" i="29"/>
  <c r="AF35" i="16" l="1"/>
  <c r="U36" i="16"/>
  <c r="DF33" i="16"/>
  <c r="CU34" i="16"/>
  <c r="BV25" i="29"/>
  <c r="CG25" i="29"/>
  <c r="CT25" i="29" s="1"/>
  <c r="BW25" i="29"/>
  <c r="D27" i="29"/>
  <c r="BG26" i="29"/>
  <c r="BT26" i="29" s="1"/>
  <c r="CV24" i="29"/>
  <c r="CC21" i="29"/>
  <c r="CO21" i="29"/>
  <c r="DB22" i="29" s="1"/>
  <c r="CB22" i="29"/>
  <c r="CN22" i="29"/>
  <c r="DA23" i="29" s="1"/>
  <c r="DC20" i="29"/>
  <c r="DE20" i="29" s="1"/>
  <c r="CR19" i="29"/>
  <c r="CD20" i="29"/>
  <c r="CQ20" i="29" s="1"/>
  <c r="DD21" i="29" s="1"/>
  <c r="CP20" i="29"/>
  <c r="BY24" i="29"/>
  <c r="CJ24" i="29"/>
  <c r="CW25" i="29" s="1"/>
  <c r="CK23" i="29"/>
  <c r="CX24" i="29" s="1"/>
  <c r="BZ23" i="29"/>
  <c r="CM23" i="29" s="1"/>
  <c r="CZ24" i="29" s="1"/>
  <c r="CL23" i="29"/>
  <c r="CY24" i="29" s="1"/>
  <c r="CA23" i="29"/>
  <c r="DE19" i="29"/>
  <c r="CI24" i="29"/>
  <c r="BX24" i="29"/>
  <c r="DB21" i="29"/>
  <c r="AF36" i="16" l="1"/>
  <c r="U37" i="16"/>
  <c r="DF34" i="16"/>
  <c r="CU35" i="16"/>
  <c r="Y41" i="16"/>
  <c r="CR20" i="29"/>
  <c r="CK24" i="29"/>
  <c r="CX25" i="29" s="1"/>
  <c r="BZ24" i="29"/>
  <c r="CM24" i="29" s="1"/>
  <c r="CZ25" i="29" s="1"/>
  <c r="CV25" i="29"/>
  <c r="BV26" i="29"/>
  <c r="CG26" i="29"/>
  <c r="CT26" i="29" s="1"/>
  <c r="BW26" i="29"/>
  <c r="D28" i="29"/>
  <c r="BG27" i="29"/>
  <c r="BT27" i="29" s="1"/>
  <c r="CC22" i="29"/>
  <c r="CO22" i="29"/>
  <c r="DB23" i="29" s="1"/>
  <c r="BY25" i="29"/>
  <c r="CJ25" i="29"/>
  <c r="CW26" i="29" s="1"/>
  <c r="CB23" i="29"/>
  <c r="CN23" i="29"/>
  <c r="DA24" i="29" s="1"/>
  <c r="CL24" i="29"/>
  <c r="CY25" i="29" s="1"/>
  <c r="CA24" i="29"/>
  <c r="DC21" i="29"/>
  <c r="DE21" i="29" s="1"/>
  <c r="BX25" i="29"/>
  <c r="CI25" i="29"/>
  <c r="CD21" i="29"/>
  <c r="CQ21" i="29" s="1"/>
  <c r="DD22" i="29" s="1"/>
  <c r="CP21" i="29"/>
  <c r="AF37" i="16" l="1"/>
  <c r="U38" i="16"/>
  <c r="AF38" i="16" s="1"/>
  <c r="DF35" i="16"/>
  <c r="CU36" i="16"/>
  <c r="CL25" i="29"/>
  <c r="CY26" i="29" s="1"/>
  <c r="CA25" i="29"/>
  <c r="BX26" i="29"/>
  <c r="CI26" i="29"/>
  <c r="CD22" i="29"/>
  <c r="CQ22" i="29" s="1"/>
  <c r="DD23" i="29" s="1"/>
  <c r="CP22" i="29"/>
  <c r="CB24" i="29"/>
  <c r="CN24" i="29"/>
  <c r="DA25" i="29" s="1"/>
  <c r="BV27" i="29"/>
  <c r="CG27" i="29"/>
  <c r="CT27" i="29" s="1"/>
  <c r="BW27" i="29"/>
  <c r="D29" i="29"/>
  <c r="BG28" i="29"/>
  <c r="BT28" i="29" s="1"/>
  <c r="DC22" i="29"/>
  <c r="DE22" i="29" s="1"/>
  <c r="CR21" i="29"/>
  <c r="CC23" i="29"/>
  <c r="CO23" i="29"/>
  <c r="DB24" i="29" s="1"/>
  <c r="CK25" i="29"/>
  <c r="CX26" i="29" s="1"/>
  <c r="BZ25" i="29"/>
  <c r="CM25" i="29" s="1"/>
  <c r="CZ26" i="29" s="1"/>
  <c r="CV26" i="29"/>
  <c r="BY26" i="29"/>
  <c r="CJ26" i="29"/>
  <c r="CW27" i="29" s="1"/>
  <c r="DF36" i="16" l="1"/>
  <c r="CU37" i="16"/>
  <c r="CD23" i="29"/>
  <c r="CQ23" i="29" s="1"/>
  <c r="DD24" i="29" s="1"/>
  <c r="CP23" i="29"/>
  <c r="DC24" i="29" s="1"/>
  <c r="BX27" i="29"/>
  <c r="CI27" i="29"/>
  <c r="BZ26" i="29"/>
  <c r="CM26" i="29" s="1"/>
  <c r="CZ27" i="29" s="1"/>
  <c r="CK26" i="29"/>
  <c r="CX27" i="29" s="1"/>
  <c r="CV27" i="29"/>
  <c r="CA26" i="29"/>
  <c r="CL26" i="29"/>
  <c r="CY27" i="29" s="1"/>
  <c r="CC24" i="29"/>
  <c r="CO24" i="29"/>
  <c r="CB25" i="29"/>
  <c r="CN25" i="29"/>
  <c r="DA26" i="29" s="1"/>
  <c r="BV28" i="29"/>
  <c r="CG28" i="29"/>
  <c r="CT28" i="29" s="1"/>
  <c r="BW28" i="29"/>
  <c r="D30" i="29"/>
  <c r="BG29" i="29"/>
  <c r="BT29" i="29" s="1"/>
  <c r="DC23" i="29"/>
  <c r="DE23" i="29" s="1"/>
  <c r="CR22" i="29"/>
  <c r="BY27" i="29"/>
  <c r="CJ27" i="29"/>
  <c r="CW28" i="29" s="1"/>
  <c r="DF37" i="16" l="1"/>
  <c r="CU38" i="16"/>
  <c r="DF38" i="16" s="1"/>
  <c r="CR23" i="29"/>
  <c r="DE24" i="29"/>
  <c r="CG29" i="29"/>
  <c r="CT29" i="29" s="1"/>
  <c r="BV29" i="29"/>
  <c r="BW29" i="29"/>
  <c r="CC25" i="29"/>
  <c r="CO25" i="29"/>
  <c r="D31" i="29"/>
  <c r="BG30" i="29"/>
  <c r="BT30" i="29" s="1"/>
  <c r="DB25" i="29"/>
  <c r="CV28" i="29"/>
  <c r="CD24" i="29"/>
  <c r="CQ24" i="29" s="1"/>
  <c r="DD25" i="29" s="1"/>
  <c r="CP24" i="29"/>
  <c r="DC25" i="29" s="1"/>
  <c r="BZ27" i="29"/>
  <c r="CM27" i="29" s="1"/>
  <c r="CZ28" i="29" s="1"/>
  <c r="CK27" i="29"/>
  <c r="CX28" i="29" s="1"/>
  <c r="CJ28" i="29"/>
  <c r="CW29" i="29" s="1"/>
  <c r="BY28" i="29"/>
  <c r="CB26" i="29"/>
  <c r="CN26" i="29"/>
  <c r="DA27" i="29" s="1"/>
  <c r="CL27" i="29"/>
  <c r="CY28" i="29" s="1"/>
  <c r="CA27" i="29"/>
  <c r="BX28" i="29"/>
  <c r="CI28" i="29"/>
  <c r="BZ28" i="29" l="1"/>
  <c r="CM28" i="29" s="1"/>
  <c r="CZ29" i="29" s="1"/>
  <c r="CK28" i="29"/>
  <c r="CX29" i="29" s="1"/>
  <c r="D32" i="29"/>
  <c r="BG31" i="29"/>
  <c r="BT31" i="29" s="1"/>
  <c r="CV29" i="29"/>
  <c r="CN27" i="29"/>
  <c r="DA28" i="29" s="1"/>
  <c r="CB27" i="29"/>
  <c r="DB26" i="29"/>
  <c r="CD25" i="29"/>
  <c r="CQ25" i="29" s="1"/>
  <c r="DD26" i="29" s="1"/>
  <c r="CP25" i="29"/>
  <c r="DC26" i="29" s="1"/>
  <c r="CJ29" i="29"/>
  <c r="CW30" i="29" s="1"/>
  <c r="BY29" i="29"/>
  <c r="CC26" i="29"/>
  <c r="CO26" i="29"/>
  <c r="DB27" i="29" s="1"/>
  <c r="BX29" i="29"/>
  <c r="CI29" i="29"/>
  <c r="CL28" i="29"/>
  <c r="CY29" i="29" s="1"/>
  <c r="CA28" i="29"/>
  <c r="CR24" i="29"/>
  <c r="CG30" i="29"/>
  <c r="CT30" i="29" s="1"/>
  <c r="BV30" i="29"/>
  <c r="BW30" i="29"/>
  <c r="DE25" i="29"/>
  <c r="CN28" i="29" l="1"/>
  <c r="DA29" i="29" s="1"/>
  <c r="CB28" i="29"/>
  <c r="CL29" i="29"/>
  <c r="CY30" i="29" s="1"/>
  <c r="CA29" i="29"/>
  <c r="CV30" i="29"/>
  <c r="CG31" i="29"/>
  <c r="CT31" i="29" s="1"/>
  <c r="BV31" i="29"/>
  <c r="BW31" i="29"/>
  <c r="BZ29" i="29"/>
  <c r="CM29" i="29" s="1"/>
  <c r="CZ30" i="29" s="1"/>
  <c r="CK29" i="29"/>
  <c r="CX30" i="29" s="1"/>
  <c r="D33" i="29"/>
  <c r="BG32" i="29"/>
  <c r="CJ30" i="29"/>
  <c r="CW31" i="29" s="1"/>
  <c r="BY30" i="29"/>
  <c r="CR25" i="29"/>
  <c r="BX30" i="29"/>
  <c r="CI30" i="29"/>
  <c r="DE26" i="29"/>
  <c r="CD26" i="29"/>
  <c r="CQ26" i="29" s="1"/>
  <c r="DD27" i="29" s="1"/>
  <c r="CP26" i="29"/>
  <c r="CC27" i="29"/>
  <c r="CO27" i="29"/>
  <c r="DB28" i="29" s="1"/>
  <c r="CN29" i="29" l="1"/>
  <c r="DA30" i="29" s="1"/>
  <c r="CB29" i="29"/>
  <c r="BZ30" i="29"/>
  <c r="CM30" i="29" s="1"/>
  <c r="CZ31" i="29" s="1"/>
  <c r="CK30" i="29"/>
  <c r="CX31" i="29" s="1"/>
  <c r="CJ31" i="29"/>
  <c r="CW32" i="29" s="1"/>
  <c r="BY31" i="29"/>
  <c r="BX31" i="29"/>
  <c r="CI31" i="29"/>
  <c r="CA30" i="29"/>
  <c r="CL30" i="29"/>
  <c r="CY31" i="29" s="1"/>
  <c r="CC28" i="29"/>
  <c r="CO28" i="29"/>
  <c r="CD27" i="29"/>
  <c r="CQ27" i="29" s="1"/>
  <c r="DD28" i="29" s="1"/>
  <c r="CP27" i="29"/>
  <c r="DC28" i="29" s="1"/>
  <c r="CV31" i="29"/>
  <c r="DC27" i="29"/>
  <c r="DE27" i="29" s="1"/>
  <c r="CR26" i="29"/>
  <c r="BT32" i="29"/>
  <c r="BG33" i="29"/>
  <c r="BT33" i="29" s="1"/>
  <c r="DF41" i="16" l="1"/>
  <c r="CU41" i="16"/>
  <c r="DE28" i="29"/>
  <c r="CG32" i="29"/>
  <c r="CT32" i="29" s="1"/>
  <c r="BV32" i="29"/>
  <c r="BW32" i="29"/>
  <c r="DB29" i="29"/>
  <c r="CD28" i="29"/>
  <c r="CQ28" i="29" s="1"/>
  <c r="DD29" i="29" s="1"/>
  <c r="CP28" i="29"/>
  <c r="DC29" i="29" s="1"/>
  <c r="CG33" i="29"/>
  <c r="CT33" i="29" s="1"/>
  <c r="BV33" i="29"/>
  <c r="BW33" i="29"/>
  <c r="CC29" i="29"/>
  <c r="CO29" i="29"/>
  <c r="CN30" i="29"/>
  <c r="DA31" i="29" s="1"/>
  <c r="CB30" i="29"/>
  <c r="CV32" i="29"/>
  <c r="CR27" i="29"/>
  <c r="BZ31" i="29"/>
  <c r="CM31" i="29" s="1"/>
  <c r="CZ32" i="29" s="1"/>
  <c r="CK31" i="29"/>
  <c r="CX32" i="29" s="1"/>
  <c r="CA31" i="29"/>
  <c r="CL31" i="29"/>
  <c r="CY32" i="29" s="1"/>
  <c r="CN31" i="29" l="1"/>
  <c r="DA32" i="29" s="1"/>
  <c r="CB31" i="29"/>
  <c r="CR28" i="29"/>
  <c r="DB30" i="29"/>
  <c r="DE29" i="29"/>
  <c r="CP29" i="29"/>
  <c r="DC30" i="29" s="1"/>
  <c r="CD29" i="29"/>
  <c r="CQ29" i="29" s="1"/>
  <c r="DD30" i="29" s="1"/>
  <c r="CJ32" i="29"/>
  <c r="CW33" i="29" s="1"/>
  <c r="CW36" i="29" s="1"/>
  <c r="BY32" i="29"/>
  <c r="CJ33" i="29"/>
  <c r="BY33" i="29"/>
  <c r="BX32" i="29"/>
  <c r="CI32" i="29"/>
  <c r="CC30" i="29"/>
  <c r="CO30" i="29"/>
  <c r="BX33" i="29"/>
  <c r="CI33" i="29"/>
  <c r="CJ36" i="29" l="1"/>
  <c r="CV33" i="29"/>
  <c r="CP30" i="29"/>
  <c r="DC31" i="29" s="1"/>
  <c r="CD30" i="29"/>
  <c r="CQ30" i="29" s="1"/>
  <c r="DD31" i="29" s="1"/>
  <c r="CK32" i="29"/>
  <c r="CX33" i="29" s="1"/>
  <c r="CX36" i="29" s="1"/>
  <c r="BZ32" i="29"/>
  <c r="CM32" i="29" s="1"/>
  <c r="CZ33" i="29" s="1"/>
  <c r="CZ36" i="29" s="1"/>
  <c r="CA33" i="29"/>
  <c r="CL33" i="29"/>
  <c r="CR29" i="29"/>
  <c r="CI36" i="29"/>
  <c r="DE30" i="29"/>
  <c r="BZ33" i="29"/>
  <c r="CM33" i="29" s="1"/>
  <c r="CK33" i="29"/>
  <c r="CA32" i="29"/>
  <c r="CL32" i="29"/>
  <c r="CY33" i="29" s="1"/>
  <c r="CY36" i="29" s="1"/>
  <c r="CC31" i="29"/>
  <c r="CO31" i="29"/>
  <c r="DB31" i="29"/>
  <c r="CK36" i="29" l="1"/>
  <c r="CM36" i="29"/>
  <c r="CR30" i="29"/>
  <c r="CL36" i="29"/>
  <c r="CB32" i="29"/>
  <c r="CN32" i="29"/>
  <c r="DA33" i="29" s="1"/>
  <c r="DA36" i="29" s="1"/>
  <c r="DE31" i="29"/>
  <c r="CB33" i="29"/>
  <c r="CN33" i="29"/>
  <c r="DB32" i="29"/>
  <c r="CP31" i="29"/>
  <c r="DC32" i="29" s="1"/>
  <c r="CD31" i="29"/>
  <c r="CQ31" i="29" s="1"/>
  <c r="DD32" i="29" s="1"/>
  <c r="CV36" i="29"/>
  <c r="CR31" i="29" l="1"/>
  <c r="DE32" i="29"/>
  <c r="CN36" i="29"/>
  <c r="CC33" i="29"/>
  <c r="CO33" i="29"/>
  <c r="CC32" i="29"/>
  <c r="CO32" i="29"/>
  <c r="DB33" i="29" s="1"/>
  <c r="DB36" i="29" l="1"/>
  <c r="CO36" i="29"/>
  <c r="CP33" i="29"/>
  <c r="CD33" i="29"/>
  <c r="CQ33" i="29" s="1"/>
  <c r="CP32" i="29"/>
  <c r="DC33" i="29" s="1"/>
  <c r="DC36" i="29" s="1"/>
  <c r="CD32" i="29"/>
  <c r="CQ32" i="29" s="1"/>
  <c r="DD33" i="29" s="1"/>
  <c r="DD36" i="29" s="1"/>
  <c r="CQ36" i="29" l="1"/>
  <c r="CP36" i="29"/>
  <c r="CR33" i="29"/>
  <c r="CR32" i="29"/>
  <c r="DE33" i="29"/>
  <c r="DE36" i="29" s="1"/>
  <c r="CR36" i="29" l="1"/>
  <c r="AX16" i="16" l="1"/>
  <c r="BN17" i="16" s="1"/>
  <c r="AX17" i="16"/>
  <c r="BN18" i="16" s="1"/>
  <c r="AX18" i="16"/>
  <c r="BN19" i="16" s="1"/>
  <c r="AX19" i="16"/>
  <c r="BN20" i="16" s="1"/>
  <c r="AX20" i="16"/>
  <c r="BN21" i="16" s="1"/>
  <c r="AX21" i="16"/>
  <c r="BN22" i="16" s="1"/>
  <c r="AX22" i="16"/>
  <c r="BN23" i="16" s="1"/>
  <c r="AX23" i="16"/>
  <c r="BN24" i="16" s="1"/>
  <c r="AX24" i="16"/>
  <c r="BN25" i="16" s="1"/>
  <c r="AX25" i="16"/>
  <c r="BN26" i="16" s="1"/>
  <c r="AX26" i="16"/>
  <c r="BN27" i="16" s="1"/>
  <c r="AX27" i="16"/>
  <c r="BN28" i="16" s="1"/>
  <c r="AX28" i="16"/>
  <c r="BN29" i="16" s="1"/>
  <c r="AX29" i="16"/>
  <c r="BN30" i="16" s="1"/>
  <c r="AX30" i="16"/>
  <c r="BN31" i="16" s="1"/>
  <c r="AX31" i="16"/>
  <c r="BN32" i="16" s="1"/>
  <c r="AX32" i="16"/>
  <c r="BN33" i="16" s="1"/>
  <c r="AX33" i="16"/>
  <c r="BN34" i="16" s="1"/>
  <c r="AY14" i="16"/>
  <c r="AX14" i="16"/>
  <c r="BN15" i="16" s="1"/>
  <c r="BZ20" i="16" l="1"/>
  <c r="BZ23" i="16"/>
  <c r="BZ24" i="16"/>
  <c r="BZ25" i="16"/>
  <c r="BZ26" i="16"/>
  <c r="BZ27" i="16"/>
  <c r="BZ29" i="16"/>
  <c r="BZ30" i="16"/>
  <c r="BZ31" i="16"/>
  <c r="BZ32" i="16"/>
  <c r="BZ33" i="16"/>
  <c r="BZ28" i="16"/>
  <c r="BZ15" i="16"/>
  <c r="BZ16" i="16"/>
  <c r="BZ17" i="16"/>
  <c r="BZ18" i="16"/>
  <c r="BZ19" i="16"/>
  <c r="BZ21" i="16"/>
  <c r="BZ22" i="16"/>
  <c r="BZ14" i="16"/>
  <c r="BT12" i="16"/>
  <c r="BU12" i="16"/>
  <c r="BV12" i="16"/>
  <c r="AP10" i="16"/>
  <c r="AQ10" i="16"/>
  <c r="BZ41" i="16" l="1"/>
  <c r="C13" i="6"/>
  <c r="D10" i="8" l="1"/>
  <c r="BR12" i="16"/>
  <c r="BS12" i="16"/>
  <c r="T94" i="28" l="1"/>
  <c r="H94" i="28"/>
  <c r="I94" i="28" s="1"/>
  <c r="Z104" i="28"/>
  <c r="R97" i="28"/>
  <c r="Q97" i="28"/>
  <c r="D95" i="28"/>
  <c r="D94" i="28"/>
  <c r="D93" i="28"/>
  <c r="AP22" i="28"/>
  <c r="AK22" i="28"/>
  <c r="AP21" i="28"/>
  <c r="AK21" i="28"/>
  <c r="AP20" i="28"/>
  <c r="AK20" i="28"/>
  <c r="AP19" i="28"/>
  <c r="AK19" i="28"/>
  <c r="AP18" i="28"/>
  <c r="AK18" i="28"/>
  <c r="AP17" i="28"/>
  <c r="AK17" i="28"/>
  <c r="AP16" i="28"/>
  <c r="AK16" i="28"/>
  <c r="AP15" i="28"/>
  <c r="AK15" i="28"/>
  <c r="AP14" i="28"/>
  <c r="AN14" i="28"/>
  <c r="AK14" i="28"/>
  <c r="AI14" i="28"/>
  <c r="AP13" i="28"/>
  <c r="AN13" i="28"/>
  <c r="AK13" i="28"/>
  <c r="AI13" i="28"/>
  <c r="K9" i="28"/>
  <c r="A2" i="28"/>
  <c r="A1" i="28"/>
  <c r="E93" i="28" l="1"/>
  <c r="H93" i="28"/>
  <c r="I93" i="28" s="1"/>
  <c r="E10" i="5"/>
  <c r="BO15" i="16" l="1"/>
  <c r="AZ14" i="16"/>
  <c r="BA14" i="16"/>
  <c r="BQ15" i="16" s="1"/>
  <c r="BB14" i="16"/>
  <c r="BR15" i="16" s="1"/>
  <c r="BC14" i="16"/>
  <c r="BS15" i="16" s="1"/>
  <c r="BD14" i="16"/>
  <c r="BT15" i="16" s="1"/>
  <c r="BE14" i="16"/>
  <c r="BU15" i="16" s="1"/>
  <c r="BF14" i="16"/>
  <c r="BV15" i="16" s="1"/>
  <c r="BG14" i="16"/>
  <c r="BP14" i="16"/>
  <c r="BQ14" i="16"/>
  <c r="BR14" i="16"/>
  <c r="BS14" i="16"/>
  <c r="BT14" i="16"/>
  <c r="BU14" i="16"/>
  <c r="BV14" i="16"/>
  <c r="BW14" i="16"/>
  <c r="AI47" i="16"/>
  <c r="D35" i="8"/>
  <c r="N10" i="1"/>
  <c r="C12" i="1"/>
  <c r="D12" i="1" s="1"/>
  <c r="D13" i="1" s="1"/>
  <c r="CQ13" i="1" s="1"/>
  <c r="BM14" i="16"/>
  <c r="BM15" i="16" s="1"/>
  <c r="BM16" i="16" s="1"/>
  <c r="BM18" i="16" s="1"/>
  <c r="BM19" i="16" s="1"/>
  <c r="BM20" i="16" s="1"/>
  <c r="BM21" i="16" s="1"/>
  <c r="BM22" i="16" s="1"/>
  <c r="BM23" i="16" s="1"/>
  <c r="BM24" i="16" s="1"/>
  <c r="BM25" i="16" s="1"/>
  <c r="BM26" i="16" s="1"/>
  <c r="BM27" i="16" s="1"/>
  <c r="BM28" i="16" s="1"/>
  <c r="BM29" i="16" s="1"/>
  <c r="BM30" i="16" s="1"/>
  <c r="BM31" i="16" s="1"/>
  <c r="BM32" i="16" s="1"/>
  <c r="BM33" i="16" s="1"/>
  <c r="BM34" i="16" s="1"/>
  <c r="BM35" i="16" s="1"/>
  <c r="BM36" i="16" s="1"/>
  <c r="BM37" i="16" s="1"/>
  <c r="BM38" i="16" s="1"/>
  <c r="AO10" i="16"/>
  <c r="AW14" i="16"/>
  <c r="AH14" i="16"/>
  <c r="DZ12" i="16"/>
  <c r="CU12" i="16"/>
  <c r="AY12" i="16"/>
  <c r="BP12" i="16"/>
  <c r="BQ12" i="16"/>
  <c r="AJ12" i="16"/>
  <c r="BO12" i="16" s="1"/>
  <c r="C12" i="6"/>
  <c r="B10" i="8" s="1"/>
  <c r="BZ10" i="1" s="1"/>
  <c r="AD47" i="1"/>
  <c r="AD48" i="1" s="1"/>
  <c r="AD49" i="1" s="1"/>
  <c r="AD50" i="1" s="1"/>
  <c r="AD51" i="1" s="1"/>
  <c r="AD52" i="1" s="1"/>
  <c r="AD53" i="1" s="1"/>
  <c r="AD54" i="1" s="1"/>
  <c r="AD55" i="1" s="1"/>
  <c r="AD56" i="1" s="1"/>
  <c r="F67" i="8"/>
  <c r="F62" i="8"/>
  <c r="C4" i="26"/>
  <c r="C3" i="26"/>
  <c r="AG1" i="1"/>
  <c r="C90" i="6"/>
  <c r="C89" i="6" s="1"/>
  <c r="AH13" i="1" s="1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12" i="5"/>
  <c r="I13" i="5"/>
  <c r="I15" i="5"/>
  <c r="I21" i="5"/>
  <c r="I23" i="5"/>
  <c r="I29" i="5"/>
  <c r="I31" i="5"/>
  <c r="I37" i="5"/>
  <c r="I39" i="5"/>
  <c r="I45" i="5"/>
  <c r="I47" i="5"/>
  <c r="I10" i="5"/>
  <c r="I16" i="5"/>
  <c r="I46" i="5"/>
  <c r="I38" i="5"/>
  <c r="I30" i="5"/>
  <c r="I22" i="5"/>
  <c r="I14" i="5"/>
  <c r="I52" i="5"/>
  <c r="I44" i="5"/>
  <c r="I36" i="5"/>
  <c r="I28" i="5"/>
  <c r="I20" i="5"/>
  <c r="I12" i="5"/>
  <c r="I51" i="5"/>
  <c r="I43" i="5"/>
  <c r="I35" i="5"/>
  <c r="I27" i="5"/>
  <c r="I19" i="5"/>
  <c r="I11" i="5"/>
  <c r="I50" i="5"/>
  <c r="I42" i="5"/>
  <c r="I34" i="5"/>
  <c r="I26" i="5"/>
  <c r="I18" i="5"/>
  <c r="I49" i="5"/>
  <c r="I41" i="5"/>
  <c r="I33" i="5"/>
  <c r="I25" i="5"/>
  <c r="I17" i="5"/>
  <c r="I48" i="5"/>
  <c r="I40" i="5"/>
  <c r="I32" i="5"/>
  <c r="I24" i="5"/>
  <c r="C52" i="6"/>
  <c r="CL11" i="16"/>
  <c r="CK11" i="16"/>
  <c r="CJ11" i="16"/>
  <c r="CI11" i="16"/>
  <c r="CH11" i="16"/>
  <c r="CG11" i="16"/>
  <c r="CF11" i="16"/>
  <c r="CD50" i="16"/>
  <c r="DK10" i="16"/>
  <c r="DL10" i="16"/>
  <c r="DM10" i="16"/>
  <c r="DN10" i="16"/>
  <c r="DO10" i="16"/>
  <c r="DP10" i="16"/>
  <c r="DQ10" i="16"/>
  <c r="DR10" i="16"/>
  <c r="DJ10" i="16"/>
  <c r="EA10" i="16"/>
  <c r="EB10" i="16"/>
  <c r="EC10" i="16"/>
  <c r="ED10" i="16"/>
  <c r="EE10" i="16"/>
  <c r="EF10" i="16"/>
  <c r="EG10" i="16"/>
  <c r="EH10" i="16"/>
  <c r="DZ10" i="16"/>
  <c r="AY10" i="16"/>
  <c r="AK10" i="16"/>
  <c r="AL10" i="16"/>
  <c r="AM10" i="16"/>
  <c r="AN10" i="16"/>
  <c r="AJ10" i="16"/>
  <c r="C132" i="6"/>
  <c r="AM11" i="1"/>
  <c r="AN11" i="1" s="1"/>
  <c r="AQ11" i="1"/>
  <c r="AL12" i="1"/>
  <c r="AL13" i="1"/>
  <c r="AM13" i="1" s="1"/>
  <c r="AN13" i="1" s="1"/>
  <c r="AL14" i="1"/>
  <c r="AW15" i="16"/>
  <c r="AW16" i="16" s="1"/>
  <c r="AW18" i="16" s="1"/>
  <c r="AW19" i="16" s="1"/>
  <c r="AW20" i="16" s="1"/>
  <c r="AW21" i="16" s="1"/>
  <c r="AW22" i="16" s="1"/>
  <c r="AW23" i="16" s="1"/>
  <c r="AW24" i="16" s="1"/>
  <c r="AW25" i="16" s="1"/>
  <c r="AW26" i="16" s="1"/>
  <c r="AW27" i="16" s="1"/>
  <c r="AW28" i="16" s="1"/>
  <c r="AW29" i="16" s="1"/>
  <c r="AW30" i="16" s="1"/>
  <c r="AW31" i="16" s="1"/>
  <c r="AW32" i="16" s="1"/>
  <c r="AW33" i="16" s="1"/>
  <c r="AW34" i="16" s="1"/>
  <c r="AW35" i="16" s="1"/>
  <c r="AW36" i="16" s="1"/>
  <c r="AW37" i="16" s="1"/>
  <c r="AW38" i="16" s="1"/>
  <c r="AW2" i="16"/>
  <c r="AW1" i="16"/>
  <c r="Q14" i="16"/>
  <c r="BG15" i="16"/>
  <c r="BW16" i="16" s="1"/>
  <c r="E41" i="16"/>
  <c r="BG16" i="16"/>
  <c r="BW17" i="16" s="1"/>
  <c r="BG17" i="16"/>
  <c r="BW18" i="16" s="1"/>
  <c r="BG18" i="16"/>
  <c r="BW19" i="16" s="1"/>
  <c r="BG19" i="16"/>
  <c r="BW20" i="16" s="1"/>
  <c r="BG20" i="16"/>
  <c r="BW21" i="16" s="1"/>
  <c r="BG21" i="16"/>
  <c r="BW22" i="16" s="1"/>
  <c r="BG22" i="16"/>
  <c r="BW23" i="16" s="1"/>
  <c r="BG23" i="16"/>
  <c r="BW24" i="16" s="1"/>
  <c r="BG24" i="16"/>
  <c r="BW25" i="16" s="1"/>
  <c r="BG25" i="16"/>
  <c r="BW26" i="16" s="1"/>
  <c r="BG26" i="16"/>
  <c r="BW27" i="16" s="1"/>
  <c r="BG27" i="16"/>
  <c r="BW28" i="16" s="1"/>
  <c r="BG28" i="16"/>
  <c r="BW29" i="16" s="1"/>
  <c r="BG29" i="16"/>
  <c r="BW30" i="16" s="1"/>
  <c r="BG30" i="16"/>
  <c r="BW31" i="16" s="1"/>
  <c r="BW32" i="16"/>
  <c r="BW33" i="16"/>
  <c r="AH15" i="16"/>
  <c r="AH16" i="16" s="1"/>
  <c r="AH18" i="16" s="1"/>
  <c r="AH19" i="16" s="1"/>
  <c r="AH20" i="16" s="1"/>
  <c r="AH21" i="16" s="1"/>
  <c r="AH22" i="16" s="1"/>
  <c r="AH23" i="16" s="1"/>
  <c r="AH24" i="16" s="1"/>
  <c r="AH25" i="16" s="1"/>
  <c r="AH26" i="16" s="1"/>
  <c r="CD1" i="16"/>
  <c r="CD14" i="16"/>
  <c r="CS14" i="16" s="1"/>
  <c r="F41" i="16"/>
  <c r="CF42" i="16" s="1"/>
  <c r="G41" i="16"/>
  <c r="CG42" i="16" s="1"/>
  <c r="H41" i="16"/>
  <c r="CH42" i="16" s="1"/>
  <c r="I41" i="16"/>
  <c r="CI42" i="16" s="1"/>
  <c r="J41" i="16"/>
  <c r="CJ42" i="16" s="1"/>
  <c r="K41" i="16"/>
  <c r="CK42" i="16" s="1"/>
  <c r="L41" i="16"/>
  <c r="CL42" i="16" s="1"/>
  <c r="M41" i="16"/>
  <c r="CM42" i="16" s="1"/>
  <c r="P41" i="16"/>
  <c r="CN42" i="16" s="1"/>
  <c r="H94" i="11"/>
  <c r="H93" i="11" s="1"/>
  <c r="AU10" i="1"/>
  <c r="AT10" i="1"/>
  <c r="F46" i="26"/>
  <c r="D4" i="26"/>
  <c r="D5" i="26" s="1"/>
  <c r="A2" i="23"/>
  <c r="B30" i="23"/>
  <c r="F30" i="23" s="1"/>
  <c r="D92" i="24"/>
  <c r="F92" i="24" s="1"/>
  <c r="D93" i="24"/>
  <c r="D91" i="24" s="1"/>
  <c r="D89" i="24" s="1"/>
  <c r="V94" i="24"/>
  <c r="AG14" i="24"/>
  <c r="AB14" i="24"/>
  <c r="AG13" i="24"/>
  <c r="AB13" i="24"/>
  <c r="A2" i="24"/>
  <c r="A1" i="24"/>
  <c r="F43" i="23"/>
  <c r="D42" i="23"/>
  <c r="F42" i="23"/>
  <c r="D37" i="23"/>
  <c r="F23" i="23"/>
  <c r="A1" i="23"/>
  <c r="AP10" i="1"/>
  <c r="AO10" i="1"/>
  <c r="E51" i="5"/>
  <c r="E52" i="5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15" i="1"/>
  <c r="AL10" i="1"/>
  <c r="AN10" i="1"/>
  <c r="AM10" i="1"/>
  <c r="Y14" i="1"/>
  <c r="Z14" i="1" s="1"/>
  <c r="BD14" i="1" s="1"/>
  <c r="BF14" i="1" s="1"/>
  <c r="Y10" i="1"/>
  <c r="B133" i="6"/>
  <c r="B40" i="8"/>
  <c r="F40" i="8" s="1"/>
  <c r="E41" i="5"/>
  <c r="E42" i="5"/>
  <c r="E43" i="5"/>
  <c r="E44" i="5"/>
  <c r="E45" i="5"/>
  <c r="E46" i="5"/>
  <c r="E47" i="5"/>
  <c r="E48" i="5"/>
  <c r="E49" i="5"/>
  <c r="E50" i="5"/>
  <c r="F42" i="8"/>
  <c r="D1" i="16"/>
  <c r="D15" i="16"/>
  <c r="S15" i="16" s="1"/>
  <c r="B134" i="6"/>
  <c r="D41" i="8"/>
  <c r="B41" i="8"/>
  <c r="F35" i="8"/>
  <c r="Q97" i="11"/>
  <c r="R97" i="11"/>
  <c r="K9" i="11"/>
  <c r="AN14" i="11"/>
  <c r="AI14" i="11"/>
  <c r="AN13" i="11"/>
  <c r="AI13" i="11"/>
  <c r="AG14" i="9"/>
  <c r="AG13" i="9"/>
  <c r="AB14" i="9"/>
  <c r="AB13" i="9"/>
  <c r="D93" i="11"/>
  <c r="E93" i="11" s="1"/>
  <c r="D94" i="11"/>
  <c r="D95" i="11"/>
  <c r="D11" i="11"/>
  <c r="C1" i="5"/>
  <c r="A2" i="11"/>
  <c r="A1" i="11"/>
  <c r="A2" i="9"/>
  <c r="A1" i="9"/>
  <c r="D10" i="23"/>
  <c r="D23" i="23" s="1"/>
  <c r="G7" i="5"/>
  <c r="F7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A1" i="8"/>
  <c r="F22" i="8"/>
  <c r="B35" i="8"/>
  <c r="V94" i="9"/>
  <c r="C61" i="6"/>
  <c r="J11" i="10"/>
  <c r="A11" i="10"/>
  <c r="G6" i="10"/>
  <c r="G7" i="10" s="1"/>
  <c r="AK18" i="11"/>
  <c r="AI13" i="9"/>
  <c r="AP21" i="11"/>
  <c r="AK22" i="11"/>
  <c r="AK14" i="11"/>
  <c r="AK15" i="11"/>
  <c r="AK16" i="11"/>
  <c r="AK13" i="11"/>
  <c r="AK17" i="11"/>
  <c r="AK19" i="11"/>
  <c r="AK21" i="11"/>
  <c r="AK20" i="11"/>
  <c r="AD15" i="9"/>
  <c r="AD14" i="9"/>
  <c r="AI16" i="9"/>
  <c r="AI18" i="9"/>
  <c r="AD19" i="9"/>
  <c r="AD20" i="9"/>
  <c r="AI14" i="9"/>
  <c r="AI22" i="9"/>
  <c r="AP17" i="11"/>
  <c r="AP13" i="11"/>
  <c r="AP20" i="11"/>
  <c r="AI15" i="9"/>
  <c r="AD21" i="9"/>
  <c r="AP19" i="11"/>
  <c r="AD16" i="9"/>
  <c r="AI17" i="9"/>
  <c r="AP22" i="11"/>
  <c r="AI19" i="9"/>
  <c r="AD13" i="9"/>
  <c r="AD17" i="9"/>
  <c r="AI21" i="9"/>
  <c r="AD22" i="9"/>
  <c r="AI20" i="9"/>
  <c r="AP18" i="11"/>
  <c r="AP14" i="11"/>
  <c r="AP15" i="11"/>
  <c r="AD18" i="9"/>
  <c r="AP16" i="11"/>
  <c r="AJ10" i="1"/>
  <c r="AI10" i="1"/>
  <c r="C82" i="6"/>
  <c r="C7" i="1"/>
  <c r="P11" i="16"/>
  <c r="D6" i="26" l="1"/>
  <c r="C5" i="26"/>
  <c r="AH41" i="1"/>
  <c r="AH42" i="1"/>
  <c r="AH43" i="1"/>
  <c r="AH44" i="1"/>
  <c r="AH45" i="1"/>
  <c r="C6" i="26"/>
  <c r="D7" i="26"/>
  <c r="C9" i="6"/>
  <c r="H3" i="1" s="1"/>
  <c r="F66" i="23"/>
  <c r="F67" i="23" s="1"/>
  <c r="DZ11" i="16"/>
  <c r="F11" i="16"/>
  <c r="AJ11" i="16" s="1"/>
  <c r="AY19" i="16" s="1"/>
  <c r="AH27" i="16"/>
  <c r="AH28" i="16" s="1"/>
  <c r="AH29" i="16" s="1"/>
  <c r="AH30" i="16" s="1"/>
  <c r="AH31" i="16" s="1"/>
  <c r="AH32" i="16" s="1"/>
  <c r="AH33" i="16" s="1"/>
  <c r="AH34" i="16" s="1"/>
  <c r="AH35" i="16" s="1"/>
  <c r="AH36" i="16" s="1"/>
  <c r="AH37" i="16" s="1"/>
  <c r="AH38" i="16" s="1"/>
  <c r="P12" i="1"/>
  <c r="DH14" i="16"/>
  <c r="DW14" i="16" s="1"/>
  <c r="EA11" i="16"/>
  <c r="DK11" i="16"/>
  <c r="CV11" i="16"/>
  <c r="CV45" i="16" s="1"/>
  <c r="CW11" i="16"/>
  <c r="DL11" i="16"/>
  <c r="EB11" i="16"/>
  <c r="EC11" i="16"/>
  <c r="DM11" i="16"/>
  <c r="CX11" i="16"/>
  <c r="DN11" i="16"/>
  <c r="ED11" i="16"/>
  <c r="CY11" i="16"/>
  <c r="ES11" i="16" s="1"/>
  <c r="EE11" i="16"/>
  <c r="CZ11" i="16"/>
  <c r="DO11" i="16"/>
  <c r="DP11" i="16"/>
  <c r="EF11" i="16"/>
  <c r="DA11" i="16"/>
  <c r="BI11" i="16"/>
  <c r="AE11" i="16"/>
  <c r="AE45" i="16" s="1"/>
  <c r="BY11" i="16"/>
  <c r="AC45" i="16"/>
  <c r="AT11" i="16"/>
  <c r="BK14" i="16"/>
  <c r="CB14" i="16" s="1"/>
  <c r="BW15" i="16"/>
  <c r="BW41" i="16" s="1"/>
  <c r="BG41" i="16"/>
  <c r="D16" i="16"/>
  <c r="S16" i="16" s="1"/>
  <c r="CD15" i="16"/>
  <c r="AH14" i="1"/>
  <c r="BA48" i="1"/>
  <c r="BA46" i="1"/>
  <c r="BA44" i="1"/>
  <c r="BA42" i="1"/>
  <c r="BA40" i="1"/>
  <c r="BA36" i="1"/>
  <c r="BA30" i="1"/>
  <c r="BA22" i="1"/>
  <c r="BA14" i="1"/>
  <c r="BA50" i="1"/>
  <c r="BA38" i="1"/>
  <c r="BA24" i="1"/>
  <c r="BA18" i="1"/>
  <c r="BA10" i="1"/>
  <c r="BA55" i="1"/>
  <c r="BA53" i="1"/>
  <c r="BA51" i="1"/>
  <c r="BA49" i="1"/>
  <c r="BA47" i="1"/>
  <c r="BA45" i="1"/>
  <c r="BA43" i="1"/>
  <c r="BA41" i="1"/>
  <c r="BA39" i="1"/>
  <c r="BA37" i="1"/>
  <c r="BA35" i="1"/>
  <c r="BA33" i="1"/>
  <c r="BA31" i="1"/>
  <c r="BA29" i="1"/>
  <c r="BA27" i="1"/>
  <c r="BA25" i="1"/>
  <c r="BA23" i="1"/>
  <c r="BA21" i="1"/>
  <c r="BA19" i="1"/>
  <c r="BA17" i="1"/>
  <c r="BA15" i="1"/>
  <c r="BA56" i="1"/>
  <c r="BA34" i="1"/>
  <c r="BA20" i="1"/>
  <c r="BA16" i="1"/>
  <c r="BA54" i="1"/>
  <c r="BA26" i="1"/>
  <c r="BA52" i="1"/>
  <c r="BA28" i="1"/>
  <c r="BA32" i="1"/>
  <c r="D14" i="1"/>
  <c r="BG14" i="1"/>
  <c r="DH15" i="16"/>
  <c r="DW15" i="16" s="1"/>
  <c r="CS15" i="16"/>
  <c r="BK10" i="16"/>
  <c r="C13" i="1"/>
  <c r="C8" i="5"/>
  <c r="AM12" i="1"/>
  <c r="AN12" i="1" s="1"/>
  <c r="J11" i="16"/>
  <c r="CY45" i="16"/>
  <c r="K11" i="16"/>
  <c r="AO11" i="16" s="1"/>
  <c r="DB45" i="16"/>
  <c r="CU11" i="16"/>
  <c r="CU45" i="16" s="1"/>
  <c r="G11" i="16"/>
  <c r="H11" i="16"/>
  <c r="I11" i="16"/>
  <c r="L11" i="16"/>
  <c r="P45" i="16"/>
  <c r="M11" i="16"/>
  <c r="AU10" i="16"/>
  <c r="AM14" i="1"/>
  <c r="AN14" i="1" s="1"/>
  <c r="CT4" i="29"/>
  <c r="BT4" i="29"/>
  <c r="BG4" i="29"/>
  <c r="AD4" i="29"/>
  <c r="BP15" i="16"/>
  <c r="DJ11" i="16"/>
  <c r="F93" i="24"/>
  <c r="C129" i="6"/>
  <c r="C130" i="6"/>
  <c r="F63" i="8"/>
  <c r="F64" i="8" s="1"/>
  <c r="K42" i="5"/>
  <c r="K28" i="5"/>
  <c r="K17" i="5"/>
  <c r="K27" i="5"/>
  <c r="AH18" i="1"/>
  <c r="AH26" i="1"/>
  <c r="AH34" i="1"/>
  <c r="AH50" i="1"/>
  <c r="AH19" i="1"/>
  <c r="AH35" i="1"/>
  <c r="K11" i="5"/>
  <c r="AH40" i="1"/>
  <c r="K15" i="5"/>
  <c r="K16" i="5"/>
  <c r="K25" i="5"/>
  <c r="K35" i="5"/>
  <c r="AH51" i="1"/>
  <c r="K12" i="5"/>
  <c r="K23" i="5"/>
  <c r="K24" i="5"/>
  <c r="K33" i="5"/>
  <c r="K43" i="5"/>
  <c r="AH10" i="1"/>
  <c r="AH20" i="1"/>
  <c r="AH28" i="1"/>
  <c r="AH36" i="1"/>
  <c r="AH52" i="1"/>
  <c r="AH38" i="1"/>
  <c r="AH54" i="1"/>
  <c r="K47" i="5"/>
  <c r="K26" i="5"/>
  <c r="AH15" i="1"/>
  <c r="AH23" i="1"/>
  <c r="AH47" i="1"/>
  <c r="K38" i="5"/>
  <c r="AH48" i="1"/>
  <c r="K14" i="5"/>
  <c r="K31" i="5"/>
  <c r="K32" i="5"/>
  <c r="K41" i="5"/>
  <c r="K51" i="5"/>
  <c r="CD10" i="1"/>
  <c r="AH21" i="1"/>
  <c r="AH29" i="1"/>
  <c r="AH37" i="1"/>
  <c r="AH53" i="1"/>
  <c r="AH22" i="1"/>
  <c r="AH46" i="1"/>
  <c r="K30" i="5"/>
  <c r="K44" i="5"/>
  <c r="AH31" i="1"/>
  <c r="AH55" i="1"/>
  <c r="AH24" i="1"/>
  <c r="K22" i="5"/>
  <c r="K39" i="5"/>
  <c r="K40" i="5"/>
  <c r="K49" i="5"/>
  <c r="K36" i="5"/>
  <c r="AH30" i="1"/>
  <c r="K48" i="5"/>
  <c r="AH39" i="1"/>
  <c r="K18" i="5"/>
  <c r="AH32" i="1"/>
  <c r="K46" i="5"/>
  <c r="K50" i="5"/>
  <c r="K52" i="5"/>
  <c r="K19" i="5"/>
  <c r="AH17" i="1"/>
  <c r="AH25" i="1"/>
  <c r="AH33" i="1"/>
  <c r="AH49" i="1"/>
  <c r="AH27" i="1"/>
  <c r="K20" i="5"/>
  <c r="AH16" i="1"/>
  <c r="AH56" i="1"/>
  <c r="CR10" i="1"/>
  <c r="CU10" i="1"/>
  <c r="CE10" i="1"/>
  <c r="BN41" i="16"/>
  <c r="A40" i="8"/>
  <c r="K34" i="5"/>
  <c r="K10" i="5"/>
  <c r="K45" i="5"/>
  <c r="K37" i="5"/>
  <c r="K29" i="5"/>
  <c r="K21" i="5"/>
  <c r="K13" i="5"/>
  <c r="CA10" i="16"/>
  <c r="Q41" i="16"/>
  <c r="CQ42" i="16" s="1"/>
  <c r="B39" i="8"/>
  <c r="F39" i="8" s="1"/>
  <c r="CS10" i="1"/>
  <c r="CQ10" i="1"/>
  <c r="BY10" i="1"/>
  <c r="B22" i="8"/>
  <c r="D22" i="8"/>
  <c r="CL10" i="1"/>
  <c r="CK10" i="1"/>
  <c r="CN10" i="1"/>
  <c r="CM10" i="1"/>
  <c r="BU10" i="1"/>
  <c r="CA14" i="16"/>
  <c r="CW45" i="16" l="1"/>
  <c r="EQ11" i="16"/>
  <c r="CX45" i="16"/>
  <c r="ER11" i="16"/>
  <c r="CZ45" i="16"/>
  <c r="ET11" i="16"/>
  <c r="DA45" i="16"/>
  <c r="EU11" i="16"/>
  <c r="C14" i="6"/>
  <c r="B10" i="23" s="1"/>
  <c r="BV10" i="1" s="1"/>
  <c r="M94" i="24"/>
  <c r="C31" i="6"/>
  <c r="A6" i="23" s="1"/>
  <c r="D8" i="26"/>
  <c r="C7" i="26"/>
  <c r="D15" i="1"/>
  <c r="CQ15" i="1" s="1"/>
  <c r="AT21" i="16"/>
  <c r="AT25" i="16"/>
  <c r="AT29" i="16"/>
  <c r="BI30" i="16" s="1"/>
  <c r="BY31" i="16" s="1"/>
  <c r="AT33" i="16"/>
  <c r="AT37" i="16"/>
  <c r="BI38" i="16" s="1"/>
  <c r="AT17" i="16"/>
  <c r="BI18" i="16" s="1"/>
  <c r="BY19" i="16" s="1"/>
  <c r="AT20" i="16"/>
  <c r="BI21" i="16" s="1"/>
  <c r="BY22" i="16" s="1"/>
  <c r="AT24" i="16"/>
  <c r="BI25" i="16" s="1"/>
  <c r="BY26" i="16" s="1"/>
  <c r="AT28" i="16"/>
  <c r="BI29" i="16" s="1"/>
  <c r="BY30" i="16" s="1"/>
  <c r="AT32" i="16"/>
  <c r="BI33" i="16" s="1"/>
  <c r="BY34" i="16" s="1"/>
  <c r="AT36" i="16"/>
  <c r="BI37" i="16" s="1"/>
  <c r="BY38" i="16" s="1"/>
  <c r="AT19" i="16"/>
  <c r="BI20" i="16" s="1"/>
  <c r="BY21" i="16" s="1"/>
  <c r="AT23" i="16"/>
  <c r="BI24" i="16" s="1"/>
  <c r="BY25" i="16" s="1"/>
  <c r="AT27" i="16"/>
  <c r="BI28" i="16" s="1"/>
  <c r="BY29" i="16" s="1"/>
  <c r="AT31" i="16"/>
  <c r="BI32" i="16" s="1"/>
  <c r="BY33" i="16" s="1"/>
  <c r="AT35" i="16"/>
  <c r="BI36" i="16" s="1"/>
  <c r="BY37" i="16" s="1"/>
  <c r="AT18" i="16"/>
  <c r="BI19" i="16" s="1"/>
  <c r="BY20" i="16" s="1"/>
  <c r="AT22" i="16"/>
  <c r="BI23" i="16" s="1"/>
  <c r="BY24" i="16" s="1"/>
  <c r="AT26" i="16"/>
  <c r="BI27" i="16" s="1"/>
  <c r="BY28" i="16" s="1"/>
  <c r="AT30" i="16"/>
  <c r="BI31" i="16" s="1"/>
  <c r="BY32" i="16" s="1"/>
  <c r="AT34" i="16"/>
  <c r="BI35" i="16" s="1"/>
  <c r="BY36" i="16" s="1"/>
  <c r="AT38" i="16"/>
  <c r="AJ25" i="16"/>
  <c r="AJ33" i="16"/>
  <c r="AJ29" i="16"/>
  <c r="AJ37" i="16"/>
  <c r="AJ22" i="16"/>
  <c r="AY23" i="16" s="1"/>
  <c r="AJ30" i="16"/>
  <c r="AJ38" i="16"/>
  <c r="AJ21" i="16"/>
  <c r="AJ19" i="16"/>
  <c r="AY20" i="16" s="1"/>
  <c r="AJ27" i="16"/>
  <c r="AJ35" i="16"/>
  <c r="AJ24" i="16"/>
  <c r="AJ32" i="16"/>
  <c r="AJ17" i="16"/>
  <c r="BO20" i="16"/>
  <c r="AJ26" i="16"/>
  <c r="AJ34" i="16"/>
  <c r="AJ31" i="16"/>
  <c r="AJ36" i="16"/>
  <c r="AJ23" i="16"/>
  <c r="AJ28" i="16"/>
  <c r="BI34" i="16"/>
  <c r="BY35" i="16" s="1"/>
  <c r="X13" i="1"/>
  <c r="W14" i="1" s="1"/>
  <c r="S17" i="16"/>
  <c r="CD16" i="16"/>
  <c r="CS16" i="16" s="1"/>
  <c r="P13" i="1"/>
  <c r="Q12" i="1"/>
  <c r="BB11" i="16"/>
  <c r="BR11" i="16"/>
  <c r="X11" i="16"/>
  <c r="X45" i="16" s="1"/>
  <c r="BA11" i="16"/>
  <c r="W11" i="16"/>
  <c r="W45" i="16" s="1"/>
  <c r="BQ11" i="16"/>
  <c r="Z11" i="16"/>
  <c r="Z45" i="16" s="1"/>
  <c r="BT11" i="16"/>
  <c r="BD11" i="16"/>
  <c r="BE11" i="16"/>
  <c r="AA11" i="16"/>
  <c r="AA45" i="16" s="1"/>
  <c r="BU11" i="16"/>
  <c r="AZ11" i="16"/>
  <c r="BP11" i="16"/>
  <c r="V11" i="16"/>
  <c r="V45" i="16" s="1"/>
  <c r="Y11" i="16"/>
  <c r="Y45" i="16" s="1"/>
  <c r="BS11" i="16"/>
  <c r="BC11" i="16"/>
  <c r="U11" i="16"/>
  <c r="BO11" i="16"/>
  <c r="AY11" i="16"/>
  <c r="CA15" i="16"/>
  <c r="BV11" i="16"/>
  <c r="AB11" i="16"/>
  <c r="AB45" i="16" s="1"/>
  <c r="BF11" i="16"/>
  <c r="DK15" i="16"/>
  <c r="DJ15" i="16"/>
  <c r="DZ15" i="16" s="1"/>
  <c r="BI22" i="16"/>
  <c r="BY23" i="16" s="1"/>
  <c r="BI26" i="16"/>
  <c r="BY27" i="16" s="1"/>
  <c r="AT15" i="16"/>
  <c r="BI16" i="16" s="1"/>
  <c r="BY17" i="16" s="1"/>
  <c r="AT16" i="16"/>
  <c r="BI17" i="16" s="1"/>
  <c r="BY18" i="16" s="1"/>
  <c r="AT14" i="16"/>
  <c r="I45" i="16"/>
  <c r="AM11" i="16"/>
  <c r="E3" i="1"/>
  <c r="BQ3" i="1"/>
  <c r="CH3" i="1"/>
  <c r="AZ3" i="1"/>
  <c r="V13" i="1"/>
  <c r="T13" i="1"/>
  <c r="S14" i="1" s="1"/>
  <c r="C14" i="1"/>
  <c r="P14" i="1" s="1"/>
  <c r="A13" i="1"/>
  <c r="C9" i="5"/>
  <c r="DH16" i="16"/>
  <c r="DJ16" i="16" s="1"/>
  <c r="DZ16" i="16" s="1"/>
  <c r="F45" i="16"/>
  <c r="G45" i="16"/>
  <c r="AN11" i="16"/>
  <c r="R13" i="1"/>
  <c r="AK11" i="16"/>
  <c r="M45" i="16"/>
  <c r="L45" i="16"/>
  <c r="J45" i="16"/>
  <c r="AL11" i="16"/>
  <c r="H45" i="16"/>
  <c r="S3" i="16"/>
  <c r="CS3" i="16"/>
  <c r="K45" i="16"/>
  <c r="AP11" i="16"/>
  <c r="AQ11" i="16"/>
  <c r="A3" i="23"/>
  <c r="CD3" i="16"/>
  <c r="A3" i="28"/>
  <c r="CT3" i="29"/>
  <c r="BT3" i="29"/>
  <c r="D3" i="29"/>
  <c r="BG3" i="29"/>
  <c r="AD3" i="29"/>
  <c r="A3" i="24"/>
  <c r="A3" i="9"/>
  <c r="AW3" i="16"/>
  <c r="A3" i="8"/>
  <c r="D3" i="16"/>
  <c r="C3" i="5"/>
  <c r="A3" i="11"/>
  <c r="AG3" i="1"/>
  <c r="A11" i="28"/>
  <c r="A12" i="28" s="1"/>
  <c r="A11" i="11"/>
  <c r="C38" i="6"/>
  <c r="AP15" i="1"/>
  <c r="A11" i="9"/>
  <c r="C40" i="6"/>
  <c r="A12" i="10" s="1"/>
  <c r="C39" i="6"/>
  <c r="B36" i="8"/>
  <c r="F36" i="8" s="1"/>
  <c r="C36" i="6"/>
  <c r="DF45" i="16" l="1"/>
  <c r="B11" i="28"/>
  <c r="C11" i="28" s="1"/>
  <c r="D11" i="28" s="1"/>
  <c r="AE11" i="28" s="1"/>
  <c r="D18" i="16"/>
  <c r="D19" i="16" s="1"/>
  <c r="S19" i="16" s="1"/>
  <c r="CD17" i="16"/>
  <c r="C34" i="6"/>
  <c r="C37" i="6" s="1"/>
  <c r="AI11" i="24" s="1"/>
  <c r="D16" i="1"/>
  <c r="CQ16" i="1" s="1"/>
  <c r="B23" i="23"/>
  <c r="F37" i="23"/>
  <c r="B37" i="23"/>
  <c r="D9" i="26"/>
  <c r="C8" i="26"/>
  <c r="AQ20" i="16"/>
  <c r="AQ24" i="16"/>
  <c r="AQ28" i="16"/>
  <c r="BF29" i="16" s="1"/>
  <c r="BV30" i="16" s="1"/>
  <c r="AQ32" i="16"/>
  <c r="BF33" i="16" s="1"/>
  <c r="BV34" i="16" s="1"/>
  <c r="AQ36" i="16"/>
  <c r="BF37" i="16" s="1"/>
  <c r="AQ22" i="16"/>
  <c r="BF23" i="16" s="1"/>
  <c r="BV24" i="16" s="1"/>
  <c r="AQ17" i="16"/>
  <c r="BF18" i="16" s="1"/>
  <c r="BV19" i="16" s="1"/>
  <c r="AQ18" i="16"/>
  <c r="BF19" i="16" s="1"/>
  <c r="BV20" i="16" s="1"/>
  <c r="AQ26" i="16"/>
  <c r="BF27" i="16" s="1"/>
  <c r="BV28" i="16" s="1"/>
  <c r="AQ30" i="16"/>
  <c r="BF31" i="16" s="1"/>
  <c r="BV32" i="16" s="1"/>
  <c r="AQ19" i="16"/>
  <c r="BF20" i="16" s="1"/>
  <c r="BV21" i="16" s="1"/>
  <c r="AQ23" i="16"/>
  <c r="BF24" i="16" s="1"/>
  <c r="BV25" i="16" s="1"/>
  <c r="AQ27" i="16"/>
  <c r="BF28" i="16" s="1"/>
  <c r="BV29" i="16" s="1"/>
  <c r="AQ31" i="16"/>
  <c r="BF32" i="16" s="1"/>
  <c r="BV33" i="16" s="1"/>
  <c r="AQ35" i="16"/>
  <c r="BF36" i="16" s="1"/>
  <c r="BV37" i="16" s="1"/>
  <c r="AQ34" i="16"/>
  <c r="BF35" i="16" s="1"/>
  <c r="BV36" i="16" s="1"/>
  <c r="AQ38" i="16"/>
  <c r="AQ21" i="16"/>
  <c r="BF22" i="16" s="1"/>
  <c r="BV23" i="16" s="1"/>
  <c r="AQ25" i="16"/>
  <c r="BF26" i="16" s="1"/>
  <c r="BV27" i="16" s="1"/>
  <c r="AQ29" i="16"/>
  <c r="BF30" i="16" s="1"/>
  <c r="BV31" i="16" s="1"/>
  <c r="AQ33" i="16"/>
  <c r="AQ37" i="16"/>
  <c r="BF38" i="16" s="1"/>
  <c r="AP17" i="16"/>
  <c r="BE18" i="16" s="1"/>
  <c r="BU19" i="16" s="1"/>
  <c r="AP19" i="16"/>
  <c r="BE20" i="16" s="1"/>
  <c r="BU21" i="16" s="1"/>
  <c r="AP23" i="16"/>
  <c r="BE24" i="16" s="1"/>
  <c r="BU25" i="16" s="1"/>
  <c r="AP27" i="16"/>
  <c r="BE28" i="16" s="1"/>
  <c r="BU29" i="16" s="1"/>
  <c r="AP31" i="16"/>
  <c r="BE32" i="16" s="1"/>
  <c r="BU33" i="16" s="1"/>
  <c r="AP35" i="16"/>
  <c r="BE36" i="16" s="1"/>
  <c r="BU37" i="16" s="1"/>
  <c r="AP18" i="16"/>
  <c r="BE19" i="16" s="1"/>
  <c r="BU20" i="16" s="1"/>
  <c r="AP22" i="16"/>
  <c r="BE23" i="16" s="1"/>
  <c r="BU24" i="16" s="1"/>
  <c r="AP26" i="16"/>
  <c r="BE27" i="16" s="1"/>
  <c r="BU28" i="16" s="1"/>
  <c r="AP30" i="16"/>
  <c r="BE31" i="16" s="1"/>
  <c r="BU32" i="16" s="1"/>
  <c r="AP34" i="16"/>
  <c r="BE35" i="16" s="1"/>
  <c r="BU36" i="16" s="1"/>
  <c r="AP38" i="16"/>
  <c r="AP21" i="16"/>
  <c r="BE22" i="16" s="1"/>
  <c r="BU23" i="16" s="1"/>
  <c r="AP25" i="16"/>
  <c r="BE26" i="16" s="1"/>
  <c r="BU27" i="16" s="1"/>
  <c r="AP29" i="16"/>
  <c r="BE30" i="16" s="1"/>
  <c r="BU31" i="16" s="1"/>
  <c r="AP33" i="16"/>
  <c r="BE34" i="16" s="1"/>
  <c r="BU35" i="16" s="1"/>
  <c r="AP37" i="16"/>
  <c r="BE38" i="16" s="1"/>
  <c r="AP20" i="16"/>
  <c r="BE21" i="16" s="1"/>
  <c r="BU22" i="16" s="1"/>
  <c r="AP24" i="16"/>
  <c r="BE25" i="16" s="1"/>
  <c r="BU26" i="16" s="1"/>
  <c r="AP28" i="16"/>
  <c r="BE29" i="16" s="1"/>
  <c r="BU30" i="16" s="1"/>
  <c r="AP32" i="16"/>
  <c r="BE33" i="16" s="1"/>
  <c r="BU34" i="16" s="1"/>
  <c r="AP36" i="16"/>
  <c r="BE37" i="16" s="1"/>
  <c r="AL23" i="16"/>
  <c r="BA24" i="16" s="1"/>
  <c r="BQ25" i="16" s="1"/>
  <c r="AL31" i="16"/>
  <c r="BA32" i="16" s="1"/>
  <c r="BQ33" i="16" s="1"/>
  <c r="AL19" i="16"/>
  <c r="BA20" i="16" s="1"/>
  <c r="BQ21" i="16" s="1"/>
  <c r="AL20" i="16"/>
  <c r="BA21" i="16" s="1"/>
  <c r="BQ22" i="16" s="1"/>
  <c r="AL28" i="16"/>
  <c r="BA29" i="16" s="1"/>
  <c r="BQ30" i="16" s="1"/>
  <c r="AL36" i="16"/>
  <c r="BA37" i="16" s="1"/>
  <c r="AL27" i="16"/>
  <c r="BA28" i="16" s="1"/>
  <c r="BQ29" i="16" s="1"/>
  <c r="AL25" i="16"/>
  <c r="BA26" i="16" s="1"/>
  <c r="BQ27" i="16" s="1"/>
  <c r="AL33" i="16"/>
  <c r="BA34" i="16" s="1"/>
  <c r="BQ35" i="16" s="1"/>
  <c r="AL22" i="16"/>
  <c r="BA23" i="16" s="1"/>
  <c r="BQ24" i="16" s="1"/>
  <c r="AL30" i="16"/>
  <c r="BA31" i="16" s="1"/>
  <c r="BQ32" i="16" s="1"/>
  <c r="AL38" i="16"/>
  <c r="AL35" i="16"/>
  <c r="BA36" i="16" s="1"/>
  <c r="BQ37" i="16" s="1"/>
  <c r="AL24" i="16"/>
  <c r="BA25" i="16" s="1"/>
  <c r="BQ26" i="16" s="1"/>
  <c r="AL32" i="16"/>
  <c r="BA33" i="16" s="1"/>
  <c r="BQ34" i="16" s="1"/>
  <c r="AL21" i="16"/>
  <c r="BA22" i="16" s="1"/>
  <c r="BQ23" i="16" s="1"/>
  <c r="AL37" i="16"/>
  <c r="BA38" i="16" s="1"/>
  <c r="AL29" i="16"/>
  <c r="BA30" i="16" s="1"/>
  <c r="BQ31" i="16" s="1"/>
  <c r="AL17" i="16"/>
  <c r="BA18" i="16" s="1"/>
  <c r="AL18" i="16"/>
  <c r="BA19" i="16" s="1"/>
  <c r="BQ20" i="16" s="1"/>
  <c r="AL26" i="16"/>
  <c r="BA27" i="16" s="1"/>
  <c r="BQ28" i="16" s="1"/>
  <c r="AL34" i="16"/>
  <c r="BA35" i="16" s="1"/>
  <c r="BQ36" i="16" s="1"/>
  <c r="AO19" i="16"/>
  <c r="AO23" i="16"/>
  <c r="BD24" i="16" s="1"/>
  <c r="BT25" i="16" s="1"/>
  <c r="AO27" i="16"/>
  <c r="BD28" i="16" s="1"/>
  <c r="BT29" i="16" s="1"/>
  <c r="AO31" i="16"/>
  <c r="BD32" i="16" s="1"/>
  <c r="BT33" i="16" s="1"/>
  <c r="AO35" i="16"/>
  <c r="BD36" i="16" s="1"/>
  <c r="BT37" i="16" s="1"/>
  <c r="AO33" i="16"/>
  <c r="BD34" i="16" s="1"/>
  <c r="BT35" i="16" s="1"/>
  <c r="AO18" i="16"/>
  <c r="BD19" i="16" s="1"/>
  <c r="BT20" i="16" s="1"/>
  <c r="AO22" i="16"/>
  <c r="BD23" i="16" s="1"/>
  <c r="BT24" i="16" s="1"/>
  <c r="AO26" i="16"/>
  <c r="BD27" i="16" s="1"/>
  <c r="BT28" i="16" s="1"/>
  <c r="AO30" i="16"/>
  <c r="BD31" i="16" s="1"/>
  <c r="BT32" i="16" s="1"/>
  <c r="AO34" i="16"/>
  <c r="BD35" i="16" s="1"/>
  <c r="BT36" i="16" s="1"/>
  <c r="AO38" i="16"/>
  <c r="AO17" i="16"/>
  <c r="BD18" i="16" s="1"/>
  <c r="BT19" i="16" s="1"/>
  <c r="AO21" i="16"/>
  <c r="BD22" i="16" s="1"/>
  <c r="BT23" i="16" s="1"/>
  <c r="AO37" i="16"/>
  <c r="BD38" i="16" s="1"/>
  <c r="AO25" i="16"/>
  <c r="BD26" i="16" s="1"/>
  <c r="BT27" i="16" s="1"/>
  <c r="AO29" i="16"/>
  <c r="BD30" i="16" s="1"/>
  <c r="BT31" i="16" s="1"/>
  <c r="AO32" i="16"/>
  <c r="BD33" i="16" s="1"/>
  <c r="BT34" i="16" s="1"/>
  <c r="AO36" i="16"/>
  <c r="BD37" i="16" s="1"/>
  <c r="AO20" i="16"/>
  <c r="BD21" i="16" s="1"/>
  <c r="BT22" i="16" s="1"/>
  <c r="AO24" i="16"/>
  <c r="BD25" i="16" s="1"/>
  <c r="BT26" i="16" s="1"/>
  <c r="AO28" i="16"/>
  <c r="BD29" i="16" s="1"/>
  <c r="BT30" i="16" s="1"/>
  <c r="AM18" i="16"/>
  <c r="BB19" i="16" s="1"/>
  <c r="BR20" i="16" s="1"/>
  <c r="AM26" i="16"/>
  <c r="BB27" i="16" s="1"/>
  <c r="BR28" i="16" s="1"/>
  <c r="AM34" i="16"/>
  <c r="BB35" i="16" s="1"/>
  <c r="BR36" i="16" s="1"/>
  <c r="AM17" i="16"/>
  <c r="BB18" i="16" s="1"/>
  <c r="BR19" i="16" s="1"/>
  <c r="AM23" i="16"/>
  <c r="BB24" i="16" s="1"/>
  <c r="BR25" i="16" s="1"/>
  <c r="AM31" i="16"/>
  <c r="BB32" i="16" s="1"/>
  <c r="BR33" i="16" s="1"/>
  <c r="AM36" i="16"/>
  <c r="BB37" i="16" s="1"/>
  <c r="AM38" i="16"/>
  <c r="AM20" i="16"/>
  <c r="BB21" i="16" s="1"/>
  <c r="BR22" i="16" s="1"/>
  <c r="AM28" i="16"/>
  <c r="BB29" i="16" s="1"/>
  <c r="BR30" i="16" s="1"/>
  <c r="AM25" i="16"/>
  <c r="BB26" i="16" s="1"/>
  <c r="BR27" i="16" s="1"/>
  <c r="AM33" i="16"/>
  <c r="BB34" i="16" s="1"/>
  <c r="BR35" i="16" s="1"/>
  <c r="AM22" i="16"/>
  <c r="BB23" i="16" s="1"/>
  <c r="BR24" i="16" s="1"/>
  <c r="AM30" i="16"/>
  <c r="BB31" i="16" s="1"/>
  <c r="BR32" i="16" s="1"/>
  <c r="AM19" i="16"/>
  <c r="BB20" i="16" s="1"/>
  <c r="BR21" i="16" s="1"/>
  <c r="AM27" i="16"/>
  <c r="BB28" i="16" s="1"/>
  <c r="BR29" i="16" s="1"/>
  <c r="AM35" i="16"/>
  <c r="BB36" i="16" s="1"/>
  <c r="BR37" i="16" s="1"/>
  <c r="AM24" i="16"/>
  <c r="BB25" i="16" s="1"/>
  <c r="AM32" i="16"/>
  <c r="BB33" i="16" s="1"/>
  <c r="BR34" i="16" s="1"/>
  <c r="AM21" i="16"/>
  <c r="BB22" i="16" s="1"/>
  <c r="AM29" i="16"/>
  <c r="BB30" i="16" s="1"/>
  <c r="BR31" i="16" s="1"/>
  <c r="AM37" i="16"/>
  <c r="BB38" i="16" s="1"/>
  <c r="AK20" i="16"/>
  <c r="AZ21" i="16" s="1"/>
  <c r="BP22" i="16" s="1"/>
  <c r="AK28" i="16"/>
  <c r="AZ29" i="16" s="1"/>
  <c r="BP30" i="16" s="1"/>
  <c r="AK36" i="16"/>
  <c r="AZ37" i="16" s="1"/>
  <c r="AK24" i="16"/>
  <c r="AZ25" i="16" s="1"/>
  <c r="BP26" i="16" s="1"/>
  <c r="AK25" i="16"/>
  <c r="AZ26" i="16" s="1"/>
  <c r="BP27" i="16" s="1"/>
  <c r="AK33" i="16"/>
  <c r="AZ34" i="16" s="1"/>
  <c r="BP35" i="16" s="1"/>
  <c r="AK32" i="16"/>
  <c r="AZ33" i="16" s="1"/>
  <c r="BP34" i="16" s="1"/>
  <c r="AK22" i="16"/>
  <c r="AZ23" i="16" s="1"/>
  <c r="BP24" i="16" s="1"/>
  <c r="AK30" i="16"/>
  <c r="AZ31" i="16" s="1"/>
  <c r="BP32" i="16" s="1"/>
  <c r="AK38" i="16"/>
  <c r="AK19" i="16"/>
  <c r="AZ20" i="16" s="1"/>
  <c r="BP21" i="16" s="1"/>
  <c r="AK27" i="16"/>
  <c r="AZ28" i="16" s="1"/>
  <c r="BP29" i="16" s="1"/>
  <c r="AK35" i="16"/>
  <c r="AZ36" i="16" s="1"/>
  <c r="BP37" i="16" s="1"/>
  <c r="AK21" i="16"/>
  <c r="AZ22" i="16" s="1"/>
  <c r="BP23" i="16" s="1"/>
  <c r="AK29" i="16"/>
  <c r="AZ30" i="16" s="1"/>
  <c r="BP31" i="16" s="1"/>
  <c r="AK37" i="16"/>
  <c r="AZ38" i="16" s="1"/>
  <c r="AK26" i="16"/>
  <c r="AZ27" i="16" s="1"/>
  <c r="BP28" i="16" s="1"/>
  <c r="AK31" i="16"/>
  <c r="AZ32" i="16" s="1"/>
  <c r="BP33" i="16" s="1"/>
  <c r="AK18" i="16"/>
  <c r="AZ19" i="16" s="1"/>
  <c r="BP20" i="16" s="1"/>
  <c r="AK34" i="16"/>
  <c r="AZ35" i="16" s="1"/>
  <c r="BP36" i="16" s="1"/>
  <c r="AK17" i="16"/>
  <c r="AZ18" i="16" s="1"/>
  <c r="BP19" i="16" s="1"/>
  <c r="AK23" i="16"/>
  <c r="AZ24" i="16" s="1"/>
  <c r="BP25" i="16" s="1"/>
  <c r="AN21" i="16"/>
  <c r="BC22" i="16" s="1"/>
  <c r="BS23" i="16" s="1"/>
  <c r="AN29" i="16"/>
  <c r="BC30" i="16" s="1"/>
  <c r="BS31" i="16" s="1"/>
  <c r="AN37" i="16"/>
  <c r="BC38" i="16" s="1"/>
  <c r="BC19" i="16"/>
  <c r="BS20" i="16" s="1"/>
  <c r="AN26" i="16"/>
  <c r="BC27" i="16" s="1"/>
  <c r="BS28" i="16" s="1"/>
  <c r="AN34" i="16"/>
  <c r="BC35" i="16" s="1"/>
  <c r="BS36" i="16" s="1"/>
  <c r="AN17" i="16"/>
  <c r="AN23" i="16"/>
  <c r="BC24" i="16" s="1"/>
  <c r="BS25" i="16" s="1"/>
  <c r="AN31" i="16"/>
  <c r="AN25" i="16"/>
  <c r="BC26" i="16" s="1"/>
  <c r="BS27" i="16" s="1"/>
  <c r="AN33" i="16"/>
  <c r="AN20" i="16"/>
  <c r="BC21" i="16" s="1"/>
  <c r="BS22" i="16" s="1"/>
  <c r="AN28" i="16"/>
  <c r="BC29" i="16" s="1"/>
  <c r="BS30" i="16" s="1"/>
  <c r="AN36" i="16"/>
  <c r="BC37" i="16" s="1"/>
  <c r="AN22" i="16"/>
  <c r="BC23" i="16" s="1"/>
  <c r="BS24" i="16" s="1"/>
  <c r="AN30" i="16"/>
  <c r="BC31" i="16" s="1"/>
  <c r="BS32" i="16" s="1"/>
  <c r="AN38" i="16"/>
  <c r="AN19" i="16"/>
  <c r="BC20" i="16" s="1"/>
  <c r="BS21" i="16" s="1"/>
  <c r="AN27" i="16"/>
  <c r="BC28" i="16" s="1"/>
  <c r="BS29" i="16" s="1"/>
  <c r="AN35" i="16"/>
  <c r="BC36" i="16" s="1"/>
  <c r="BS37" i="16" s="1"/>
  <c r="AN32" i="16"/>
  <c r="BC33" i="16" s="1"/>
  <c r="BS34" i="16" s="1"/>
  <c r="AN24" i="16"/>
  <c r="BC25" i="16" s="1"/>
  <c r="BS26" i="16" s="1"/>
  <c r="AG12" i="1"/>
  <c r="AZ12" i="1"/>
  <c r="BB12" i="1" s="1"/>
  <c r="DW16" i="16"/>
  <c r="DK16" i="16"/>
  <c r="DM15" i="16"/>
  <c r="EA15" i="16"/>
  <c r="DL16" i="16"/>
  <c r="DL15" i="16"/>
  <c r="AM16" i="16"/>
  <c r="BB17" i="16" s="1"/>
  <c r="BR18" i="16" s="1"/>
  <c r="AM15" i="16"/>
  <c r="BB16" i="16" s="1"/>
  <c r="BR17" i="16" s="1"/>
  <c r="BI15" i="16"/>
  <c r="AT41" i="16"/>
  <c r="AM14" i="16"/>
  <c r="BB15" i="16" s="1"/>
  <c r="BR16" i="16" s="1"/>
  <c r="AK14" i="16"/>
  <c r="AZ15" i="16" s="1"/>
  <c r="BP16" i="16" s="1"/>
  <c r="AN14" i="16"/>
  <c r="BC15" i="16" s="1"/>
  <c r="BS16" i="16" s="1"/>
  <c r="V14" i="1"/>
  <c r="A14" i="1"/>
  <c r="T14" i="1"/>
  <c r="S15" i="1" s="1"/>
  <c r="C15" i="1"/>
  <c r="C16" i="1" s="1"/>
  <c r="X14" i="1"/>
  <c r="W15" i="1" s="1"/>
  <c r="C10" i="5"/>
  <c r="R14" i="1"/>
  <c r="S18" i="16"/>
  <c r="CD18" i="16"/>
  <c r="AN15" i="16"/>
  <c r="BC16" i="16" s="1"/>
  <c r="BS17" i="16" s="1"/>
  <c r="DH17" i="16"/>
  <c r="CS17" i="16"/>
  <c r="D20" i="16"/>
  <c r="S20" i="16" s="1"/>
  <c r="CD19" i="16"/>
  <c r="BC32" i="16"/>
  <c r="BS33" i="16" s="1"/>
  <c r="BC34" i="16"/>
  <c r="BS35" i="16" s="1"/>
  <c r="Q45" i="16"/>
  <c r="AN16" i="16"/>
  <c r="BC17" i="16" s="1"/>
  <c r="BS18" i="16" s="1"/>
  <c r="BC18" i="16"/>
  <c r="BS19" i="16" s="1"/>
  <c r="AK15" i="16"/>
  <c r="AZ16" i="16" s="1"/>
  <c r="BP17" i="16" s="1"/>
  <c r="AK16" i="16"/>
  <c r="AZ17" i="16" s="1"/>
  <c r="BP18" i="16" s="1"/>
  <c r="AP14" i="16"/>
  <c r="BE15" i="16" s="1"/>
  <c r="AP16" i="16"/>
  <c r="BE17" i="16" s="1"/>
  <c r="BU18" i="16" s="1"/>
  <c r="AP15" i="16"/>
  <c r="BE16" i="16" s="1"/>
  <c r="BU17" i="16" s="1"/>
  <c r="AJ14" i="16"/>
  <c r="AJ15" i="16"/>
  <c r="AJ16" i="16"/>
  <c r="AY22" i="16"/>
  <c r="AY27" i="16"/>
  <c r="AY29" i="16"/>
  <c r="AL16" i="16"/>
  <c r="BA17" i="16" s="1"/>
  <c r="BQ18" i="16" s="1"/>
  <c r="AL15" i="16"/>
  <c r="BA16" i="16" s="1"/>
  <c r="BQ17" i="16" s="1"/>
  <c r="AL14" i="16"/>
  <c r="BA15" i="16" s="1"/>
  <c r="BQ16" i="16" s="1"/>
  <c r="AQ16" i="16"/>
  <c r="BF17" i="16" s="1"/>
  <c r="BV18" i="16" s="1"/>
  <c r="BF25" i="16"/>
  <c r="BV26" i="16" s="1"/>
  <c r="AQ14" i="16"/>
  <c r="BF21" i="16"/>
  <c r="BV22" i="16" s="1"/>
  <c r="BF34" i="16"/>
  <c r="BV35" i="16" s="1"/>
  <c r="AQ15" i="16"/>
  <c r="BF16" i="16" s="1"/>
  <c r="BV17" i="16" s="1"/>
  <c r="AO16" i="16"/>
  <c r="BD17" i="16" s="1"/>
  <c r="BT18" i="16" s="1"/>
  <c r="AO15" i="16"/>
  <c r="BD16" i="16" s="1"/>
  <c r="BT17" i="16" s="1"/>
  <c r="AO14" i="16"/>
  <c r="AP13" i="1"/>
  <c r="A12" i="9"/>
  <c r="B11" i="9"/>
  <c r="D38" i="23"/>
  <c r="AE11" i="11"/>
  <c r="D36" i="8"/>
  <c r="A12" i="11"/>
  <c r="A11" i="24"/>
  <c r="AD11" i="24"/>
  <c r="AI17" i="24" s="1"/>
  <c r="AP14" i="1"/>
  <c r="AP11" i="1"/>
  <c r="AP12" i="1"/>
  <c r="A13" i="10"/>
  <c r="G13" i="10" s="1"/>
  <c r="H13" i="10" s="1"/>
  <c r="G12" i="10"/>
  <c r="H12" i="10" s="1"/>
  <c r="Y15" i="1"/>
  <c r="Z15" i="1" s="1"/>
  <c r="BD15" i="1" s="1"/>
  <c r="BF15" i="1" s="1"/>
  <c r="B38" i="23" l="1"/>
  <c r="F38" i="23" s="1"/>
  <c r="EQ15" i="16"/>
  <c r="CD20" i="16"/>
  <c r="DS17" i="16"/>
  <c r="DT17" i="16"/>
  <c r="DQ17" i="16"/>
  <c r="DR17" i="16"/>
  <c r="DP17" i="16"/>
  <c r="DN17" i="16"/>
  <c r="DM17" i="16"/>
  <c r="DO17" i="16"/>
  <c r="DL17" i="16"/>
  <c r="DJ17" i="16"/>
  <c r="DK17" i="16"/>
  <c r="D21" i="16"/>
  <c r="S21" i="16" s="1"/>
  <c r="R15" i="1"/>
  <c r="V15" i="1"/>
  <c r="D17" i="1"/>
  <c r="CQ17" i="1" s="1"/>
  <c r="A13" i="28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D10" i="26"/>
  <c r="C9" i="26"/>
  <c r="BC12" i="1"/>
  <c r="P16" i="1"/>
  <c r="BV16" i="1"/>
  <c r="BV15" i="1"/>
  <c r="A15" i="1"/>
  <c r="A16" i="1" s="1"/>
  <c r="DM16" i="16"/>
  <c r="EA16" i="16"/>
  <c r="C11" i="5"/>
  <c r="DN15" i="16"/>
  <c r="EB15" i="16"/>
  <c r="ER15" i="16" s="1"/>
  <c r="DN16" i="16"/>
  <c r="EB16" i="16"/>
  <c r="DO15" i="16"/>
  <c r="EC15" i="16"/>
  <c r="AM41" i="16"/>
  <c r="BY16" i="16"/>
  <c r="BY41" i="16" s="1"/>
  <c r="BI41" i="16"/>
  <c r="AU37" i="16"/>
  <c r="AU27" i="16"/>
  <c r="AU19" i="16"/>
  <c r="BO30" i="16"/>
  <c r="CA30" i="16" s="1"/>
  <c r="BK29" i="16"/>
  <c r="I24" i="1" s="1"/>
  <c r="BO28" i="16"/>
  <c r="CA28" i="16" s="1"/>
  <c r="BK27" i="16"/>
  <c r="I22" i="1" s="1"/>
  <c r="BO23" i="16"/>
  <c r="BK22" i="16"/>
  <c r="I17" i="1" s="1"/>
  <c r="AY28" i="16"/>
  <c r="AU36" i="16"/>
  <c r="AU28" i="16"/>
  <c r="AY21" i="16"/>
  <c r="AU20" i="16"/>
  <c r="AU35" i="16"/>
  <c r="AU26" i="16"/>
  <c r="AU21" i="16"/>
  <c r="AU34" i="16"/>
  <c r="AY30" i="16"/>
  <c r="AU29" i="16"/>
  <c r="AU18" i="16"/>
  <c r="AY34" i="16"/>
  <c r="AU33" i="16"/>
  <c r="AY24" i="16"/>
  <c r="AU23" i="16"/>
  <c r="AU17" i="16"/>
  <c r="AY33" i="16"/>
  <c r="AU32" i="16"/>
  <c r="AY25" i="16"/>
  <c r="AU24" i="16"/>
  <c r="AU16" i="16"/>
  <c r="AY32" i="16"/>
  <c r="AU31" i="16"/>
  <c r="AY26" i="16"/>
  <c r="AU25" i="16"/>
  <c r="AY16" i="16"/>
  <c r="AU15" i="16"/>
  <c r="AU38" i="16"/>
  <c r="AY31" i="16"/>
  <c r="AU30" i="16"/>
  <c r="AU22" i="16"/>
  <c r="AU14" i="16"/>
  <c r="BD20" i="16"/>
  <c r="BT21" i="16" s="1"/>
  <c r="T15" i="1"/>
  <c r="S16" i="1" s="1"/>
  <c r="T16" i="1" s="1"/>
  <c r="X15" i="1"/>
  <c r="W16" i="1" s="1"/>
  <c r="X16" i="1" s="1"/>
  <c r="W17" i="1" s="1"/>
  <c r="D18" i="1"/>
  <c r="CQ18" i="1" s="1"/>
  <c r="BG15" i="1"/>
  <c r="DW17" i="16"/>
  <c r="DH18" i="16"/>
  <c r="CS18" i="16"/>
  <c r="DH20" i="16"/>
  <c r="CS20" i="16"/>
  <c r="DH19" i="16"/>
  <c r="CS19" i="16"/>
  <c r="BP41" i="16"/>
  <c r="AZ41" i="16"/>
  <c r="AN41" i="16"/>
  <c r="BC41" i="16"/>
  <c r="AK41" i="16"/>
  <c r="C12" i="5"/>
  <c r="AL41" i="16"/>
  <c r="AY17" i="16"/>
  <c r="AP41" i="16"/>
  <c r="BQ19" i="16"/>
  <c r="BQ41" i="16" s="1"/>
  <c r="BA41" i="16"/>
  <c r="AY38" i="16"/>
  <c r="BK38" i="16" s="1"/>
  <c r="AY37" i="16"/>
  <c r="BK37" i="16" s="1"/>
  <c r="I36" i="1" s="1"/>
  <c r="AY36" i="16"/>
  <c r="BK36" i="16" s="1"/>
  <c r="I35" i="1" s="1"/>
  <c r="AY35" i="16"/>
  <c r="BK35" i="16" s="1"/>
  <c r="I34" i="1" s="1"/>
  <c r="C17" i="1"/>
  <c r="AY15" i="16"/>
  <c r="AJ41" i="16"/>
  <c r="BD15" i="16"/>
  <c r="AO41" i="16"/>
  <c r="AY18" i="16"/>
  <c r="AI48" i="16"/>
  <c r="D22" i="16"/>
  <c r="BF15" i="16"/>
  <c r="AQ41" i="16"/>
  <c r="AM15" i="1"/>
  <c r="AN15" i="1" s="1"/>
  <c r="AI13" i="24"/>
  <c r="AD22" i="24"/>
  <c r="V16" i="1"/>
  <c r="R16" i="1"/>
  <c r="AI22" i="24"/>
  <c r="AD16" i="24"/>
  <c r="AI21" i="24"/>
  <c r="AI14" i="24"/>
  <c r="AD13" i="24"/>
  <c r="AD18" i="24"/>
  <c r="AD19" i="24"/>
  <c r="AD15" i="24"/>
  <c r="AD21" i="24"/>
  <c r="AD14" i="24"/>
  <c r="AI20" i="24"/>
  <c r="AI15" i="24"/>
  <c r="AI18" i="24"/>
  <c r="AI19" i="24"/>
  <c r="AD20" i="24"/>
  <c r="AI16" i="24"/>
  <c r="AD17" i="24"/>
  <c r="C11" i="9"/>
  <c r="D11" i="9" s="1"/>
  <c r="X11" i="9" s="1"/>
  <c r="A13" i="9"/>
  <c r="B12" i="9"/>
  <c r="C12" i="9" s="1"/>
  <c r="D12" i="9" s="1"/>
  <c r="A12" i="24"/>
  <c r="B11" i="24"/>
  <c r="BU16" i="16"/>
  <c r="BU41" i="16" s="1"/>
  <c r="BE41" i="16"/>
  <c r="BR26" i="16"/>
  <c r="BR23" i="16"/>
  <c r="BB41" i="16"/>
  <c r="BS41" i="16"/>
  <c r="Y16" i="1"/>
  <c r="Z16" i="1" s="1"/>
  <c r="BD16" i="1" s="1"/>
  <c r="BF16" i="1" s="1"/>
  <c r="BG16" i="1" s="1"/>
  <c r="A13" i="11"/>
  <c r="B12" i="11"/>
  <c r="A14" i="10"/>
  <c r="G14" i="10" s="1"/>
  <c r="H14" i="10" s="1"/>
  <c r="AP16" i="1"/>
  <c r="B12" i="28"/>
  <c r="ES15" i="16" l="1"/>
  <c r="ER16" i="16"/>
  <c r="EQ16" i="16"/>
  <c r="B13" i="28"/>
  <c r="C13" i="28" s="1"/>
  <c r="D13" i="28" s="1"/>
  <c r="W13" i="28"/>
  <c r="I41" i="1"/>
  <c r="I42" i="1"/>
  <c r="I44" i="1"/>
  <c r="I45" i="1"/>
  <c r="I56" i="1"/>
  <c r="I43" i="1"/>
  <c r="I37" i="1"/>
  <c r="I40" i="1"/>
  <c r="I46" i="1"/>
  <c r="I48" i="1"/>
  <c r="I54" i="1"/>
  <c r="I39" i="1"/>
  <c r="I47" i="1"/>
  <c r="I49" i="1"/>
  <c r="I55" i="1"/>
  <c r="I38" i="1"/>
  <c r="I50" i="1"/>
  <c r="I52" i="1"/>
  <c r="I53" i="1"/>
  <c r="I51" i="1"/>
  <c r="CD21" i="16"/>
  <c r="DT19" i="16"/>
  <c r="DS19" i="16"/>
  <c r="DR19" i="16"/>
  <c r="DQ19" i="16"/>
  <c r="DO19" i="16"/>
  <c r="DJ19" i="16"/>
  <c r="DM19" i="16"/>
  <c r="DL19" i="16"/>
  <c r="DK19" i="16"/>
  <c r="DP19" i="16"/>
  <c r="DN19" i="16"/>
  <c r="DR18" i="16"/>
  <c r="DT18" i="16"/>
  <c r="DQ18" i="16"/>
  <c r="DS18" i="16"/>
  <c r="DP18" i="16"/>
  <c r="DK18" i="16"/>
  <c r="DM18" i="16"/>
  <c r="DJ18" i="16"/>
  <c r="DL18" i="16"/>
  <c r="DN18" i="16"/>
  <c r="DO18" i="16"/>
  <c r="DW20" i="16"/>
  <c r="DT20" i="16"/>
  <c r="DS20" i="16"/>
  <c r="DR20" i="16"/>
  <c r="DQ20" i="16"/>
  <c r="DL20" i="16"/>
  <c r="DP20" i="16"/>
  <c r="DN20" i="16"/>
  <c r="DM20" i="16"/>
  <c r="DO20" i="16"/>
  <c r="DJ20" i="16"/>
  <c r="DK20" i="16"/>
  <c r="A27" i="28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G9" i="26"/>
  <c r="G8" i="26"/>
  <c r="G7" i="26"/>
  <c r="D11" i="26"/>
  <c r="C10" i="26"/>
  <c r="B12" i="24"/>
  <c r="P17" i="1"/>
  <c r="BV17" i="1"/>
  <c r="DO16" i="16"/>
  <c r="EC16" i="16"/>
  <c r="EA17" i="16"/>
  <c r="DZ17" i="16"/>
  <c r="DP16" i="16"/>
  <c r="ED16" i="16"/>
  <c r="DQ15" i="16"/>
  <c r="EE15" i="16"/>
  <c r="DP15" i="16"/>
  <c r="ED15" i="16"/>
  <c r="ET15" i="16" s="1"/>
  <c r="BO24" i="16"/>
  <c r="CA24" i="16" s="1"/>
  <c r="BK23" i="16"/>
  <c r="I18" i="1" s="1"/>
  <c r="BO31" i="16"/>
  <c r="CA31" i="16" s="1"/>
  <c r="BK30" i="16"/>
  <c r="I25" i="1" s="1"/>
  <c r="BO33" i="16"/>
  <c r="CA33" i="16" s="1"/>
  <c r="BK32" i="16"/>
  <c r="I27" i="1" s="1"/>
  <c r="BO29" i="16"/>
  <c r="BK28" i="16"/>
  <c r="I23" i="1" s="1"/>
  <c r="BO32" i="16"/>
  <c r="CA32" i="16" s="1"/>
  <c r="BK31" i="16"/>
  <c r="I26" i="1" s="1"/>
  <c r="BO21" i="16"/>
  <c r="CA21" i="16" s="1"/>
  <c r="BK20" i="16"/>
  <c r="I15" i="1" s="1"/>
  <c r="J15" i="1" s="1"/>
  <c r="BO25" i="16"/>
  <c r="CA25" i="16" s="1"/>
  <c r="BK24" i="16"/>
  <c r="I19" i="1" s="1"/>
  <c r="BK15" i="16"/>
  <c r="CB15" i="16" s="1"/>
  <c r="BO35" i="16"/>
  <c r="CA35" i="16" s="1"/>
  <c r="BK34" i="16"/>
  <c r="I33" i="1" s="1"/>
  <c r="BO18" i="16"/>
  <c r="CA18" i="16" s="1"/>
  <c r="BK17" i="16"/>
  <c r="I12" i="1" s="1"/>
  <c r="BO17" i="16"/>
  <c r="CA17" i="16" s="1"/>
  <c r="BK16" i="16"/>
  <c r="BO26" i="16"/>
  <c r="CA26" i="16" s="1"/>
  <c r="BK25" i="16"/>
  <c r="I20" i="1" s="1"/>
  <c r="CA20" i="16"/>
  <c r="BK19" i="16"/>
  <c r="BO22" i="16"/>
  <c r="BK21" i="16"/>
  <c r="BO19" i="16"/>
  <c r="BK18" i="16"/>
  <c r="I13" i="1" s="1"/>
  <c r="J13" i="1" s="1"/>
  <c r="BO27" i="16"/>
  <c r="BK26" i="16"/>
  <c r="I21" i="1" s="1"/>
  <c r="BO34" i="16"/>
  <c r="CA34" i="16" s="1"/>
  <c r="BK33" i="16"/>
  <c r="D19" i="1"/>
  <c r="CQ19" i="1" s="1"/>
  <c r="BO37" i="16"/>
  <c r="CA37" i="16" s="1"/>
  <c r="BO36" i="16"/>
  <c r="CA36" i="16" s="1"/>
  <c r="DW18" i="16"/>
  <c r="DH21" i="16"/>
  <c r="DW21" i="16" s="1"/>
  <c r="CS21" i="16"/>
  <c r="DW19" i="16"/>
  <c r="R17" i="1"/>
  <c r="C13" i="5"/>
  <c r="A17" i="1"/>
  <c r="C18" i="1"/>
  <c r="J17" i="1"/>
  <c r="V17" i="1"/>
  <c r="BD41" i="16"/>
  <c r="BT16" i="16"/>
  <c r="BT41" i="16" s="1"/>
  <c r="BO16" i="16"/>
  <c r="AY41" i="16"/>
  <c r="S22" i="16"/>
  <c r="D23" i="16"/>
  <c r="CD22" i="16"/>
  <c r="AU41" i="16"/>
  <c r="BV16" i="16"/>
  <c r="BV41" i="16" s="1"/>
  <c r="BF41" i="16"/>
  <c r="AM16" i="1"/>
  <c r="AN16" i="1" s="1"/>
  <c r="A13" i="24"/>
  <c r="X17" i="1"/>
  <c r="S17" i="1"/>
  <c r="C11" i="24"/>
  <c r="D11" i="24" s="1"/>
  <c r="A14" i="9"/>
  <c r="B13" i="9"/>
  <c r="C13" i="9" s="1"/>
  <c r="D13" i="9" s="1"/>
  <c r="R13" i="9"/>
  <c r="AP17" i="1"/>
  <c r="CA23" i="16"/>
  <c r="BR41" i="16"/>
  <c r="Y17" i="1"/>
  <c r="Z17" i="1" s="1"/>
  <c r="BD17" i="1" s="1"/>
  <c r="BF17" i="1" s="1"/>
  <c r="BG17" i="1" s="1"/>
  <c r="W14" i="28"/>
  <c r="B14" i="28"/>
  <c r="C12" i="11"/>
  <c r="D12" i="11" s="1"/>
  <c r="AB12" i="11"/>
  <c r="AB12" i="28"/>
  <c r="C12" i="28"/>
  <c r="D12" i="28" s="1"/>
  <c r="AE12" i="28" s="1"/>
  <c r="A15" i="10"/>
  <c r="A16" i="10" s="1"/>
  <c r="W13" i="11"/>
  <c r="B13" i="11"/>
  <c r="A14" i="11"/>
  <c r="AB13" i="28"/>
  <c r="V12" i="9"/>
  <c r="CF41" i="16"/>
  <c r="CB19" i="16" l="1"/>
  <c r="EU15" i="16"/>
  <c r="ET16" i="16"/>
  <c r="ES16" i="16"/>
  <c r="I14" i="1"/>
  <c r="J14" i="1" s="1"/>
  <c r="I28" i="1"/>
  <c r="I29" i="1"/>
  <c r="I30" i="1"/>
  <c r="I32" i="1"/>
  <c r="I31" i="1"/>
  <c r="I16" i="1"/>
  <c r="J16" i="1" s="1"/>
  <c r="CB23" i="16"/>
  <c r="J18" i="1"/>
  <c r="CB28" i="16"/>
  <c r="CB30" i="16"/>
  <c r="DT21" i="16"/>
  <c r="DS21" i="16"/>
  <c r="DR21" i="16"/>
  <c r="DQ21" i="16"/>
  <c r="DN21" i="16"/>
  <c r="DO21" i="16"/>
  <c r="DK21" i="16"/>
  <c r="DM21" i="16"/>
  <c r="DP21" i="16"/>
  <c r="DL21" i="16"/>
  <c r="DJ21" i="16"/>
  <c r="H14" i="1"/>
  <c r="CR14" i="1"/>
  <c r="CR15" i="1"/>
  <c r="Z44" i="28"/>
  <c r="Z45" i="28"/>
  <c r="CR13" i="1"/>
  <c r="D12" i="26"/>
  <c r="C11" i="26"/>
  <c r="C12" i="24"/>
  <c r="V12" i="24"/>
  <c r="B13" i="24"/>
  <c r="P18" i="1"/>
  <c r="BV18" i="1"/>
  <c r="CB21" i="16"/>
  <c r="EE16" i="16"/>
  <c r="DQ16" i="16"/>
  <c r="EB17" i="16"/>
  <c r="EA18" i="16"/>
  <c r="DZ19" i="16"/>
  <c r="DZ18" i="16"/>
  <c r="EA19" i="16"/>
  <c r="EA20" i="16"/>
  <c r="EC17" i="16"/>
  <c r="DZ20" i="16"/>
  <c r="DS15" i="16"/>
  <c r="EG15" i="16"/>
  <c r="DR15" i="16"/>
  <c r="EF15" i="16"/>
  <c r="EV15" i="16" s="1"/>
  <c r="DR16" i="16"/>
  <c r="EF16" i="16"/>
  <c r="CB18" i="16"/>
  <c r="CB24" i="16"/>
  <c r="CB31" i="16"/>
  <c r="CB25" i="16"/>
  <c r="CB17" i="16"/>
  <c r="CB32" i="16"/>
  <c r="CB26" i="16"/>
  <c r="CB33" i="16"/>
  <c r="CA19" i="16"/>
  <c r="CB29" i="16"/>
  <c r="CA29" i="16"/>
  <c r="CA27" i="16"/>
  <c r="CB27" i="16"/>
  <c r="CB20" i="16"/>
  <c r="CB22" i="16"/>
  <c r="CA22" i="16"/>
  <c r="CB35" i="16"/>
  <c r="CB34" i="16"/>
  <c r="A15" i="9"/>
  <c r="B15" i="9" s="1"/>
  <c r="C15" i="9" s="1"/>
  <c r="D15" i="9" s="1"/>
  <c r="D20" i="1"/>
  <c r="A14" i="24"/>
  <c r="BO41" i="16"/>
  <c r="CB37" i="16"/>
  <c r="CB36" i="16"/>
  <c r="CB16" i="16"/>
  <c r="DH22" i="16"/>
  <c r="CS22" i="16"/>
  <c r="V18" i="1"/>
  <c r="C14" i="5"/>
  <c r="C19" i="1"/>
  <c r="A18" i="1"/>
  <c r="R18" i="1"/>
  <c r="R13" i="24"/>
  <c r="S23" i="16"/>
  <c r="D24" i="16"/>
  <c r="H18" i="1" s="1"/>
  <c r="CD23" i="16"/>
  <c r="CS23" i="16" s="1"/>
  <c r="H12" i="1"/>
  <c r="H15" i="1"/>
  <c r="H16" i="1"/>
  <c r="H17" i="1"/>
  <c r="BK41" i="16"/>
  <c r="CA16" i="16"/>
  <c r="AM17" i="1"/>
  <c r="AN17" i="1" s="1"/>
  <c r="W18" i="1"/>
  <c r="R14" i="9"/>
  <c r="T17" i="1"/>
  <c r="V13" i="9"/>
  <c r="A47" i="28"/>
  <c r="Z46" i="28"/>
  <c r="B14" i="9"/>
  <c r="C14" i="9" s="1"/>
  <c r="D14" i="9" s="1"/>
  <c r="E13" i="28"/>
  <c r="AE13" i="28"/>
  <c r="AI12" i="1"/>
  <c r="D8" i="5"/>
  <c r="G15" i="10"/>
  <c r="H15" i="10" s="1"/>
  <c r="AB13" i="11"/>
  <c r="C13" i="11"/>
  <c r="D13" i="11" s="1"/>
  <c r="G16" i="10"/>
  <c r="H16" i="10" s="1"/>
  <c r="A17" i="10"/>
  <c r="W15" i="28"/>
  <c r="B15" i="28"/>
  <c r="AE12" i="11"/>
  <c r="E12" i="11"/>
  <c r="Y18" i="1"/>
  <c r="Z18" i="1" s="1"/>
  <c r="BD18" i="1" s="1"/>
  <c r="BF18" i="1" s="1"/>
  <c r="BG18" i="1" s="1"/>
  <c r="AP18" i="1"/>
  <c r="AB14" i="28"/>
  <c r="C14" i="28"/>
  <c r="D14" i="28" s="1"/>
  <c r="W14" i="11"/>
  <c r="B14" i="11"/>
  <c r="A15" i="11"/>
  <c r="CF45" i="16"/>
  <c r="CF43" i="16"/>
  <c r="EW15" i="16" l="1"/>
  <c r="EV16" i="16"/>
  <c r="EU16" i="16"/>
  <c r="EI15" i="16"/>
  <c r="EX15" i="16"/>
  <c r="DW22" i="16"/>
  <c r="DT22" i="16"/>
  <c r="DS22" i="16"/>
  <c r="DQ22" i="16"/>
  <c r="DR22" i="16"/>
  <c r="DL22" i="16"/>
  <c r="DO22" i="16"/>
  <c r="DP22" i="16"/>
  <c r="DJ22" i="16"/>
  <c r="DK22" i="16"/>
  <c r="EA22" i="16" s="1"/>
  <c r="DM22" i="16"/>
  <c r="DN22" i="16"/>
  <c r="CQ20" i="1"/>
  <c r="D13" i="26"/>
  <c r="C12" i="26"/>
  <c r="C13" i="24"/>
  <c r="D13" i="24" s="1"/>
  <c r="V13" i="24"/>
  <c r="P19" i="1"/>
  <c r="B14" i="24"/>
  <c r="EC19" i="16"/>
  <c r="ED17" i="16"/>
  <c r="EB20" i="16"/>
  <c r="EB18" i="16"/>
  <c r="DS16" i="16"/>
  <c r="EG16" i="16"/>
  <c r="EE17" i="16"/>
  <c r="EB19" i="16"/>
  <c r="EA21" i="16"/>
  <c r="DZ21" i="16"/>
  <c r="EC20" i="16"/>
  <c r="EC18" i="16"/>
  <c r="R15" i="9"/>
  <c r="DT16" i="16"/>
  <c r="EJ16" i="16" s="1"/>
  <c r="EH16" i="16"/>
  <c r="DT15" i="16"/>
  <c r="EH15" i="16"/>
  <c r="CA41" i="16"/>
  <c r="R14" i="24"/>
  <c r="A15" i="24"/>
  <c r="A16" i="9"/>
  <c r="R16" i="9" s="1"/>
  <c r="R19" i="1"/>
  <c r="D21" i="1"/>
  <c r="X18" i="1"/>
  <c r="W19" i="1" s="1"/>
  <c r="J19" i="1"/>
  <c r="C20" i="1"/>
  <c r="A19" i="1"/>
  <c r="C15" i="5"/>
  <c r="V19" i="1"/>
  <c r="S24" i="16"/>
  <c r="D25" i="16"/>
  <c r="CD24" i="16"/>
  <c r="CS24" i="16" s="1"/>
  <c r="DH23" i="16"/>
  <c r="K12" i="1"/>
  <c r="K13" i="1"/>
  <c r="K14" i="1"/>
  <c r="BJ14" i="1" s="1"/>
  <c r="K16" i="1"/>
  <c r="BJ16" i="1" s="1"/>
  <c r="K15" i="1"/>
  <c r="BJ15" i="1" s="1"/>
  <c r="K17" i="1"/>
  <c r="BJ17" i="1" s="1"/>
  <c r="K18" i="1"/>
  <c r="BJ18" i="1" s="1"/>
  <c r="AM18" i="1"/>
  <c r="AN18" i="1" s="1"/>
  <c r="S18" i="1"/>
  <c r="T18" i="1" s="1"/>
  <c r="V14" i="9"/>
  <c r="A48" i="28"/>
  <c r="Z47" i="28"/>
  <c r="E14" i="28"/>
  <c r="AE14" i="28"/>
  <c r="AJ12" i="1"/>
  <c r="G17" i="10"/>
  <c r="H17" i="10" s="1"/>
  <c r="A18" i="10"/>
  <c r="AE13" i="11"/>
  <c r="E13" i="11"/>
  <c r="W16" i="28"/>
  <c r="B16" i="28"/>
  <c r="V15" i="9"/>
  <c r="A16" i="11"/>
  <c r="B15" i="11"/>
  <c r="W15" i="11"/>
  <c r="AB15" i="28"/>
  <c r="C15" i="28"/>
  <c r="D15" i="28" s="1"/>
  <c r="AB14" i="11"/>
  <c r="C14" i="11"/>
  <c r="D14" i="11" s="1"/>
  <c r="AP19" i="1"/>
  <c r="CN41" i="16"/>
  <c r="CG41" i="16"/>
  <c r="EY15" i="16" l="1"/>
  <c r="EZ16" i="16"/>
  <c r="EW16" i="16"/>
  <c r="EI16" i="16"/>
  <c r="EX16" i="16"/>
  <c r="DS23" i="16"/>
  <c r="DT23" i="16"/>
  <c r="DR23" i="16"/>
  <c r="DQ23" i="16"/>
  <c r="DL23" i="16"/>
  <c r="DP23" i="16"/>
  <c r="DN23" i="16"/>
  <c r="DM23" i="16"/>
  <c r="DO23" i="16"/>
  <c r="DJ23" i="16"/>
  <c r="DK23" i="16"/>
  <c r="CQ21" i="1"/>
  <c r="BJ13" i="1"/>
  <c r="AQ13" i="1"/>
  <c r="BJ12" i="1"/>
  <c r="BK12" i="1" s="1"/>
  <c r="BO12" i="1" s="1"/>
  <c r="D14" i="26"/>
  <c r="C13" i="26"/>
  <c r="C14" i="24"/>
  <c r="V14" i="24"/>
  <c r="P20" i="1"/>
  <c r="B16" i="9"/>
  <c r="C16" i="9" s="1"/>
  <c r="D16" i="9" s="1"/>
  <c r="EK16" i="16"/>
  <c r="EF17" i="16"/>
  <c r="EI17" i="16"/>
  <c r="EG17" i="16"/>
  <c r="EC21" i="16"/>
  <c r="EE18" i="16"/>
  <c r="ED18" i="16"/>
  <c r="EE19" i="16"/>
  <c r="EB21" i="16"/>
  <c r="ED19" i="16"/>
  <c r="ED20" i="16"/>
  <c r="DZ22" i="16"/>
  <c r="EE20" i="16"/>
  <c r="EJ15" i="16"/>
  <c r="EZ15" i="16" s="1"/>
  <c r="A16" i="24"/>
  <c r="B15" i="24"/>
  <c r="R15" i="24"/>
  <c r="A17" i="9"/>
  <c r="B17" i="9" s="1"/>
  <c r="C17" i="9" s="1"/>
  <c r="D17" i="9" s="1"/>
  <c r="D22" i="1"/>
  <c r="C16" i="5"/>
  <c r="C21" i="1"/>
  <c r="X19" i="1"/>
  <c r="W20" i="1" s="1"/>
  <c r="AQ12" i="1"/>
  <c r="AR12" i="1" s="1"/>
  <c r="AX12" i="1" s="1"/>
  <c r="R20" i="1"/>
  <c r="AQ18" i="1"/>
  <c r="J20" i="1"/>
  <c r="AQ17" i="1"/>
  <c r="V20" i="1"/>
  <c r="AQ15" i="1"/>
  <c r="AQ16" i="1"/>
  <c r="AQ14" i="1"/>
  <c r="A20" i="1"/>
  <c r="DH24" i="16"/>
  <c r="S25" i="16"/>
  <c r="D26" i="16"/>
  <c r="CD25" i="16"/>
  <c r="DW23" i="16"/>
  <c r="S19" i="1"/>
  <c r="T19" i="1" s="1"/>
  <c r="S20" i="1" s="1"/>
  <c r="T20" i="1" s="1"/>
  <c r="A49" i="28"/>
  <c r="Z48" i="28"/>
  <c r="AP20" i="1"/>
  <c r="CK41" i="16"/>
  <c r="W17" i="28"/>
  <c r="B17" i="28"/>
  <c r="A19" i="10"/>
  <c r="G18" i="10"/>
  <c r="H18" i="10" s="1"/>
  <c r="AB16" i="28"/>
  <c r="C16" i="28"/>
  <c r="D16" i="28" s="1"/>
  <c r="AE14" i="11"/>
  <c r="E14" i="11"/>
  <c r="AB15" i="11"/>
  <c r="C15" i="11"/>
  <c r="D15" i="11" s="1"/>
  <c r="W16" i="11"/>
  <c r="A17" i="11"/>
  <c r="B16" i="11"/>
  <c r="Y19" i="1"/>
  <c r="Z19" i="1" s="1"/>
  <c r="BD19" i="1" s="1"/>
  <c r="BF19" i="1" s="1"/>
  <c r="CG45" i="16"/>
  <c r="CG43" i="16"/>
  <c r="CN43" i="16"/>
  <c r="CN45" i="16"/>
  <c r="CI41" i="16"/>
  <c r="EL16" i="16" l="1"/>
  <c r="FA16" i="16"/>
  <c r="EY16" i="16"/>
  <c r="FB16" i="16"/>
  <c r="FC16" i="16" s="1"/>
  <c r="DT24" i="16"/>
  <c r="DS24" i="16"/>
  <c r="DR24" i="16"/>
  <c r="DQ24" i="16"/>
  <c r="DK24" i="16"/>
  <c r="DP24" i="16"/>
  <c r="DM24" i="16"/>
  <c r="DL24" i="16"/>
  <c r="DJ24" i="16"/>
  <c r="DN24" i="16"/>
  <c r="DO24" i="16"/>
  <c r="CQ22" i="1"/>
  <c r="D15" i="26"/>
  <c r="C14" i="26"/>
  <c r="C15" i="24"/>
  <c r="D15" i="24" s="1"/>
  <c r="V15" i="24"/>
  <c r="A17" i="24"/>
  <c r="V16" i="9"/>
  <c r="P21" i="1"/>
  <c r="EJ17" i="16"/>
  <c r="EH17" i="16"/>
  <c r="F13" i="1"/>
  <c r="EF20" i="16"/>
  <c r="EF19" i="16"/>
  <c r="EI18" i="16"/>
  <c r="EG18" i="16"/>
  <c r="EA23" i="16"/>
  <c r="EB22" i="16"/>
  <c r="EE21" i="16"/>
  <c r="DZ23" i="16"/>
  <c r="EI20" i="16"/>
  <c r="EG20" i="16"/>
  <c r="ED21" i="16"/>
  <c r="EC22" i="16"/>
  <c r="EI19" i="16"/>
  <c r="EG19" i="16"/>
  <c r="EK15" i="16"/>
  <c r="EF18" i="16"/>
  <c r="B16" i="24"/>
  <c r="R16" i="24"/>
  <c r="A18" i="9"/>
  <c r="B18" i="9" s="1"/>
  <c r="C18" i="9" s="1"/>
  <c r="D18" i="9" s="1"/>
  <c r="R17" i="9"/>
  <c r="V21" i="1"/>
  <c r="A21" i="1"/>
  <c r="C17" i="5"/>
  <c r="C22" i="1"/>
  <c r="J21" i="1"/>
  <c r="D23" i="1"/>
  <c r="BG19" i="1"/>
  <c r="DH25" i="16"/>
  <c r="CS25" i="16"/>
  <c r="R21" i="1"/>
  <c r="X20" i="1"/>
  <c r="W21" i="1" s="1"/>
  <c r="DW24" i="16"/>
  <c r="S26" i="16"/>
  <c r="D27" i="16"/>
  <c r="CD26" i="16"/>
  <c r="AM19" i="1"/>
  <c r="AN19" i="1" s="1"/>
  <c r="S21" i="1"/>
  <c r="AP21" i="1"/>
  <c r="A50" i="28"/>
  <c r="Z49" i="28"/>
  <c r="CH41" i="16"/>
  <c r="A18" i="11"/>
  <c r="B17" i="11"/>
  <c r="W17" i="11"/>
  <c r="V17" i="9"/>
  <c r="E15" i="11"/>
  <c r="AE15" i="11"/>
  <c r="AB17" i="28"/>
  <c r="C17" i="28"/>
  <c r="D17" i="28" s="1"/>
  <c r="G19" i="10"/>
  <c r="H19" i="10" s="1"/>
  <c r="A20" i="10"/>
  <c r="W18" i="28"/>
  <c r="B18" i="28"/>
  <c r="CL41" i="16"/>
  <c r="AB16" i="11"/>
  <c r="C16" i="11"/>
  <c r="D16" i="11" s="1"/>
  <c r="CI43" i="16"/>
  <c r="CI45" i="16"/>
  <c r="CK43" i="16"/>
  <c r="CK45" i="16"/>
  <c r="EL15" i="16" l="1"/>
  <c r="FA15" i="16"/>
  <c r="DT25" i="16"/>
  <c r="DS25" i="16"/>
  <c r="DQ25" i="16"/>
  <c r="DR25" i="16"/>
  <c r="DL25" i="16"/>
  <c r="DO25" i="16"/>
  <c r="DP25" i="16"/>
  <c r="DK25" i="16"/>
  <c r="DN25" i="16"/>
  <c r="DJ25" i="16"/>
  <c r="DM25" i="16"/>
  <c r="CQ23" i="1"/>
  <c r="D16" i="26"/>
  <c r="C15" i="26"/>
  <c r="C16" i="24"/>
  <c r="V16" i="24"/>
  <c r="A18" i="24"/>
  <c r="R17" i="24"/>
  <c r="B17" i="24"/>
  <c r="P22" i="1"/>
  <c r="A19" i="9"/>
  <c r="B19" i="9" s="1"/>
  <c r="C19" i="9" s="1"/>
  <c r="D19" i="9" s="1"/>
  <c r="EK17" i="16"/>
  <c r="EL17" i="16" s="1"/>
  <c r="EC23" i="16"/>
  <c r="E14" i="1"/>
  <c r="F14" i="1" s="1"/>
  <c r="G14" i="1" s="1"/>
  <c r="G13" i="1"/>
  <c r="EE22" i="16"/>
  <c r="EB23" i="16"/>
  <c r="EH18" i="16"/>
  <c r="EJ18" i="16"/>
  <c r="DZ24" i="16"/>
  <c r="EI21" i="16"/>
  <c r="EG21" i="16"/>
  <c r="EH19" i="16"/>
  <c r="EJ19" i="16"/>
  <c r="EA24" i="16"/>
  <c r="DW25" i="16"/>
  <c r="EF21" i="16"/>
  <c r="ED22" i="16"/>
  <c r="EJ20" i="16"/>
  <c r="EH20" i="16"/>
  <c r="R18" i="9"/>
  <c r="C18" i="5"/>
  <c r="V22" i="1"/>
  <c r="C23" i="1"/>
  <c r="R22" i="1"/>
  <c r="A22" i="1"/>
  <c r="J22" i="1"/>
  <c r="D24" i="1"/>
  <c r="DH26" i="16"/>
  <c r="CS26" i="16"/>
  <c r="X21" i="1"/>
  <c r="S27" i="16"/>
  <c r="D28" i="16"/>
  <c r="H19" i="1" s="1"/>
  <c r="CD27" i="16"/>
  <c r="T21" i="1"/>
  <c r="S22" i="1" s="1"/>
  <c r="AP22" i="1"/>
  <c r="A51" i="28"/>
  <c r="Z50" i="28"/>
  <c r="CM41" i="16"/>
  <c r="CH43" i="16"/>
  <c r="CH45" i="16"/>
  <c r="Y20" i="1"/>
  <c r="Z20" i="1" s="1"/>
  <c r="BD20" i="1" s="1"/>
  <c r="BF20" i="1" s="1"/>
  <c r="BG20" i="1" s="1"/>
  <c r="W19" i="28"/>
  <c r="B19" i="28"/>
  <c r="A21" i="10"/>
  <c r="G20" i="10"/>
  <c r="H20" i="10" s="1"/>
  <c r="AE16" i="11"/>
  <c r="E16" i="11"/>
  <c r="V18" i="9"/>
  <c r="AB17" i="11"/>
  <c r="C17" i="11"/>
  <c r="D17" i="11" s="1"/>
  <c r="B18" i="11"/>
  <c r="A19" i="11"/>
  <c r="W18" i="11"/>
  <c r="CL43" i="16"/>
  <c r="CL45" i="16"/>
  <c r="C18" i="28"/>
  <c r="D18" i="28" s="1"/>
  <c r="AB18" i="28"/>
  <c r="EK19" i="16" l="1"/>
  <c r="FB15" i="16"/>
  <c r="DT26" i="16"/>
  <c r="DS26" i="16"/>
  <c r="DQ26" i="16"/>
  <c r="DR26" i="16"/>
  <c r="DK26" i="16"/>
  <c r="DP26" i="16"/>
  <c r="DN26" i="16"/>
  <c r="DL26" i="16"/>
  <c r="DO26" i="16"/>
  <c r="DM26" i="16"/>
  <c r="DJ26" i="16"/>
  <c r="CQ24" i="1"/>
  <c r="R19" i="9"/>
  <c r="EK18" i="16"/>
  <c r="D17" i="26"/>
  <c r="C16" i="26"/>
  <c r="R18" i="24"/>
  <c r="A19" i="24"/>
  <c r="B18" i="24"/>
  <c r="C17" i="24"/>
  <c r="D17" i="24" s="1"/>
  <c r="V17" i="24"/>
  <c r="P23" i="1"/>
  <c r="A20" i="9"/>
  <c r="B20" i="9" s="1"/>
  <c r="C20" i="9" s="1"/>
  <c r="D20" i="9" s="1"/>
  <c r="EK20" i="16"/>
  <c r="EL20" i="16" s="1"/>
  <c r="E15" i="1"/>
  <c r="F15" i="1" s="1"/>
  <c r="EB24" i="16"/>
  <c r="EC24" i="16"/>
  <c r="EF22" i="16"/>
  <c r="ED23" i="16"/>
  <c r="EE23" i="16"/>
  <c r="EJ21" i="16"/>
  <c r="EH21" i="16"/>
  <c r="EA25" i="16"/>
  <c r="DZ25" i="16"/>
  <c r="EI22" i="16"/>
  <c r="EG22" i="16"/>
  <c r="DW26" i="16"/>
  <c r="Q13" i="1"/>
  <c r="W22" i="1"/>
  <c r="X22" i="1" s="1"/>
  <c r="R23" i="1"/>
  <c r="A23" i="1"/>
  <c r="J23" i="1"/>
  <c r="V23" i="1"/>
  <c r="C24" i="1"/>
  <c r="C19" i="5"/>
  <c r="D25" i="1"/>
  <c r="DH27" i="16"/>
  <c r="CS27" i="16"/>
  <c r="EL19" i="16"/>
  <c r="S28" i="16"/>
  <c r="CD28" i="16"/>
  <c r="D29" i="16"/>
  <c r="CD29" i="16" s="1"/>
  <c r="CS29" i="16" s="1"/>
  <c r="H20" i="1"/>
  <c r="H21" i="1"/>
  <c r="H22" i="1"/>
  <c r="AM20" i="1"/>
  <c r="AN20" i="1" s="1"/>
  <c r="T22" i="1"/>
  <c r="A52" i="28"/>
  <c r="Z51" i="28"/>
  <c r="CM43" i="16"/>
  <c r="CM45" i="16"/>
  <c r="AP23" i="1"/>
  <c r="AE17" i="11"/>
  <c r="E17" i="11"/>
  <c r="V19" i="9"/>
  <c r="C19" i="28"/>
  <c r="D19" i="28" s="1"/>
  <c r="AB19" i="28"/>
  <c r="B19" i="11"/>
  <c r="W19" i="11"/>
  <c r="A20" i="11"/>
  <c r="G21" i="10"/>
  <c r="H21" i="10" s="1"/>
  <c r="A22" i="10"/>
  <c r="AB18" i="11"/>
  <c r="C18" i="11"/>
  <c r="D18" i="11" s="1"/>
  <c r="W20" i="28"/>
  <c r="B20" i="28"/>
  <c r="CJ41" i="16"/>
  <c r="L15" i="1" l="1"/>
  <c r="M15" i="1" s="1"/>
  <c r="FC15" i="16"/>
  <c r="H23" i="1"/>
  <c r="DS27" i="16"/>
  <c r="DT27" i="16"/>
  <c r="DR27" i="16"/>
  <c r="DQ27" i="16"/>
  <c r="DK27" i="16"/>
  <c r="DL27" i="16"/>
  <c r="DO27" i="16"/>
  <c r="DM27" i="16"/>
  <c r="DP27" i="16"/>
  <c r="DN27" i="16"/>
  <c r="DJ27" i="16"/>
  <c r="EL18" i="16"/>
  <c r="CQ25" i="1"/>
  <c r="R20" i="9"/>
  <c r="A21" i="9"/>
  <c r="B21" i="9" s="1"/>
  <c r="C21" i="9" s="1"/>
  <c r="D21" i="9" s="1"/>
  <c r="D18" i="26"/>
  <c r="C17" i="26"/>
  <c r="B19" i="24"/>
  <c r="C19" i="24" s="1"/>
  <c r="D19" i="24" s="1"/>
  <c r="C18" i="24"/>
  <c r="V18" i="24"/>
  <c r="A20" i="24"/>
  <c r="R19" i="24"/>
  <c r="P24" i="1"/>
  <c r="AZ13" i="1"/>
  <c r="BB13" i="1" s="1"/>
  <c r="AG13" i="1"/>
  <c r="AI13" i="1" s="1"/>
  <c r="CS28" i="16"/>
  <c r="K19" i="1"/>
  <c r="EK21" i="16"/>
  <c r="EL21" i="16" s="1"/>
  <c r="EI23" i="16"/>
  <c r="EG23" i="16"/>
  <c r="EF23" i="16"/>
  <c r="EC25" i="16"/>
  <c r="EA26" i="16"/>
  <c r="EJ22" i="16"/>
  <c r="EH22" i="16"/>
  <c r="EB25" i="16"/>
  <c r="DZ26" i="16"/>
  <c r="ED24" i="16"/>
  <c r="DW27" i="16"/>
  <c r="EE24" i="16"/>
  <c r="E16" i="1"/>
  <c r="F16" i="1" s="1"/>
  <c r="G15" i="1"/>
  <c r="W23" i="1"/>
  <c r="X23" i="1" s="1"/>
  <c r="W24" i="1" s="1"/>
  <c r="R24" i="1"/>
  <c r="J24" i="1"/>
  <c r="A24" i="1"/>
  <c r="C25" i="1"/>
  <c r="V24" i="1"/>
  <c r="C20" i="5"/>
  <c r="D26" i="1"/>
  <c r="S29" i="16"/>
  <c r="D30" i="16"/>
  <c r="CD30" i="16" s="1"/>
  <c r="CS30" i="16" s="1"/>
  <c r="DH29" i="16"/>
  <c r="DH28" i="16"/>
  <c r="K20" i="1"/>
  <c r="BJ20" i="1" s="1"/>
  <c r="K21" i="1"/>
  <c r="BJ21" i="1" s="1"/>
  <c r="K22" i="1"/>
  <c r="BJ22" i="1" s="1"/>
  <c r="K23" i="1"/>
  <c r="BJ23" i="1" s="1"/>
  <c r="S23" i="1"/>
  <c r="A53" i="28"/>
  <c r="Z52" i="28"/>
  <c r="Y21" i="1"/>
  <c r="Z21" i="1" s="1"/>
  <c r="BD21" i="1" s="1"/>
  <c r="BF21" i="1" s="1"/>
  <c r="BG21" i="1" s="1"/>
  <c r="V20" i="9"/>
  <c r="AP24" i="1"/>
  <c r="C20" i="28"/>
  <c r="D20" i="28" s="1"/>
  <c r="AB20" i="28"/>
  <c r="C19" i="11"/>
  <c r="D19" i="11" s="1"/>
  <c r="AB19" i="11"/>
  <c r="W20" i="11"/>
  <c r="B20" i="11"/>
  <c r="A21" i="11"/>
  <c r="W21" i="28"/>
  <c r="B21" i="28"/>
  <c r="E18" i="11"/>
  <c r="AE18" i="11"/>
  <c r="G22" i="10"/>
  <c r="H22" i="10" s="1"/>
  <c r="A23" i="10"/>
  <c r="CJ43" i="16"/>
  <c r="CJ45" i="16"/>
  <c r="CQ45" i="16" s="1"/>
  <c r="CQ41" i="16"/>
  <c r="CQ43" i="16" s="1"/>
  <c r="C35" i="6"/>
  <c r="N14" i="1" l="1"/>
  <c r="Q14" i="1" s="1"/>
  <c r="AZ14" i="1" s="1"/>
  <c r="BB14" i="1" s="1"/>
  <c r="DS28" i="16"/>
  <c r="DT28" i="16"/>
  <c r="DQ28" i="16"/>
  <c r="DR28" i="16"/>
  <c r="DM28" i="16"/>
  <c r="DN28" i="16"/>
  <c r="DL28" i="16"/>
  <c r="DO28" i="16"/>
  <c r="DP28" i="16"/>
  <c r="DK28" i="16"/>
  <c r="DJ28" i="16"/>
  <c r="DT29" i="16"/>
  <c r="DS29" i="16"/>
  <c r="DQ29" i="16"/>
  <c r="DR29" i="16"/>
  <c r="DJ29" i="16"/>
  <c r="DN29" i="16"/>
  <c r="DL29" i="16"/>
  <c r="DK29" i="16"/>
  <c r="DP29" i="16"/>
  <c r="DM29" i="16"/>
  <c r="DO29" i="16"/>
  <c r="AG14" i="1"/>
  <c r="BC14" i="1" s="1"/>
  <c r="BK14" i="1" s="1"/>
  <c r="BO14" i="1" s="1"/>
  <c r="CQ26" i="1"/>
  <c r="R21" i="9"/>
  <c r="A22" i="9"/>
  <c r="A23" i="9" s="1"/>
  <c r="D19" i="26"/>
  <c r="C18" i="26"/>
  <c r="L16" i="1"/>
  <c r="M16" i="1" s="1"/>
  <c r="G29" i="24"/>
  <c r="G15" i="24"/>
  <c r="G31" i="24"/>
  <c r="G47" i="24"/>
  <c r="G63" i="24"/>
  <c r="G25" i="24"/>
  <c r="G17" i="24"/>
  <c r="G33" i="24"/>
  <c r="G49" i="24"/>
  <c r="G65" i="24"/>
  <c r="G57" i="24"/>
  <c r="G19" i="24"/>
  <c r="F19" i="24" s="1"/>
  <c r="G35" i="24"/>
  <c r="G51" i="24"/>
  <c r="G67" i="24"/>
  <c r="G13" i="24"/>
  <c r="G21" i="24"/>
  <c r="G37" i="24"/>
  <c r="G53" i="24"/>
  <c r="G41" i="24"/>
  <c r="G23" i="24"/>
  <c r="G39" i="24"/>
  <c r="G55" i="24"/>
  <c r="G71" i="24"/>
  <c r="G61" i="24"/>
  <c r="G11" i="24"/>
  <c r="X11" i="24" s="1"/>
  <c r="G27" i="24"/>
  <c r="G43" i="24"/>
  <c r="G59" i="24"/>
  <c r="G45" i="24"/>
  <c r="V19" i="24"/>
  <c r="A21" i="24"/>
  <c r="R20" i="24"/>
  <c r="B20" i="24"/>
  <c r="BC13" i="1"/>
  <c r="BK13" i="1" s="1"/>
  <c r="BO13" i="1" s="1"/>
  <c r="P25" i="1"/>
  <c r="D9" i="5"/>
  <c r="BJ19" i="1"/>
  <c r="AQ19" i="1"/>
  <c r="X24" i="1"/>
  <c r="W25" i="1" s="1"/>
  <c r="AJ13" i="1"/>
  <c r="AR13" i="1" s="1"/>
  <c r="AX13" i="1" s="1"/>
  <c r="EK22" i="16"/>
  <c r="EL22" i="16" s="1"/>
  <c r="EE25" i="16"/>
  <c r="EF24" i="16"/>
  <c r="EJ23" i="16"/>
  <c r="EH23" i="16"/>
  <c r="EI24" i="16"/>
  <c r="EG24" i="16"/>
  <c r="EC26" i="16"/>
  <c r="EB26" i="16"/>
  <c r="DZ27" i="16"/>
  <c r="ED25" i="16"/>
  <c r="EA27" i="16"/>
  <c r="E17" i="1"/>
  <c r="F17" i="1" s="1"/>
  <c r="G16" i="1"/>
  <c r="A25" i="1"/>
  <c r="J25" i="1"/>
  <c r="C21" i="5"/>
  <c r="R25" i="1"/>
  <c r="C26" i="1"/>
  <c r="V25" i="1"/>
  <c r="D27" i="1"/>
  <c r="AQ20" i="1"/>
  <c r="AQ23" i="1"/>
  <c r="AQ22" i="1"/>
  <c r="AQ21" i="1"/>
  <c r="DW28" i="16"/>
  <c r="S30" i="16"/>
  <c r="D31" i="16"/>
  <c r="DH30" i="16"/>
  <c r="DW29" i="16"/>
  <c r="AM21" i="1"/>
  <c r="AN21" i="1" s="1"/>
  <c r="T23" i="1"/>
  <c r="A54" i="28"/>
  <c r="Z53" i="28"/>
  <c r="C21" i="28"/>
  <c r="D21" i="28" s="1"/>
  <c r="AB21" i="28"/>
  <c r="C20" i="11"/>
  <c r="D20" i="11" s="1"/>
  <c r="AB20" i="11"/>
  <c r="V21" i="9"/>
  <c r="W22" i="28"/>
  <c r="B22" i="28"/>
  <c r="AP25" i="1"/>
  <c r="G23" i="10"/>
  <c r="H23" i="10" s="1"/>
  <c r="A24" i="10"/>
  <c r="B21" i="11"/>
  <c r="A22" i="11"/>
  <c r="W21" i="11"/>
  <c r="E19" i="11"/>
  <c r="AE19" i="11"/>
  <c r="C46" i="6"/>
  <c r="C50" i="6"/>
  <c r="B37" i="8"/>
  <c r="F37" i="8" s="1"/>
  <c r="B22" i="9" l="1"/>
  <c r="C22" i="9" s="1"/>
  <c r="D22" i="9" s="1"/>
  <c r="R22" i="9"/>
  <c r="D10" i="5"/>
  <c r="G10" i="5" s="1"/>
  <c r="AI14" i="1"/>
  <c r="AJ14" i="1" s="1"/>
  <c r="AR14" i="1" s="1"/>
  <c r="DT30" i="16"/>
  <c r="DS30" i="16"/>
  <c r="DR30" i="16"/>
  <c r="DQ30" i="16"/>
  <c r="DK30" i="16"/>
  <c r="DN30" i="16"/>
  <c r="DJ30" i="16"/>
  <c r="DL30" i="16"/>
  <c r="DO30" i="16"/>
  <c r="DP30" i="16"/>
  <c r="DM30" i="16"/>
  <c r="N15" i="1"/>
  <c r="Q15" i="1" s="1"/>
  <c r="AG15" i="1" s="1"/>
  <c r="J10" i="5"/>
  <c r="CQ27" i="1"/>
  <c r="X25" i="1"/>
  <c r="W26" i="1" s="1"/>
  <c r="D20" i="26"/>
  <c r="C19" i="26"/>
  <c r="X19" i="24"/>
  <c r="L11" i="24"/>
  <c r="L12" i="24"/>
  <c r="L13" i="24"/>
  <c r="L14" i="24"/>
  <c r="L15" i="24"/>
  <c r="L16" i="24"/>
  <c r="L17" i="24"/>
  <c r="L18" i="24"/>
  <c r="L19" i="24"/>
  <c r="A22" i="24"/>
  <c r="L22" i="24" s="1"/>
  <c r="L21" i="24"/>
  <c r="R21" i="24"/>
  <c r="B21" i="24"/>
  <c r="C21" i="24" s="1"/>
  <c r="D21" i="24" s="1"/>
  <c r="L20" i="24"/>
  <c r="C20" i="24"/>
  <c r="V20" i="24"/>
  <c r="P26" i="1"/>
  <c r="F17" i="24"/>
  <c r="X17" i="24"/>
  <c r="F15" i="24"/>
  <c r="X15" i="24"/>
  <c r="F13" i="24"/>
  <c r="X13" i="24"/>
  <c r="CD31" i="16"/>
  <c r="B24" i="1"/>
  <c r="H24" i="1"/>
  <c r="EC27" i="16"/>
  <c r="EF25" i="16"/>
  <c r="ED26" i="16"/>
  <c r="DZ29" i="16"/>
  <c r="EA28" i="16"/>
  <c r="EJ24" i="16"/>
  <c r="EH24" i="16"/>
  <c r="EA29" i="16"/>
  <c r="DZ28" i="16"/>
  <c r="EI25" i="16"/>
  <c r="EG25" i="16"/>
  <c r="EB27" i="16"/>
  <c r="EE26" i="16"/>
  <c r="EK23" i="16"/>
  <c r="EL23" i="16" s="1"/>
  <c r="E18" i="1"/>
  <c r="F18" i="1" s="1"/>
  <c r="G18" i="1" s="1"/>
  <c r="G17" i="1"/>
  <c r="CH13" i="1"/>
  <c r="A26" i="1"/>
  <c r="C22" i="5"/>
  <c r="J26" i="1"/>
  <c r="C27" i="1"/>
  <c r="V26" i="1"/>
  <c r="D28" i="1"/>
  <c r="DW30" i="16"/>
  <c r="S31" i="16"/>
  <c r="D32" i="16"/>
  <c r="CD32" i="16" s="1"/>
  <c r="CS32" i="16" s="1"/>
  <c r="H25" i="1"/>
  <c r="B25" i="1"/>
  <c r="S24" i="1"/>
  <c r="T24" i="1" s="1"/>
  <c r="S25" i="1" s="1"/>
  <c r="X15" i="9"/>
  <c r="F15" i="9"/>
  <c r="X13" i="9"/>
  <c r="F13" i="9"/>
  <c r="B23" i="9"/>
  <c r="C23" i="9" s="1"/>
  <c r="D23" i="9" s="1"/>
  <c r="A55" i="28"/>
  <c r="Z54" i="28"/>
  <c r="A24" i="9"/>
  <c r="R23" i="9"/>
  <c r="AE20" i="11"/>
  <c r="E20" i="11"/>
  <c r="AB21" i="11"/>
  <c r="C21" i="11"/>
  <c r="D21" i="11" s="1"/>
  <c r="G24" i="10"/>
  <c r="H24" i="10" s="1"/>
  <c r="A25" i="10"/>
  <c r="C22" i="28"/>
  <c r="D22" i="28" s="1"/>
  <c r="AB22" i="28"/>
  <c r="AP26" i="1"/>
  <c r="Y22" i="1"/>
  <c r="Z22" i="1" s="1"/>
  <c r="BD22" i="1" s="1"/>
  <c r="BF22" i="1" s="1"/>
  <c r="BG22" i="1" s="1"/>
  <c r="W23" i="28"/>
  <c r="B23" i="28"/>
  <c r="V22" i="9"/>
  <c r="A23" i="11"/>
  <c r="W22" i="11"/>
  <c r="B22" i="11"/>
  <c r="L11" i="9"/>
  <c r="L13" i="9"/>
  <c r="L14" i="9"/>
  <c r="L12" i="9"/>
  <c r="B38" i="8"/>
  <c r="F38" i="8" s="1"/>
  <c r="L15" i="9"/>
  <c r="L16" i="9"/>
  <c r="L17" i="9"/>
  <c r="L18" i="9"/>
  <c r="L19" i="9"/>
  <c r="L20" i="9"/>
  <c r="L21" i="9"/>
  <c r="L22" i="9"/>
  <c r="L23" i="9"/>
  <c r="F10" i="5" l="1"/>
  <c r="H10" i="5" s="1"/>
  <c r="AT14" i="1"/>
  <c r="B26" i="1"/>
  <c r="H26" i="1"/>
  <c r="AZ15" i="1"/>
  <c r="BB15" i="1" s="1"/>
  <c r="BC15" i="1" s="1"/>
  <c r="BK15" i="1" s="1"/>
  <c r="BO15" i="1" s="1"/>
  <c r="CQ28" i="1"/>
  <c r="X26" i="1"/>
  <c r="W27" i="1" s="1"/>
  <c r="B22" i="24"/>
  <c r="V22" i="24" s="1"/>
  <c r="A23" i="24"/>
  <c r="R23" i="24" s="1"/>
  <c r="L17" i="1"/>
  <c r="M17" i="1" s="1"/>
  <c r="C20" i="26"/>
  <c r="D21" i="26"/>
  <c r="V21" i="24"/>
  <c r="L23" i="24"/>
  <c r="R22" i="24"/>
  <c r="D11" i="5"/>
  <c r="G11" i="5" s="1"/>
  <c r="AI15" i="1"/>
  <c r="CS31" i="16"/>
  <c r="K24" i="1"/>
  <c r="EK24" i="16"/>
  <c r="EL24" i="16" s="1"/>
  <c r="C23" i="5"/>
  <c r="P27" i="1"/>
  <c r="DZ30" i="16"/>
  <c r="ED27" i="16"/>
  <c r="EC28" i="16"/>
  <c r="EA30" i="16"/>
  <c r="EB29" i="16"/>
  <c r="EE27" i="16"/>
  <c r="EB28" i="16"/>
  <c r="EJ25" i="16"/>
  <c r="EH25" i="16"/>
  <c r="EC29" i="16"/>
  <c r="EF26" i="16"/>
  <c r="EI26" i="16"/>
  <c r="EG26" i="16"/>
  <c r="A27" i="1"/>
  <c r="V27" i="1"/>
  <c r="J27" i="1"/>
  <c r="C28" i="1"/>
  <c r="D29" i="1"/>
  <c r="E19" i="1"/>
  <c r="DH31" i="16"/>
  <c r="K25" i="1"/>
  <c r="BJ25" i="1" s="1"/>
  <c r="K26" i="1"/>
  <c r="BJ26" i="1" s="1"/>
  <c r="S32" i="16"/>
  <c r="D33" i="16"/>
  <c r="B27" i="1" s="1"/>
  <c r="AM22" i="1"/>
  <c r="AN22" i="1" s="1"/>
  <c r="T25" i="1"/>
  <c r="B24" i="9"/>
  <c r="C24" i="9" s="1"/>
  <c r="D24" i="9" s="1"/>
  <c r="L24" i="9"/>
  <c r="A56" i="28"/>
  <c r="Z55" i="28"/>
  <c r="AP27" i="1"/>
  <c r="A24" i="11"/>
  <c r="W23" i="11"/>
  <c r="B23" i="11"/>
  <c r="C23" i="28"/>
  <c r="D23" i="28" s="1"/>
  <c r="AB23" i="28"/>
  <c r="G25" i="10"/>
  <c r="H25" i="10" s="1"/>
  <c r="A26" i="10"/>
  <c r="A25" i="9"/>
  <c r="R24" i="9"/>
  <c r="W24" i="28"/>
  <c r="B24" i="28"/>
  <c r="V23" i="9"/>
  <c r="C22" i="11"/>
  <c r="D22" i="11" s="1"/>
  <c r="AB22" i="11"/>
  <c r="E21" i="11"/>
  <c r="AE21" i="11"/>
  <c r="F21" i="24"/>
  <c r="X21" i="24"/>
  <c r="C22" i="24" l="1"/>
  <c r="AX14" i="1"/>
  <c r="DS31" i="16"/>
  <c r="DT31" i="16"/>
  <c r="DR31" i="16"/>
  <c r="DQ31" i="16"/>
  <c r="DM31" i="16"/>
  <c r="DP31" i="16"/>
  <c r="DK31" i="16"/>
  <c r="DL31" i="16"/>
  <c r="DO31" i="16"/>
  <c r="DN31" i="16"/>
  <c r="DJ31" i="16"/>
  <c r="N16" i="1"/>
  <c r="Q16" i="1" s="1"/>
  <c r="B23" i="24"/>
  <c r="C23" i="24" s="1"/>
  <c r="CQ29" i="1"/>
  <c r="A24" i="24"/>
  <c r="L24" i="24" s="1"/>
  <c r="X27" i="1"/>
  <c r="W28" i="1" s="1"/>
  <c r="AT15" i="1"/>
  <c r="AU15" i="1"/>
  <c r="L18" i="1"/>
  <c r="M18" i="1" s="1"/>
  <c r="C21" i="26"/>
  <c r="D22" i="26"/>
  <c r="P28" i="1"/>
  <c r="J11" i="5"/>
  <c r="F11" i="5"/>
  <c r="H11" i="5" s="1"/>
  <c r="AJ15" i="1"/>
  <c r="AR15" i="1" s="1"/>
  <c r="H27" i="1"/>
  <c r="BJ24" i="1"/>
  <c r="AQ24" i="1"/>
  <c r="EK25" i="16"/>
  <c r="EL25" i="16" s="1"/>
  <c r="EC30" i="16"/>
  <c r="EJ26" i="16"/>
  <c r="EH26" i="16"/>
  <c r="ED28" i="16"/>
  <c r="EE29" i="16"/>
  <c r="EE28" i="16"/>
  <c r="EI27" i="16"/>
  <c r="EG27" i="16"/>
  <c r="EF27" i="16"/>
  <c r="ED29" i="16"/>
  <c r="EB30" i="16"/>
  <c r="J28" i="1"/>
  <c r="B28" i="1"/>
  <c r="C29" i="1"/>
  <c r="C24" i="5"/>
  <c r="A28" i="1"/>
  <c r="V28" i="1"/>
  <c r="D30" i="1"/>
  <c r="F19" i="1"/>
  <c r="G19" i="1" s="1"/>
  <c r="S33" i="16"/>
  <c r="CD33" i="16"/>
  <c r="CS33" i="16" s="1"/>
  <c r="D34" i="16"/>
  <c r="AQ26" i="1"/>
  <c r="AQ25" i="1"/>
  <c r="DH32" i="16"/>
  <c r="H28" i="1"/>
  <c r="DW31" i="16"/>
  <c r="S26" i="1"/>
  <c r="T26" i="1" s="1"/>
  <c r="S27" i="1" s="1"/>
  <c r="B25" i="9"/>
  <c r="C25" i="9" s="1"/>
  <c r="D25" i="9" s="1"/>
  <c r="A57" i="28"/>
  <c r="Z56" i="28"/>
  <c r="Y23" i="1"/>
  <c r="Z23" i="1" s="1"/>
  <c r="BD23" i="1" s="1"/>
  <c r="BF23" i="1" s="1"/>
  <c r="BG23" i="1" s="1"/>
  <c r="G26" i="10"/>
  <c r="H26" i="10" s="1"/>
  <c r="A27" i="10"/>
  <c r="C23" i="11"/>
  <c r="D23" i="11" s="1"/>
  <c r="AB23" i="11"/>
  <c r="E22" i="11"/>
  <c r="AE22" i="11"/>
  <c r="V24" i="9"/>
  <c r="A26" i="9"/>
  <c r="B26" i="9" s="1"/>
  <c r="C26" i="9" s="1"/>
  <c r="D26" i="9" s="1"/>
  <c r="R25" i="9"/>
  <c r="L25" i="9"/>
  <c r="B24" i="11"/>
  <c r="W24" i="11"/>
  <c r="A25" i="11"/>
  <c r="C24" i="28"/>
  <c r="D24" i="28" s="1"/>
  <c r="AB24" i="28"/>
  <c r="W25" i="28"/>
  <c r="B25" i="28"/>
  <c r="AP28" i="1"/>
  <c r="V23" i="24" l="1"/>
  <c r="AX15" i="1"/>
  <c r="T13" i="9" s="1"/>
  <c r="DS32" i="16"/>
  <c r="DT32" i="16"/>
  <c r="DQ32" i="16"/>
  <c r="DR32" i="16"/>
  <c r="DP32" i="16"/>
  <c r="DO32" i="16"/>
  <c r="DM32" i="16"/>
  <c r="DN32" i="16"/>
  <c r="DL32" i="16"/>
  <c r="DK32" i="16"/>
  <c r="DJ32" i="16"/>
  <c r="AZ16" i="1"/>
  <c r="BB16" i="1" s="1"/>
  <c r="AG16" i="1"/>
  <c r="N17" i="1"/>
  <c r="Q17" i="1" s="1"/>
  <c r="AZ17" i="1" s="1"/>
  <c r="BB17" i="1" s="1"/>
  <c r="A25" i="24"/>
  <c r="R25" i="24" s="1"/>
  <c r="B24" i="24"/>
  <c r="C24" i="24" s="1"/>
  <c r="D24" i="24" s="1"/>
  <c r="CQ30" i="1"/>
  <c r="R24" i="24"/>
  <c r="X28" i="1"/>
  <c r="W29" i="1" s="1"/>
  <c r="D23" i="26"/>
  <c r="C22" i="26"/>
  <c r="L25" i="24"/>
  <c r="K28" i="1"/>
  <c r="BJ28" i="1" s="1"/>
  <c r="K27" i="1"/>
  <c r="BJ27" i="1" s="1"/>
  <c r="J29" i="1"/>
  <c r="P29" i="1"/>
  <c r="EK26" i="16"/>
  <c r="EL26" i="16" s="1"/>
  <c r="ED30" i="16"/>
  <c r="DZ31" i="16"/>
  <c r="EA31" i="16"/>
  <c r="EI28" i="16"/>
  <c r="EG28" i="16"/>
  <c r="EE30" i="16"/>
  <c r="EF29" i="16"/>
  <c r="EJ27" i="16"/>
  <c r="EH27" i="16"/>
  <c r="EI29" i="16"/>
  <c r="EG29" i="16"/>
  <c r="EF28" i="16"/>
  <c r="DH33" i="16"/>
  <c r="A29" i="1"/>
  <c r="E20" i="1"/>
  <c r="F20" i="1" s="1"/>
  <c r="G20" i="1" s="1"/>
  <c r="K29" i="1"/>
  <c r="BJ29" i="1" s="1"/>
  <c r="B29" i="1"/>
  <c r="V29" i="1"/>
  <c r="C30" i="1"/>
  <c r="C25" i="5"/>
  <c r="H29" i="1"/>
  <c r="X29" i="1"/>
  <c r="W30" i="1" s="1"/>
  <c r="D31" i="1"/>
  <c r="D35" i="16"/>
  <c r="CD34" i="16"/>
  <c r="S34" i="16"/>
  <c r="DW32" i="16"/>
  <c r="AM23" i="1"/>
  <c r="AN23" i="1" s="1"/>
  <c r="T27" i="1"/>
  <c r="S28" i="1" s="1"/>
  <c r="CB41" i="16"/>
  <c r="A58" i="28"/>
  <c r="Z57" i="28"/>
  <c r="AP29" i="1"/>
  <c r="C25" i="28"/>
  <c r="D25" i="28" s="1"/>
  <c r="AB25" i="28"/>
  <c r="W26" i="28"/>
  <c r="B26" i="28"/>
  <c r="B25" i="11"/>
  <c r="W25" i="11"/>
  <c r="A26" i="11"/>
  <c r="V25" i="9"/>
  <c r="E23" i="11"/>
  <c r="AE23" i="11"/>
  <c r="AB24" i="11"/>
  <c r="C24" i="11"/>
  <c r="D24" i="11" s="1"/>
  <c r="R26" i="9"/>
  <c r="A27" i="9"/>
  <c r="L26" i="9"/>
  <c r="G27" i="10"/>
  <c r="H27" i="10" s="1"/>
  <c r="A28" i="10"/>
  <c r="V24" i="24" l="1"/>
  <c r="B25" i="24"/>
  <c r="DT33" i="16"/>
  <c r="DS33" i="16"/>
  <c r="DQ33" i="16"/>
  <c r="DR33" i="16"/>
  <c r="DJ33" i="16"/>
  <c r="DP33" i="16"/>
  <c r="DO33" i="16"/>
  <c r="DK33" i="16"/>
  <c r="DL33" i="16"/>
  <c r="DN33" i="16"/>
  <c r="DM33" i="16"/>
  <c r="AG17" i="1"/>
  <c r="AI16" i="1"/>
  <c r="D12" i="5"/>
  <c r="BC16" i="1"/>
  <c r="BK16" i="1" s="1"/>
  <c r="BO16" i="1" s="1"/>
  <c r="A26" i="24"/>
  <c r="L26" i="24" s="1"/>
  <c r="CQ31" i="1"/>
  <c r="AQ27" i="1"/>
  <c r="L19" i="1"/>
  <c r="M19" i="1" s="1"/>
  <c r="C23" i="26"/>
  <c r="D24" i="26"/>
  <c r="C25" i="24"/>
  <c r="V25" i="24"/>
  <c r="B30" i="1"/>
  <c r="AQ28" i="1"/>
  <c r="V30" i="1"/>
  <c r="P30" i="1"/>
  <c r="EK27" i="16"/>
  <c r="EL27" i="16" s="1"/>
  <c r="EC31" i="16"/>
  <c r="EJ28" i="16"/>
  <c r="EH28" i="16"/>
  <c r="EH29" i="16"/>
  <c r="EJ29" i="16"/>
  <c r="EB31" i="16"/>
  <c r="DZ32" i="16"/>
  <c r="EI30" i="16"/>
  <c r="EG30" i="16"/>
  <c r="EA32" i="16"/>
  <c r="EF30" i="16"/>
  <c r="DW33" i="16"/>
  <c r="H30" i="1"/>
  <c r="AQ29" i="1"/>
  <c r="E21" i="1"/>
  <c r="F21" i="1" s="1"/>
  <c r="G21" i="1" s="1"/>
  <c r="A30" i="1"/>
  <c r="K30" i="1"/>
  <c r="BJ30" i="1" s="1"/>
  <c r="C26" i="5"/>
  <c r="X30" i="1"/>
  <c r="W31" i="1" s="1"/>
  <c r="C31" i="1"/>
  <c r="J30" i="1"/>
  <c r="D32" i="1"/>
  <c r="DH34" i="16"/>
  <c r="CS34" i="16"/>
  <c r="CD35" i="16"/>
  <c r="S35" i="16"/>
  <c r="D36" i="16"/>
  <c r="T28" i="1"/>
  <c r="S29" i="1" s="1"/>
  <c r="B27" i="9"/>
  <c r="C27" i="9" s="1"/>
  <c r="D27" i="9" s="1"/>
  <c r="A59" i="28"/>
  <c r="Z58" i="28"/>
  <c r="C26" i="28"/>
  <c r="D26" i="28" s="1"/>
  <c r="AB26" i="28"/>
  <c r="G28" i="10"/>
  <c r="H28" i="10" s="1"/>
  <c r="A29" i="10"/>
  <c r="A30" i="10" s="1"/>
  <c r="G30" i="10" s="1"/>
  <c r="H30" i="10" s="1"/>
  <c r="AP30" i="1"/>
  <c r="Y24" i="1"/>
  <c r="Z24" i="1" s="1"/>
  <c r="BD24" i="1" s="1"/>
  <c r="BF24" i="1" s="1"/>
  <c r="BG24" i="1" s="1"/>
  <c r="C25" i="11"/>
  <c r="D25" i="11" s="1"/>
  <c r="AB25" i="11"/>
  <c r="V26" i="9"/>
  <c r="W27" i="28"/>
  <c r="B27" i="28"/>
  <c r="R27" i="9"/>
  <c r="A28" i="9"/>
  <c r="B28" i="9" s="1"/>
  <c r="C28" i="9" s="1"/>
  <c r="D28" i="9" s="1"/>
  <c r="L27" i="9"/>
  <c r="E24" i="11"/>
  <c r="AE24" i="11"/>
  <c r="A27" i="11"/>
  <c r="B26" i="11"/>
  <c r="W26" i="11"/>
  <c r="D22" i="24"/>
  <c r="A27" i="24" l="1"/>
  <c r="R26" i="24"/>
  <c r="B26" i="24"/>
  <c r="DS34" i="16"/>
  <c r="DT34" i="16"/>
  <c r="DQ34" i="16"/>
  <c r="DR34" i="16"/>
  <c r="DP34" i="16"/>
  <c r="DN34" i="16"/>
  <c r="DK34" i="16"/>
  <c r="DO34" i="16"/>
  <c r="DJ34" i="16"/>
  <c r="DL34" i="16"/>
  <c r="DM34" i="16"/>
  <c r="BC17" i="1"/>
  <c r="BK17" i="1" s="1"/>
  <c r="BO17" i="1" s="1"/>
  <c r="AI17" i="1"/>
  <c r="D13" i="5"/>
  <c r="N18" i="1"/>
  <c r="Q18" i="1" s="1"/>
  <c r="G12" i="5"/>
  <c r="F12" i="5"/>
  <c r="J12" i="5"/>
  <c r="AU16" i="1"/>
  <c r="AJ16" i="1"/>
  <c r="AR16" i="1" s="1"/>
  <c r="AT16" i="1"/>
  <c r="CQ32" i="1"/>
  <c r="L20" i="1"/>
  <c r="M20" i="1" s="1"/>
  <c r="D25" i="26"/>
  <c r="C24" i="26"/>
  <c r="L27" i="24"/>
  <c r="C26" i="24"/>
  <c r="D26" i="24" s="1"/>
  <c r="V26" i="24"/>
  <c r="P31" i="1"/>
  <c r="K31" i="1"/>
  <c r="BJ31" i="1" s="1"/>
  <c r="C27" i="5"/>
  <c r="C32" i="1"/>
  <c r="B31" i="1"/>
  <c r="H31" i="1"/>
  <c r="V31" i="1"/>
  <c r="J31" i="1"/>
  <c r="A31" i="1"/>
  <c r="EK29" i="16"/>
  <c r="EL29" i="16" s="1"/>
  <c r="EK28" i="16"/>
  <c r="EL28" i="16" s="1"/>
  <c r="ED31" i="16"/>
  <c r="EB32" i="16"/>
  <c r="EJ30" i="16"/>
  <c r="EH30" i="16"/>
  <c r="DZ33" i="16"/>
  <c r="EA33" i="16"/>
  <c r="EC32" i="16"/>
  <c r="EE31" i="16"/>
  <c r="AQ30" i="1"/>
  <c r="X31" i="1"/>
  <c r="W32" i="1" s="1"/>
  <c r="E22" i="1"/>
  <c r="F22" i="1" s="1"/>
  <c r="G22" i="1" s="1"/>
  <c r="D33" i="1"/>
  <c r="DW34" i="16"/>
  <c r="CD36" i="16"/>
  <c r="D37" i="16"/>
  <c r="S36" i="16"/>
  <c r="DH35" i="16"/>
  <c r="CS35" i="16"/>
  <c r="AM24" i="1"/>
  <c r="AN24" i="1" s="1"/>
  <c r="T29" i="1"/>
  <c r="S30" i="1" s="1"/>
  <c r="A60" i="28"/>
  <c r="Z59" i="28"/>
  <c r="G29" i="10"/>
  <c r="H29" i="10" s="1"/>
  <c r="A31" i="10"/>
  <c r="G31" i="10" s="1"/>
  <c r="H31" i="10" s="1"/>
  <c r="AP31" i="1"/>
  <c r="W28" i="28"/>
  <c r="B28" i="28"/>
  <c r="AE25" i="11"/>
  <c r="E25" i="11"/>
  <c r="AB26" i="11"/>
  <c r="C26" i="11"/>
  <c r="D26" i="11" s="1"/>
  <c r="R28" i="9"/>
  <c r="L28" i="9"/>
  <c r="A29" i="9"/>
  <c r="B27" i="11"/>
  <c r="W27" i="11"/>
  <c r="A28" i="11"/>
  <c r="V27" i="9"/>
  <c r="C27" i="28"/>
  <c r="D27" i="28" s="1"/>
  <c r="AB27" i="28"/>
  <c r="D20" i="24"/>
  <c r="B27" i="24"/>
  <c r="R27" i="24"/>
  <c r="A28" i="24"/>
  <c r="L28" i="24" s="1"/>
  <c r="DS35" i="16" l="1"/>
  <c r="DT35" i="16"/>
  <c r="DQ35" i="16"/>
  <c r="DR35" i="16"/>
  <c r="DK35" i="16"/>
  <c r="DL35" i="16"/>
  <c r="DP35" i="16"/>
  <c r="DJ35" i="16"/>
  <c r="DN35" i="16"/>
  <c r="DO35" i="16"/>
  <c r="DM35" i="16"/>
  <c r="H12" i="5"/>
  <c r="J13" i="5"/>
  <c r="G13" i="5"/>
  <c r="F13" i="5"/>
  <c r="AT17" i="1"/>
  <c r="AJ17" i="1"/>
  <c r="AR17" i="1" s="1"/>
  <c r="AU17" i="1"/>
  <c r="AZ18" i="1"/>
  <c r="BB18" i="1" s="1"/>
  <c r="AG18" i="1"/>
  <c r="N19" i="1"/>
  <c r="Q19" i="1" s="1"/>
  <c r="AX16" i="1"/>
  <c r="T15" i="9" s="1"/>
  <c r="CQ33" i="1"/>
  <c r="C25" i="26"/>
  <c r="D26" i="26"/>
  <c r="AQ31" i="1"/>
  <c r="C27" i="24"/>
  <c r="V27" i="24"/>
  <c r="P32" i="1"/>
  <c r="B32" i="1"/>
  <c r="J32" i="1"/>
  <c r="H32" i="1"/>
  <c r="A32" i="1"/>
  <c r="V32" i="1"/>
  <c r="C28" i="5"/>
  <c r="C33" i="1"/>
  <c r="V33" i="1" s="1"/>
  <c r="K32" i="1"/>
  <c r="BJ32" i="1" s="1"/>
  <c r="EK30" i="16"/>
  <c r="EL30" i="16" s="1"/>
  <c r="X32" i="1"/>
  <c r="W33" i="1" s="1"/>
  <c r="EE32" i="16"/>
  <c r="EC33" i="16"/>
  <c r="ED32" i="16"/>
  <c r="DZ34" i="16"/>
  <c r="EA34" i="16"/>
  <c r="EB33" i="16"/>
  <c r="EF31" i="16"/>
  <c r="EI31" i="16"/>
  <c r="EG31" i="16"/>
  <c r="E23" i="1"/>
  <c r="F23" i="1" s="1"/>
  <c r="D34" i="1"/>
  <c r="DW35" i="16"/>
  <c r="CD37" i="16"/>
  <c r="D38" i="16"/>
  <c r="S37" i="16"/>
  <c r="DH36" i="16"/>
  <c r="CS36" i="16"/>
  <c r="A32" i="10"/>
  <c r="G32" i="10" s="1"/>
  <c r="H32" i="10" s="1"/>
  <c r="J33" i="1"/>
  <c r="T30" i="1"/>
  <c r="B29" i="9"/>
  <c r="C29" i="9" s="1"/>
  <c r="D29" i="9" s="1"/>
  <c r="A61" i="28"/>
  <c r="Z60" i="28"/>
  <c r="AP32" i="1"/>
  <c r="C34" i="1"/>
  <c r="B33" i="1"/>
  <c r="H33" i="1"/>
  <c r="C28" i="28"/>
  <c r="D28" i="28" s="1"/>
  <c r="AB28" i="28"/>
  <c r="A29" i="11"/>
  <c r="B28" i="11"/>
  <c r="W28" i="11"/>
  <c r="V28" i="9"/>
  <c r="R29" i="9"/>
  <c r="A30" i="9"/>
  <c r="B30" i="9" s="1"/>
  <c r="C30" i="9" s="1"/>
  <c r="D30" i="9" s="1"/>
  <c r="L29" i="9"/>
  <c r="W29" i="28"/>
  <c r="B29" i="28"/>
  <c r="Y25" i="1"/>
  <c r="Z25" i="1" s="1"/>
  <c r="BD25" i="1" s="1"/>
  <c r="BF25" i="1" s="1"/>
  <c r="BG25" i="1" s="1"/>
  <c r="C27" i="11"/>
  <c r="D27" i="11" s="1"/>
  <c r="AB27" i="11"/>
  <c r="E26" i="11"/>
  <c r="AE26" i="11"/>
  <c r="B28" i="24"/>
  <c r="R28" i="24"/>
  <c r="A29" i="24"/>
  <c r="D18" i="24"/>
  <c r="DT36" i="16" l="1"/>
  <c r="DS36" i="16"/>
  <c r="DQ36" i="16"/>
  <c r="DR36" i="16"/>
  <c r="DN36" i="16"/>
  <c r="DM36" i="16"/>
  <c r="DP36" i="16"/>
  <c r="DJ36" i="16"/>
  <c r="DK36" i="16"/>
  <c r="DL36" i="16"/>
  <c r="DO36" i="16"/>
  <c r="H13" i="5"/>
  <c r="AX17" i="1"/>
  <c r="T17" i="9" s="1"/>
  <c r="BC18" i="1"/>
  <c r="BK18" i="1" s="1"/>
  <c r="BO18" i="1" s="1"/>
  <c r="AI18" i="1"/>
  <c r="D14" i="5"/>
  <c r="AG19" i="1"/>
  <c r="AZ19" i="1"/>
  <c r="BB19" i="1" s="1"/>
  <c r="A33" i="1"/>
  <c r="A34" i="1" s="1"/>
  <c r="AQ32" i="1"/>
  <c r="K33" i="1"/>
  <c r="BJ33" i="1" s="1"/>
  <c r="C29" i="5"/>
  <c r="CQ34" i="1"/>
  <c r="L21" i="1"/>
  <c r="M21" i="1" s="1"/>
  <c r="C26" i="26"/>
  <c r="D27" i="26"/>
  <c r="L29" i="24"/>
  <c r="C28" i="24"/>
  <c r="D28" i="24" s="1"/>
  <c r="V28" i="24"/>
  <c r="P34" i="1"/>
  <c r="P33" i="1"/>
  <c r="X33" i="1"/>
  <c r="W34" i="1" s="1"/>
  <c r="ED33" i="16"/>
  <c r="EF32" i="16"/>
  <c r="EC34" i="16"/>
  <c r="EE33" i="16"/>
  <c r="DZ35" i="16"/>
  <c r="EA35" i="16"/>
  <c r="EI32" i="16"/>
  <c r="EG32" i="16"/>
  <c r="EJ31" i="16"/>
  <c r="EH31" i="16"/>
  <c r="EB34" i="16"/>
  <c r="E24" i="1"/>
  <c r="F24" i="1" s="1"/>
  <c r="G24" i="1" s="1"/>
  <c r="G23" i="1"/>
  <c r="A33" i="10"/>
  <c r="G33" i="10" s="1"/>
  <c r="H33" i="10" s="1"/>
  <c r="D35" i="1"/>
  <c r="DW36" i="16"/>
  <c r="S38" i="16"/>
  <c r="CD38" i="16"/>
  <c r="DH37" i="16"/>
  <c r="CS37" i="16"/>
  <c r="AM25" i="1"/>
  <c r="AN25" i="1" s="1"/>
  <c r="V34" i="1"/>
  <c r="J34" i="1"/>
  <c r="S31" i="1"/>
  <c r="A62" i="28"/>
  <c r="Z61" i="28"/>
  <c r="C28" i="11"/>
  <c r="D28" i="11" s="1"/>
  <c r="AB28" i="11"/>
  <c r="A31" i="9"/>
  <c r="L30" i="9"/>
  <c r="R30" i="9"/>
  <c r="W29" i="11"/>
  <c r="B29" i="11"/>
  <c r="A30" i="11"/>
  <c r="AP33" i="1"/>
  <c r="AE27" i="11"/>
  <c r="E27" i="11"/>
  <c r="C29" i="28"/>
  <c r="D29" i="28" s="1"/>
  <c r="AB29" i="28"/>
  <c r="V29" i="9"/>
  <c r="W30" i="28"/>
  <c r="B30" i="28"/>
  <c r="H34" i="1"/>
  <c r="C35" i="1"/>
  <c r="B34" i="1"/>
  <c r="C30" i="5"/>
  <c r="K34" i="1"/>
  <c r="BJ34" i="1" s="1"/>
  <c r="D16" i="24"/>
  <c r="B29" i="24"/>
  <c r="R29" i="24"/>
  <c r="A30" i="24"/>
  <c r="L30" i="24" s="1"/>
  <c r="DT37" i="16" l="1"/>
  <c r="DS37" i="16"/>
  <c r="DQ37" i="16"/>
  <c r="DR37" i="16"/>
  <c r="DP37" i="16"/>
  <c r="DN37" i="16"/>
  <c r="DO37" i="16"/>
  <c r="DK37" i="16"/>
  <c r="DM37" i="16"/>
  <c r="DJ37" i="16"/>
  <c r="DL37" i="16"/>
  <c r="N20" i="1"/>
  <c r="Q20" i="1" s="1"/>
  <c r="AI19" i="1"/>
  <c r="AJ19" i="1" s="1"/>
  <c r="AR19" i="1" s="1"/>
  <c r="BC19" i="1"/>
  <c r="BK19" i="1" s="1"/>
  <c r="BO19" i="1" s="1"/>
  <c r="D15" i="5"/>
  <c r="AU18" i="1"/>
  <c r="AJ18" i="1"/>
  <c r="AR18" i="1" s="1"/>
  <c r="AT18" i="1"/>
  <c r="F14" i="5"/>
  <c r="J14" i="5"/>
  <c r="G14" i="5"/>
  <c r="AQ33" i="1"/>
  <c r="CQ35" i="1"/>
  <c r="A34" i="10"/>
  <c r="G34" i="10" s="1"/>
  <c r="H34" i="10" s="1"/>
  <c r="L22" i="1"/>
  <c r="M22" i="1" s="1"/>
  <c r="D28" i="26"/>
  <c r="C27" i="26"/>
  <c r="C29" i="24"/>
  <c r="V29" i="24"/>
  <c r="X34" i="1"/>
  <c r="W35" i="1" s="1"/>
  <c r="P35" i="1"/>
  <c r="EK31" i="16"/>
  <c r="EL31" i="16" s="1"/>
  <c r="DZ36" i="16"/>
  <c r="ED34" i="16"/>
  <c r="EC35" i="16"/>
  <c r="EA36" i="16"/>
  <c r="EB35" i="16"/>
  <c r="EH32" i="16"/>
  <c r="EJ32" i="16"/>
  <c r="EI33" i="16"/>
  <c r="EG33" i="16"/>
  <c r="EF33" i="16"/>
  <c r="EE34" i="16"/>
  <c r="D36" i="1"/>
  <c r="E25" i="1"/>
  <c r="DW37" i="16"/>
  <c r="DH38" i="16"/>
  <c r="CS38" i="16"/>
  <c r="AQ34" i="1"/>
  <c r="J35" i="1"/>
  <c r="V35" i="1"/>
  <c r="T31" i="1"/>
  <c r="S32" i="1" s="1"/>
  <c r="A35" i="1"/>
  <c r="B31" i="9"/>
  <c r="C31" i="9" s="1"/>
  <c r="D31" i="9" s="1"/>
  <c r="A63" i="28"/>
  <c r="Z62" i="28"/>
  <c r="AP34" i="1"/>
  <c r="C30" i="28"/>
  <c r="D30" i="28" s="1"/>
  <c r="AB30" i="28"/>
  <c r="V30" i="9"/>
  <c r="A32" i="9"/>
  <c r="B32" i="9" s="1"/>
  <c r="C32" i="9" s="1"/>
  <c r="D32" i="9" s="1"/>
  <c r="L31" i="9"/>
  <c r="R31" i="9"/>
  <c r="W31" i="28"/>
  <c r="B31" i="28"/>
  <c r="AE28" i="11"/>
  <c r="E28" i="11"/>
  <c r="H35" i="1"/>
  <c r="C36" i="1"/>
  <c r="B35" i="1"/>
  <c r="C31" i="5"/>
  <c r="K35" i="1"/>
  <c r="BJ35" i="1" s="1"/>
  <c r="Y26" i="1"/>
  <c r="Z26" i="1" s="1"/>
  <c r="BD26" i="1" s="1"/>
  <c r="BF26" i="1" s="1"/>
  <c r="BG26" i="1" s="1"/>
  <c r="B30" i="11"/>
  <c r="A31" i="11"/>
  <c r="W30" i="11"/>
  <c r="AB29" i="11"/>
  <c r="C29" i="11"/>
  <c r="D29" i="11" s="1"/>
  <c r="B30" i="24"/>
  <c r="R30" i="24"/>
  <c r="A31" i="24"/>
  <c r="D14" i="24"/>
  <c r="DS38" i="16" l="1"/>
  <c r="DT38" i="16"/>
  <c r="DQ38" i="16"/>
  <c r="DR38" i="16"/>
  <c r="DJ38" i="16"/>
  <c r="DP38" i="16"/>
  <c r="DK38" i="16"/>
  <c r="DM38" i="16"/>
  <c r="DN38" i="16"/>
  <c r="DL38" i="16"/>
  <c r="DO38" i="16"/>
  <c r="H14" i="5"/>
  <c r="AX18" i="1"/>
  <c r="T19" i="9" s="1"/>
  <c r="G15" i="5"/>
  <c r="F15" i="5"/>
  <c r="J15" i="5"/>
  <c r="N21" i="1"/>
  <c r="Q21" i="1" s="1"/>
  <c r="AT19" i="1"/>
  <c r="AU19" i="1"/>
  <c r="AZ20" i="1"/>
  <c r="BB20" i="1" s="1"/>
  <c r="AG20" i="1"/>
  <c r="CQ36" i="1"/>
  <c r="X35" i="1"/>
  <c r="W36" i="1" s="1"/>
  <c r="A35" i="10"/>
  <c r="G35" i="10" s="1"/>
  <c r="H35" i="10" s="1"/>
  <c r="D29" i="26"/>
  <c r="C28" i="26"/>
  <c r="L31" i="24"/>
  <c r="C30" i="24"/>
  <c r="D30" i="24" s="1"/>
  <c r="V30" i="24"/>
  <c r="P36" i="1"/>
  <c r="EK32" i="16"/>
  <c r="EL32" i="16" s="1"/>
  <c r="EE35" i="16"/>
  <c r="EI34" i="16"/>
  <c r="EG34" i="16"/>
  <c r="DZ37" i="16"/>
  <c r="EQ41" i="16" s="1"/>
  <c r="EF34" i="16"/>
  <c r="EA37" i="16"/>
  <c r="ER41" i="16" s="1"/>
  <c r="EB36" i="16"/>
  <c r="ED35" i="16"/>
  <c r="EJ33" i="16"/>
  <c r="EH33" i="16"/>
  <c r="EC36" i="16"/>
  <c r="D37" i="1"/>
  <c r="F25" i="1"/>
  <c r="G25" i="1" s="1"/>
  <c r="DW38" i="16"/>
  <c r="AQ35" i="1"/>
  <c r="AM26" i="1"/>
  <c r="AN26" i="1" s="1"/>
  <c r="V36" i="1"/>
  <c r="J36" i="1"/>
  <c r="X36" i="1"/>
  <c r="W37" i="1" s="1"/>
  <c r="T32" i="1"/>
  <c r="A36" i="1"/>
  <c r="A64" i="28"/>
  <c r="Z63" i="28"/>
  <c r="A33" i="9"/>
  <c r="R32" i="9"/>
  <c r="L32" i="9"/>
  <c r="V31" i="9"/>
  <c r="AP35" i="1"/>
  <c r="C31" i="28"/>
  <c r="D31" i="28" s="1"/>
  <c r="AB31" i="28"/>
  <c r="E29" i="11"/>
  <c r="AE29" i="11"/>
  <c r="W31" i="11"/>
  <c r="B31" i="11"/>
  <c r="A32" i="11"/>
  <c r="AB30" i="11"/>
  <c r="C30" i="11"/>
  <c r="D30" i="11" s="1"/>
  <c r="H36" i="1"/>
  <c r="B36" i="1"/>
  <c r="C37" i="1"/>
  <c r="C32" i="5"/>
  <c r="K36" i="1"/>
  <c r="BJ36" i="1" s="1"/>
  <c r="W32" i="28"/>
  <c r="B32" i="28"/>
  <c r="D12" i="24"/>
  <c r="B31" i="24"/>
  <c r="R31" i="24"/>
  <c r="A32" i="24"/>
  <c r="L32" i="24" s="1"/>
  <c r="H15" i="5" l="1"/>
  <c r="AX19" i="1"/>
  <c r="T21" i="9" s="1"/>
  <c r="AG21" i="1"/>
  <c r="AZ21" i="1"/>
  <c r="BB21" i="1" s="1"/>
  <c r="BC20" i="1"/>
  <c r="BK20" i="1" s="1"/>
  <c r="BO20" i="1" s="1"/>
  <c r="AI20" i="1"/>
  <c r="D16" i="5"/>
  <c r="CQ37" i="1"/>
  <c r="A36" i="10"/>
  <c r="G36" i="10" s="1"/>
  <c r="H36" i="10" s="1"/>
  <c r="L23" i="1"/>
  <c r="M23" i="1" s="1"/>
  <c r="D30" i="26"/>
  <c r="C29" i="26"/>
  <c r="C31" i="24"/>
  <c r="V31" i="24"/>
  <c r="P37" i="1"/>
  <c r="EB37" i="16"/>
  <c r="ES41" i="16" s="1"/>
  <c r="EA38" i="16"/>
  <c r="EA41" i="16" s="1"/>
  <c r="EF35" i="16"/>
  <c r="ED36" i="16"/>
  <c r="DZ38" i="16"/>
  <c r="EE36" i="16"/>
  <c r="EC37" i="16"/>
  <c r="ET41" i="16" s="1"/>
  <c r="EK33" i="16"/>
  <c r="EL33" i="16" s="1"/>
  <c r="EJ34" i="16"/>
  <c r="EH34" i="16"/>
  <c r="EI35" i="16"/>
  <c r="EG35" i="16"/>
  <c r="E26" i="1"/>
  <c r="F26" i="1" s="1"/>
  <c r="G26" i="1" s="1"/>
  <c r="D38" i="1"/>
  <c r="CQ38" i="1" s="1"/>
  <c r="AQ36" i="1"/>
  <c r="J37" i="1"/>
  <c r="X37" i="1"/>
  <c r="W38" i="1" s="1"/>
  <c r="V37" i="1"/>
  <c r="S33" i="1"/>
  <c r="B33" i="9"/>
  <c r="C33" i="9" s="1"/>
  <c r="D33" i="9" s="1"/>
  <c r="A65" i="28"/>
  <c r="Z64" i="28"/>
  <c r="A34" i="9"/>
  <c r="B34" i="9" s="1"/>
  <c r="C34" i="9" s="1"/>
  <c r="D34" i="9" s="1"/>
  <c r="R33" i="9"/>
  <c r="L33" i="9"/>
  <c r="V32" i="9"/>
  <c r="H37" i="1"/>
  <c r="B37" i="1"/>
  <c r="C38" i="1"/>
  <c r="C33" i="5"/>
  <c r="K37" i="1"/>
  <c r="BJ37" i="1" s="1"/>
  <c r="W32" i="11"/>
  <c r="B32" i="11"/>
  <c r="A33" i="11"/>
  <c r="Y27" i="1"/>
  <c r="Z27" i="1" s="1"/>
  <c r="BD27" i="1" s="1"/>
  <c r="BF27" i="1" s="1"/>
  <c r="BG27" i="1" s="1"/>
  <c r="A37" i="1"/>
  <c r="C31" i="11"/>
  <c r="D31" i="11" s="1"/>
  <c r="AB31" i="11"/>
  <c r="W33" i="28"/>
  <c r="B33" i="28"/>
  <c r="C32" i="28"/>
  <c r="D32" i="28" s="1"/>
  <c r="AB32" i="28"/>
  <c r="AP36" i="1"/>
  <c r="E30" i="11"/>
  <c r="AE30" i="11"/>
  <c r="B32" i="24"/>
  <c r="R32" i="24"/>
  <c r="A33" i="24"/>
  <c r="F16" i="5" l="1"/>
  <c r="J16" i="5"/>
  <c r="G16" i="5"/>
  <c r="AU20" i="1"/>
  <c r="AJ20" i="1"/>
  <c r="AR20" i="1" s="1"/>
  <c r="AT20" i="1"/>
  <c r="N22" i="1"/>
  <c r="Q22" i="1" s="1"/>
  <c r="BC21" i="1"/>
  <c r="BK21" i="1" s="1"/>
  <c r="BO21" i="1" s="1"/>
  <c r="AI21" i="1"/>
  <c r="AJ21" i="1" s="1"/>
  <c r="AR21" i="1" s="1"/>
  <c r="D17" i="5"/>
  <c r="A37" i="10"/>
  <c r="G37" i="10" s="1"/>
  <c r="H37" i="10" s="1"/>
  <c r="L24" i="1"/>
  <c r="M24" i="1" s="1"/>
  <c r="D31" i="26"/>
  <c r="C30" i="26"/>
  <c r="L33" i="24"/>
  <c r="C32" i="24"/>
  <c r="D32" i="24" s="1"/>
  <c r="V32" i="24"/>
  <c r="P38" i="1"/>
  <c r="EF36" i="16"/>
  <c r="EE37" i="16"/>
  <c r="EV41" i="16" s="1"/>
  <c r="EJ35" i="16"/>
  <c r="EH35" i="16"/>
  <c r="EI36" i="16"/>
  <c r="EG36" i="16"/>
  <c r="EC38" i="16"/>
  <c r="EC41" i="16" s="1"/>
  <c r="EB38" i="16"/>
  <c r="ED37" i="16"/>
  <c r="EU41" i="16" s="1"/>
  <c r="EK34" i="16"/>
  <c r="EL34" i="16" s="1"/>
  <c r="E27" i="1"/>
  <c r="F27" i="1" s="1"/>
  <c r="G27" i="1" s="1"/>
  <c r="D39" i="1"/>
  <c r="CQ39" i="1" s="1"/>
  <c r="DZ41" i="16"/>
  <c r="AQ37" i="1"/>
  <c r="AM27" i="1"/>
  <c r="V38" i="1"/>
  <c r="J38" i="1"/>
  <c r="X38" i="1"/>
  <c r="W39" i="1" s="1"/>
  <c r="T33" i="1"/>
  <c r="S34" i="1" s="1"/>
  <c r="A38" i="1"/>
  <c r="A66" i="28"/>
  <c r="Z65" i="28"/>
  <c r="AP37" i="1"/>
  <c r="AB32" i="11"/>
  <c r="C32" i="11"/>
  <c r="D32" i="11" s="1"/>
  <c r="V33" i="9"/>
  <c r="H38" i="1"/>
  <c r="B38" i="1"/>
  <c r="C39" i="1"/>
  <c r="C34" i="5"/>
  <c r="K38" i="1"/>
  <c r="BJ38" i="1" s="1"/>
  <c r="C33" i="28"/>
  <c r="D33" i="28" s="1"/>
  <c r="AB33" i="28"/>
  <c r="R34" i="9"/>
  <c r="A35" i="9"/>
  <c r="L34" i="9"/>
  <c r="B33" i="11"/>
  <c r="W33" i="11"/>
  <c r="A34" i="11"/>
  <c r="E31" i="11"/>
  <c r="AE31" i="11"/>
  <c r="W34" i="28"/>
  <c r="B34" i="28"/>
  <c r="B33" i="24"/>
  <c r="R33" i="24"/>
  <c r="A34" i="24"/>
  <c r="L34" i="24" s="1"/>
  <c r="N23" i="1" l="1"/>
  <c r="Q23" i="1" s="1"/>
  <c r="G17" i="5"/>
  <c r="J17" i="5"/>
  <c r="F17" i="5"/>
  <c r="AX20" i="1"/>
  <c r="T23" i="9" s="1"/>
  <c r="AU21" i="1"/>
  <c r="AT21" i="1"/>
  <c r="AG22" i="1"/>
  <c r="AZ22" i="1"/>
  <c r="BB22" i="1" s="1"/>
  <c r="H16" i="5"/>
  <c r="A38" i="10"/>
  <c r="G38" i="10" s="1"/>
  <c r="H38" i="10" s="1"/>
  <c r="D32" i="26"/>
  <c r="C31" i="26"/>
  <c r="C33" i="24"/>
  <c r="V33" i="24"/>
  <c r="P39" i="1"/>
  <c r="EK35" i="16"/>
  <c r="EL35" i="16" s="1"/>
  <c r="EF37" i="16"/>
  <c r="EW41" i="16" s="1"/>
  <c r="EI37" i="16"/>
  <c r="EZ41" i="16" s="1"/>
  <c r="EG37" i="16"/>
  <c r="ED38" i="16"/>
  <c r="EE38" i="16"/>
  <c r="EE41" i="16" s="1"/>
  <c r="EJ36" i="16"/>
  <c r="EH36" i="16"/>
  <c r="E28" i="1"/>
  <c r="F28" i="1" s="1"/>
  <c r="G28" i="1" s="1"/>
  <c r="D40" i="1"/>
  <c r="CQ40" i="1" s="1"/>
  <c r="EB41" i="16"/>
  <c r="AQ38" i="1"/>
  <c r="AN27" i="1"/>
  <c r="J39" i="1"/>
  <c r="X39" i="1"/>
  <c r="W40" i="1" s="1"/>
  <c r="T34" i="1"/>
  <c r="S35" i="1" s="1"/>
  <c r="V39" i="1"/>
  <c r="A39" i="1"/>
  <c r="B35" i="9"/>
  <c r="C35" i="9" s="1"/>
  <c r="D35" i="9" s="1"/>
  <c r="A67" i="28"/>
  <c r="Z66" i="28"/>
  <c r="AP38" i="1"/>
  <c r="L35" i="9"/>
  <c r="A36" i="9"/>
  <c r="B36" i="9" s="1"/>
  <c r="C36" i="9" s="1"/>
  <c r="D36" i="9" s="1"/>
  <c r="R35" i="9"/>
  <c r="V34" i="9"/>
  <c r="W34" i="11"/>
  <c r="A35" i="11"/>
  <c r="B34" i="11"/>
  <c r="Y28" i="1"/>
  <c r="Z28" i="1" s="1"/>
  <c r="BD28" i="1" s="1"/>
  <c r="BF28" i="1" s="1"/>
  <c r="BG28" i="1" s="1"/>
  <c r="C34" i="28"/>
  <c r="D34" i="28" s="1"/>
  <c r="AB34" i="28"/>
  <c r="W35" i="28"/>
  <c r="B35" i="28"/>
  <c r="C33" i="11"/>
  <c r="D33" i="11" s="1"/>
  <c r="AB33" i="11"/>
  <c r="H39" i="1"/>
  <c r="B39" i="1"/>
  <c r="C40" i="1"/>
  <c r="C35" i="5"/>
  <c r="K39" i="1"/>
  <c r="BJ39" i="1" s="1"/>
  <c r="B34" i="24"/>
  <c r="R34" i="24"/>
  <c r="A35" i="24"/>
  <c r="H17" i="5" l="1"/>
  <c r="A39" i="10"/>
  <c r="G39" i="10" s="1"/>
  <c r="H39" i="10" s="1"/>
  <c r="EX41" i="16"/>
  <c r="AX21" i="1"/>
  <c r="T25" i="9" s="1"/>
  <c r="N24" i="1"/>
  <c r="Q24" i="1" s="1"/>
  <c r="AG24" i="1" s="1"/>
  <c r="L25" i="1"/>
  <c r="AZ23" i="1"/>
  <c r="BB23" i="1" s="1"/>
  <c r="AG23" i="1"/>
  <c r="D18" i="5"/>
  <c r="AI22" i="1"/>
  <c r="BC22" i="1"/>
  <c r="BK22" i="1" s="1"/>
  <c r="BO22" i="1" s="1"/>
  <c r="D33" i="26"/>
  <c r="C32" i="26"/>
  <c r="L35" i="24"/>
  <c r="C34" i="24"/>
  <c r="V34" i="24"/>
  <c r="P40" i="1"/>
  <c r="EK36" i="16"/>
  <c r="EL36" i="16" s="1"/>
  <c r="EI38" i="16"/>
  <c r="EI41" i="16" s="1"/>
  <c r="EG38" i="16"/>
  <c r="ED41" i="16"/>
  <c r="EF38" i="16"/>
  <c r="EF41" i="16" s="1"/>
  <c r="EJ37" i="16"/>
  <c r="FA41" i="16" s="1"/>
  <c r="EH37" i="16"/>
  <c r="EY41" i="16" s="1"/>
  <c r="E29" i="1"/>
  <c r="F29" i="1" s="1"/>
  <c r="G29" i="1" s="1"/>
  <c r="D41" i="1"/>
  <c r="CQ41" i="1" s="1"/>
  <c r="AQ39" i="1"/>
  <c r="J40" i="1"/>
  <c r="AM28" i="1"/>
  <c r="T35" i="1"/>
  <c r="X40" i="1"/>
  <c r="W41" i="1" s="1"/>
  <c r="V40" i="1"/>
  <c r="A68" i="28"/>
  <c r="Z67" i="28"/>
  <c r="AP39" i="1"/>
  <c r="A40" i="1"/>
  <c r="V35" i="9"/>
  <c r="C34" i="11"/>
  <c r="D34" i="11" s="1"/>
  <c r="AB34" i="11"/>
  <c r="H40" i="1"/>
  <c r="C41" i="1"/>
  <c r="B40" i="1"/>
  <c r="C36" i="5"/>
  <c r="K40" i="1"/>
  <c r="BJ40" i="1" s="1"/>
  <c r="C35" i="28"/>
  <c r="D35" i="28" s="1"/>
  <c r="AB35" i="28"/>
  <c r="A36" i="11"/>
  <c r="B35" i="11"/>
  <c r="W35" i="11"/>
  <c r="L36" i="9"/>
  <c r="A37" i="9"/>
  <c r="R36" i="9"/>
  <c r="AE33" i="11"/>
  <c r="E33" i="11"/>
  <c r="W36" i="28"/>
  <c r="B36" i="28"/>
  <c r="A40" i="10"/>
  <c r="R35" i="24"/>
  <c r="B35" i="24"/>
  <c r="A36" i="24"/>
  <c r="L36" i="24" s="1"/>
  <c r="M25" i="1" l="1"/>
  <c r="N25" i="1" s="1"/>
  <c r="Q25" i="1" s="1"/>
  <c r="FC41" i="16"/>
  <c r="AZ24" i="1"/>
  <c r="BB24" i="1" s="1"/>
  <c r="BC24" i="1" s="1"/>
  <c r="BK24" i="1" s="1"/>
  <c r="BO24" i="1" s="1"/>
  <c r="F18" i="5"/>
  <c r="J18" i="5"/>
  <c r="G18" i="5"/>
  <c r="AT22" i="1"/>
  <c r="AU22" i="1"/>
  <c r="AJ22" i="1"/>
  <c r="AR22" i="1" s="1"/>
  <c r="D19" i="5"/>
  <c r="BC23" i="1"/>
  <c r="BK23" i="1" s="1"/>
  <c r="BO23" i="1" s="1"/>
  <c r="AI23" i="1"/>
  <c r="AI24" i="1"/>
  <c r="AJ24" i="1" s="1"/>
  <c r="AR24" i="1" s="1"/>
  <c r="D20" i="5"/>
  <c r="D34" i="26"/>
  <c r="C33" i="26"/>
  <c r="C35" i="24"/>
  <c r="D35" i="24" s="1"/>
  <c r="V35" i="24"/>
  <c r="P41" i="1"/>
  <c r="EK37" i="16"/>
  <c r="EL37" i="16" s="1"/>
  <c r="EH38" i="16"/>
  <c r="EH41" i="16" s="1"/>
  <c r="EJ38" i="16"/>
  <c r="EJ41" i="16" s="1"/>
  <c r="E30" i="1"/>
  <c r="F30" i="1" s="1"/>
  <c r="D42" i="1"/>
  <c r="CQ42" i="1" s="1"/>
  <c r="EG41" i="16"/>
  <c r="AQ40" i="1"/>
  <c r="AN28" i="1"/>
  <c r="S36" i="1"/>
  <c r="T36" i="1" s="1"/>
  <c r="X41" i="1"/>
  <c r="W42" i="1" s="1"/>
  <c r="V41" i="1"/>
  <c r="B37" i="9"/>
  <c r="C37" i="9" s="1"/>
  <c r="D37" i="9" s="1"/>
  <c r="A69" i="28"/>
  <c r="Z68" i="28"/>
  <c r="AP40" i="1"/>
  <c r="W36" i="11"/>
  <c r="A37" i="11"/>
  <c r="B36" i="11"/>
  <c r="A41" i="1"/>
  <c r="B37" i="28"/>
  <c r="W37" i="28"/>
  <c r="V36" i="9"/>
  <c r="Y29" i="1"/>
  <c r="Z29" i="1" s="1"/>
  <c r="BD29" i="1" s="1"/>
  <c r="BF29" i="1" s="1"/>
  <c r="BG29" i="1" s="1"/>
  <c r="A38" i="9"/>
  <c r="B38" i="9" s="1"/>
  <c r="C38" i="9" s="1"/>
  <c r="D38" i="9" s="1"/>
  <c r="L37" i="9"/>
  <c r="R37" i="9"/>
  <c r="C35" i="11"/>
  <c r="D35" i="11" s="1"/>
  <c r="AB35" i="11"/>
  <c r="H41" i="1"/>
  <c r="C42" i="1"/>
  <c r="C37" i="5"/>
  <c r="K41" i="1"/>
  <c r="BJ41" i="1" s="1"/>
  <c r="C36" i="28"/>
  <c r="D36" i="28" s="1"/>
  <c r="AB36" i="28"/>
  <c r="B36" i="24"/>
  <c r="R36" i="24"/>
  <c r="A37" i="24"/>
  <c r="A41" i="10"/>
  <c r="G40" i="10"/>
  <c r="H40" i="10" s="1"/>
  <c r="L26" i="1" l="1"/>
  <c r="M26" i="1" s="1"/>
  <c r="FB41" i="16"/>
  <c r="AX22" i="1"/>
  <c r="T27" i="9" s="1"/>
  <c r="J41" i="1"/>
  <c r="G19" i="5"/>
  <c r="J19" i="5"/>
  <c r="F19" i="5"/>
  <c r="H18" i="5"/>
  <c r="AZ25" i="1"/>
  <c r="BB25" i="1" s="1"/>
  <c r="AG25" i="1"/>
  <c r="AJ23" i="1"/>
  <c r="AR23" i="1" s="1"/>
  <c r="AT23" i="1"/>
  <c r="AU23" i="1"/>
  <c r="AT24" i="1"/>
  <c r="AU24" i="1"/>
  <c r="G20" i="5"/>
  <c r="J20" i="5"/>
  <c r="F20" i="5"/>
  <c r="D35" i="26"/>
  <c r="C34" i="26"/>
  <c r="L37" i="24"/>
  <c r="C36" i="24"/>
  <c r="V36" i="24"/>
  <c r="P42" i="1"/>
  <c r="EK38" i="16"/>
  <c r="EL38" i="16" s="1"/>
  <c r="EL41" i="16" s="1"/>
  <c r="E31" i="1"/>
  <c r="F31" i="1" s="1"/>
  <c r="G30" i="1"/>
  <c r="D43" i="1"/>
  <c r="CQ43" i="1" s="1"/>
  <c r="AQ41" i="1"/>
  <c r="J42" i="1"/>
  <c r="S37" i="1"/>
  <c r="T37" i="1" s="1"/>
  <c r="S38" i="1" s="1"/>
  <c r="T38" i="1" s="1"/>
  <c r="AM29" i="1"/>
  <c r="X42" i="1"/>
  <c r="W43" i="1" s="1"/>
  <c r="V42" i="1"/>
  <c r="A70" i="28"/>
  <c r="Z69" i="28"/>
  <c r="AP41" i="1"/>
  <c r="L38" i="9"/>
  <c r="A39" i="9"/>
  <c r="R38" i="9"/>
  <c r="W37" i="11"/>
  <c r="B37" i="11"/>
  <c r="A38" i="11"/>
  <c r="AB37" i="28"/>
  <c r="C37" i="28"/>
  <c r="D37" i="28" s="1"/>
  <c r="H42" i="1"/>
  <c r="H59" i="1" s="1"/>
  <c r="C43" i="1"/>
  <c r="C38" i="5"/>
  <c r="K42" i="1"/>
  <c r="E35" i="11"/>
  <c r="AE35" i="11"/>
  <c r="W38" i="28"/>
  <c r="B38" i="28"/>
  <c r="A42" i="1"/>
  <c r="V37" i="9"/>
  <c r="AB36" i="11"/>
  <c r="C36" i="11"/>
  <c r="D36" i="11" s="1"/>
  <c r="B37" i="24"/>
  <c r="R37" i="24"/>
  <c r="A38" i="24"/>
  <c r="L38" i="24" s="1"/>
  <c r="D33" i="24"/>
  <c r="F35" i="24"/>
  <c r="X35" i="24"/>
  <c r="A42" i="10"/>
  <c r="G42" i="10" s="1"/>
  <c r="H42" i="10" s="1"/>
  <c r="G41" i="10"/>
  <c r="H41" i="10" s="1"/>
  <c r="L27" i="1" l="1"/>
  <c r="M27" i="1" s="1"/>
  <c r="H19" i="5"/>
  <c r="J59" i="1"/>
  <c r="N26" i="1"/>
  <c r="Q26" i="1" s="1"/>
  <c r="BC25" i="1"/>
  <c r="BK25" i="1" s="1"/>
  <c r="BO25" i="1" s="1"/>
  <c r="D21" i="5"/>
  <c r="AI25" i="1"/>
  <c r="AX23" i="1"/>
  <c r="T29" i="9" s="1"/>
  <c r="I59" i="1"/>
  <c r="AX24" i="1"/>
  <c r="T31" i="9" s="1"/>
  <c r="H20" i="5"/>
  <c r="BJ42" i="1"/>
  <c r="K59" i="1"/>
  <c r="D36" i="26"/>
  <c r="C35" i="26"/>
  <c r="C37" i="24"/>
  <c r="D37" i="24" s="1"/>
  <c r="V37" i="24"/>
  <c r="P43" i="1"/>
  <c r="E32" i="1"/>
  <c r="F32" i="1" s="1"/>
  <c r="G32" i="1" s="1"/>
  <c r="G31" i="1"/>
  <c r="EK41" i="16"/>
  <c r="D44" i="1"/>
  <c r="AQ42" i="1"/>
  <c r="AN29" i="1"/>
  <c r="J43" i="1"/>
  <c r="X43" i="1"/>
  <c r="W44" i="1" s="1"/>
  <c r="V43" i="1"/>
  <c r="S39" i="1"/>
  <c r="B39" i="9"/>
  <c r="C39" i="9" s="1"/>
  <c r="D39" i="9" s="1"/>
  <c r="A71" i="28"/>
  <c r="Z70" i="28"/>
  <c r="A43" i="1"/>
  <c r="AP42" i="1"/>
  <c r="Y30" i="1"/>
  <c r="Z30" i="1" s="1"/>
  <c r="BD30" i="1" s="1"/>
  <c r="BF30" i="1" s="1"/>
  <c r="AB38" i="28"/>
  <c r="C38" i="28"/>
  <c r="D38" i="28" s="1"/>
  <c r="H43" i="1"/>
  <c r="C44" i="1"/>
  <c r="C39" i="5"/>
  <c r="K43" i="1"/>
  <c r="BJ43" i="1" s="1"/>
  <c r="V38" i="9"/>
  <c r="B38" i="11"/>
  <c r="W38" i="11"/>
  <c r="A39" i="11"/>
  <c r="R39" i="9"/>
  <c r="A40" i="9"/>
  <c r="B40" i="9" s="1"/>
  <c r="C40" i="9" s="1"/>
  <c r="D40" i="9" s="1"/>
  <c r="L39" i="9"/>
  <c r="AB37" i="11"/>
  <c r="C37" i="11"/>
  <c r="D37" i="11" s="1"/>
  <c r="B39" i="28"/>
  <c r="W39" i="28"/>
  <c r="B38" i="24"/>
  <c r="R38" i="24"/>
  <c r="A39" i="24"/>
  <c r="D31" i="24"/>
  <c r="F33" i="24"/>
  <c r="X33" i="24"/>
  <c r="L28" i="1" l="1"/>
  <c r="M28" i="1" s="1"/>
  <c r="G21" i="5"/>
  <c r="J21" i="5"/>
  <c r="F21" i="5"/>
  <c r="AZ26" i="1"/>
  <c r="BB26" i="1" s="1"/>
  <c r="AG26" i="1"/>
  <c r="AU25" i="1"/>
  <c r="AJ25" i="1"/>
  <c r="AR25" i="1" s="1"/>
  <c r="AT25" i="1"/>
  <c r="N27" i="1"/>
  <c r="Q27" i="1" s="1"/>
  <c r="CQ44" i="1"/>
  <c r="CR44" i="1"/>
  <c r="BZ44" i="1"/>
  <c r="CA44" i="1"/>
  <c r="D37" i="26"/>
  <c r="C36" i="26"/>
  <c r="L39" i="24"/>
  <c r="C38" i="24"/>
  <c r="V38" i="24"/>
  <c r="P44" i="1"/>
  <c r="D45" i="1"/>
  <c r="BG30" i="1"/>
  <c r="E33" i="1"/>
  <c r="J44" i="1"/>
  <c r="AM30" i="1"/>
  <c r="X44" i="1"/>
  <c r="W45" i="1" s="1"/>
  <c r="T39" i="1"/>
  <c r="S40" i="1" s="1"/>
  <c r="V44" i="1"/>
  <c r="A72" i="28"/>
  <c r="Z71" i="28"/>
  <c r="W39" i="11"/>
  <c r="A40" i="11"/>
  <c r="B39" i="11"/>
  <c r="AB39" i="28"/>
  <c r="C39" i="28"/>
  <c r="D39" i="28" s="1"/>
  <c r="A41" i="9"/>
  <c r="R40" i="9"/>
  <c r="L40" i="9"/>
  <c r="C38" i="11"/>
  <c r="D38" i="11" s="1"/>
  <c r="AB38" i="11"/>
  <c r="AE37" i="11"/>
  <c r="E37" i="11"/>
  <c r="V39" i="9"/>
  <c r="A44" i="1"/>
  <c r="B40" i="28"/>
  <c r="W40" i="28"/>
  <c r="H44" i="1"/>
  <c r="C45" i="1"/>
  <c r="C40" i="5"/>
  <c r="K44" i="1"/>
  <c r="BJ44" i="1" s="1"/>
  <c r="D29" i="24"/>
  <c r="F31" i="24"/>
  <c r="X31" i="24"/>
  <c r="B39" i="24"/>
  <c r="R39" i="24"/>
  <c r="A40" i="24"/>
  <c r="L40" i="24" s="1"/>
  <c r="F37" i="24"/>
  <c r="X37" i="24"/>
  <c r="H21" i="5" l="1"/>
  <c r="AX25" i="1"/>
  <c r="T33" i="9" s="1"/>
  <c r="AZ27" i="1"/>
  <c r="BB27" i="1" s="1"/>
  <c r="AG27" i="1"/>
  <c r="D22" i="5"/>
  <c r="AI26" i="1"/>
  <c r="BC26" i="1"/>
  <c r="BK26" i="1" s="1"/>
  <c r="BO26" i="1" s="1"/>
  <c r="C37" i="26"/>
  <c r="D38" i="26"/>
  <c r="CQ45" i="1"/>
  <c r="CR45" i="1"/>
  <c r="BZ45" i="1"/>
  <c r="CA45" i="1"/>
  <c r="C39" i="24"/>
  <c r="D39" i="24" s="1"/>
  <c r="V39" i="24"/>
  <c r="P45" i="1"/>
  <c r="D46" i="1"/>
  <c r="F33" i="1"/>
  <c r="AQ44" i="1"/>
  <c r="AN30" i="1"/>
  <c r="J45" i="1"/>
  <c r="X45" i="1"/>
  <c r="W46" i="1" s="1"/>
  <c r="T40" i="1"/>
  <c r="V45" i="1"/>
  <c r="A45" i="1"/>
  <c r="B41" i="9"/>
  <c r="C41" i="9" s="1"/>
  <c r="D41" i="9" s="1"/>
  <c r="A73" i="28"/>
  <c r="Z72" i="28"/>
  <c r="AP44" i="1"/>
  <c r="H45" i="1"/>
  <c r="C46" i="1"/>
  <c r="C41" i="5"/>
  <c r="K45" i="1"/>
  <c r="BJ45" i="1" s="1"/>
  <c r="V40" i="9"/>
  <c r="W41" i="28"/>
  <c r="B41" i="28"/>
  <c r="R41" i="9"/>
  <c r="L41" i="9"/>
  <c r="A42" i="9"/>
  <c r="B42" i="9" s="1"/>
  <c r="C42" i="9" s="1"/>
  <c r="D42" i="9" s="1"/>
  <c r="AB40" i="28"/>
  <c r="C40" i="28"/>
  <c r="D40" i="28" s="1"/>
  <c r="C39" i="11"/>
  <c r="D39" i="11" s="1"/>
  <c r="AB39" i="11"/>
  <c r="Y31" i="1"/>
  <c r="Z31" i="1" s="1"/>
  <c r="BD31" i="1" s="1"/>
  <c r="BF31" i="1" s="1"/>
  <c r="W40" i="11"/>
  <c r="B40" i="11"/>
  <c r="A41" i="11"/>
  <c r="D27" i="24"/>
  <c r="F29" i="24"/>
  <c r="X29" i="24"/>
  <c r="B40" i="24"/>
  <c r="R40" i="24"/>
  <c r="A41" i="24"/>
  <c r="N28" i="1" l="1"/>
  <c r="Q28" i="1" s="1"/>
  <c r="AG28" i="1" s="1"/>
  <c r="L29" i="1"/>
  <c r="AT26" i="1"/>
  <c r="AJ26" i="1"/>
  <c r="AR26" i="1" s="1"/>
  <c r="AU26" i="1"/>
  <c r="AZ28" i="1"/>
  <c r="BB28" i="1" s="1"/>
  <c r="BC27" i="1"/>
  <c r="BK27" i="1" s="1"/>
  <c r="BO27" i="1" s="1"/>
  <c r="D23" i="5"/>
  <c r="AI27" i="1"/>
  <c r="G22" i="5"/>
  <c r="J22" i="5"/>
  <c r="F22" i="5"/>
  <c r="D39" i="26"/>
  <c r="C38" i="26"/>
  <c r="CQ46" i="1"/>
  <c r="CR46" i="1"/>
  <c r="BW46" i="1"/>
  <c r="BZ46" i="1"/>
  <c r="CA46" i="1"/>
  <c r="L41" i="24"/>
  <c r="C40" i="24"/>
  <c r="V40" i="24"/>
  <c r="P46" i="1"/>
  <c r="E34" i="1"/>
  <c r="F34" i="1" s="1"/>
  <c r="G34" i="1" s="1"/>
  <c r="G33" i="1"/>
  <c r="D47" i="1"/>
  <c r="BG31" i="1"/>
  <c r="AQ45" i="1"/>
  <c r="J46" i="1"/>
  <c r="AM31" i="1"/>
  <c r="X46" i="1"/>
  <c r="W47" i="1" s="1"/>
  <c r="V46" i="1"/>
  <c r="S41" i="1"/>
  <c r="A46" i="1"/>
  <c r="A74" i="28"/>
  <c r="Z73" i="28"/>
  <c r="AP45" i="1"/>
  <c r="V41" i="9"/>
  <c r="AB41" i="28"/>
  <c r="C41" i="28"/>
  <c r="D41" i="28" s="1"/>
  <c r="B41" i="11"/>
  <c r="W41" i="11"/>
  <c r="A42" i="11"/>
  <c r="AB40" i="11"/>
  <c r="C40" i="11"/>
  <c r="D40" i="11" s="1"/>
  <c r="AE39" i="11"/>
  <c r="E39" i="11"/>
  <c r="H46" i="1"/>
  <c r="C42" i="5"/>
  <c r="C47" i="1"/>
  <c r="K46" i="1"/>
  <c r="BJ46" i="1" s="1"/>
  <c r="L42" i="9"/>
  <c r="A43" i="9"/>
  <c r="R42" i="9"/>
  <c r="W42" i="28"/>
  <c r="B42" i="28"/>
  <c r="D25" i="24"/>
  <c r="F27" i="24"/>
  <c r="X27" i="24"/>
  <c r="F39" i="24"/>
  <c r="X39" i="24"/>
  <c r="B41" i="24"/>
  <c r="R41" i="24"/>
  <c r="A42" i="24"/>
  <c r="L42" i="24" s="1"/>
  <c r="M29" i="1" l="1"/>
  <c r="N29" i="1" s="1"/>
  <c r="Q29" i="1" s="1"/>
  <c r="H22" i="5"/>
  <c r="J23" i="5"/>
  <c r="G23" i="5"/>
  <c r="F23" i="5"/>
  <c r="AU27" i="1"/>
  <c r="AJ27" i="1"/>
  <c r="AR27" i="1" s="1"/>
  <c r="AT27" i="1"/>
  <c r="AI28" i="1"/>
  <c r="AJ28" i="1" s="1"/>
  <c r="AR28" i="1" s="1"/>
  <c r="BC28" i="1"/>
  <c r="BK28" i="1" s="1"/>
  <c r="BO28" i="1" s="1"/>
  <c r="D24" i="5"/>
  <c r="AX26" i="1"/>
  <c r="T35" i="9" s="1"/>
  <c r="D40" i="26"/>
  <c r="C39" i="26"/>
  <c r="CQ47" i="1"/>
  <c r="CR47" i="1"/>
  <c r="BW47" i="1"/>
  <c r="BZ47" i="1"/>
  <c r="CA47" i="1"/>
  <c r="C41" i="24"/>
  <c r="D41" i="24" s="1"/>
  <c r="V41" i="24"/>
  <c r="P47" i="1"/>
  <c r="D48" i="1"/>
  <c r="E35" i="1"/>
  <c r="AQ46" i="1"/>
  <c r="AN31" i="1"/>
  <c r="J47" i="1"/>
  <c r="X47" i="1"/>
  <c r="W48" i="1" s="1"/>
  <c r="V47" i="1"/>
  <c r="T41" i="1"/>
  <c r="S42" i="1" s="1"/>
  <c r="B43" i="9"/>
  <c r="C43" i="9" s="1"/>
  <c r="D43" i="9" s="1"/>
  <c r="A75" i="28"/>
  <c r="Z74" i="28"/>
  <c r="AB42" i="28"/>
  <c r="C42" i="28"/>
  <c r="D42" i="28" s="1"/>
  <c r="V42" i="9"/>
  <c r="AP46" i="1"/>
  <c r="AB41" i="11"/>
  <c r="C41" i="11"/>
  <c r="D41" i="11" s="1"/>
  <c r="H47" i="1"/>
  <c r="C43" i="5"/>
  <c r="C48" i="1"/>
  <c r="K47" i="1"/>
  <c r="BJ47" i="1" s="1"/>
  <c r="A47" i="1"/>
  <c r="Y32" i="1"/>
  <c r="Z32" i="1" s="1"/>
  <c r="BD32" i="1" s="1"/>
  <c r="BF32" i="1" s="1"/>
  <c r="A43" i="11"/>
  <c r="W42" i="11"/>
  <c r="B42" i="11"/>
  <c r="W43" i="28"/>
  <c r="B43" i="28"/>
  <c r="G43" i="28" s="1"/>
  <c r="A44" i="9"/>
  <c r="R43" i="9"/>
  <c r="L43" i="9"/>
  <c r="D23" i="24"/>
  <c r="X25" i="24"/>
  <c r="F25" i="24"/>
  <c r="B42" i="24"/>
  <c r="R42" i="24"/>
  <c r="A43" i="24"/>
  <c r="L30" i="1" l="1"/>
  <c r="M30" i="1" s="1"/>
  <c r="H23" i="5"/>
  <c r="AX27" i="1"/>
  <c r="T37" i="9" s="1"/>
  <c r="AZ29" i="1"/>
  <c r="BB29" i="1" s="1"/>
  <c r="AG29" i="1"/>
  <c r="J24" i="5"/>
  <c r="G24" i="5"/>
  <c r="F24" i="5"/>
  <c r="AU28" i="1"/>
  <c r="AT28" i="1"/>
  <c r="D41" i="26"/>
  <c r="C40" i="26"/>
  <c r="CQ48" i="1"/>
  <c r="CR48" i="1"/>
  <c r="B44" i="9"/>
  <c r="C44" i="9" s="1"/>
  <c r="D44" i="9" s="1"/>
  <c r="BW48" i="1"/>
  <c r="BZ48" i="1"/>
  <c r="CA48" i="1"/>
  <c r="L43" i="24"/>
  <c r="C42" i="24"/>
  <c r="V42" i="24"/>
  <c r="P48" i="1"/>
  <c r="D49" i="1"/>
  <c r="F35" i="1"/>
  <c r="G35" i="1" s="1"/>
  <c r="BG32" i="1"/>
  <c r="AQ47" i="1"/>
  <c r="J48" i="1"/>
  <c r="AM32" i="1"/>
  <c r="X48" i="1"/>
  <c r="W49" i="1" s="1"/>
  <c r="T42" i="1"/>
  <c r="V48" i="1"/>
  <c r="A48" i="1"/>
  <c r="A76" i="28"/>
  <c r="Z75" i="28"/>
  <c r="AB43" i="28"/>
  <c r="C43" i="28"/>
  <c r="D43" i="28" s="1"/>
  <c r="A44" i="11"/>
  <c r="W43" i="11"/>
  <c r="B43" i="11"/>
  <c r="H48" i="1"/>
  <c r="C44" i="5"/>
  <c r="C49" i="1"/>
  <c r="K48" i="1"/>
  <c r="BJ48" i="1" s="1"/>
  <c r="E41" i="11"/>
  <c r="AE41" i="11"/>
  <c r="R44" i="9"/>
  <c r="A45" i="9"/>
  <c r="L44" i="9"/>
  <c r="C42" i="11"/>
  <c r="D42" i="11" s="1"/>
  <c r="AB42" i="11"/>
  <c r="W44" i="28"/>
  <c r="B44" i="28"/>
  <c r="G44" i="28" s="1"/>
  <c r="AP47" i="1"/>
  <c r="V43" i="9"/>
  <c r="F23" i="24"/>
  <c r="X23" i="24"/>
  <c r="F41" i="24"/>
  <c r="X41" i="24"/>
  <c r="R43" i="24"/>
  <c r="B43" i="24"/>
  <c r="A44" i="24"/>
  <c r="L44" i="24" s="1"/>
  <c r="N30" i="1" l="1"/>
  <c r="Q30" i="1" s="1"/>
  <c r="AZ30" i="1" s="1"/>
  <c r="BB30" i="1" s="1"/>
  <c r="L31" i="1"/>
  <c r="M31" i="1" s="1"/>
  <c r="H24" i="5"/>
  <c r="AX28" i="1"/>
  <c r="T39" i="9" s="1"/>
  <c r="AI29" i="1"/>
  <c r="D25" i="5"/>
  <c r="BC29" i="1"/>
  <c r="BK29" i="1" s="1"/>
  <c r="BO29" i="1" s="1"/>
  <c r="C41" i="26"/>
  <c r="D42" i="26"/>
  <c r="C42" i="26" s="1"/>
  <c r="CQ49" i="1"/>
  <c r="CR49" i="1"/>
  <c r="BW49" i="1"/>
  <c r="BZ49" i="1"/>
  <c r="CA49" i="1"/>
  <c r="C43" i="24"/>
  <c r="D43" i="24" s="1"/>
  <c r="V43" i="24"/>
  <c r="P49" i="1"/>
  <c r="E36" i="1"/>
  <c r="F36" i="1" s="1"/>
  <c r="D50" i="1"/>
  <c r="AQ48" i="1"/>
  <c r="AN32" i="1"/>
  <c r="J49" i="1"/>
  <c r="X49" i="1"/>
  <c r="W50" i="1" s="1"/>
  <c r="V49" i="1"/>
  <c r="S43" i="1"/>
  <c r="B45" i="9"/>
  <c r="C45" i="9" s="1"/>
  <c r="D45" i="9" s="1"/>
  <c r="A77" i="28"/>
  <c r="Z76" i="28"/>
  <c r="AP48" i="1"/>
  <c r="Y33" i="1"/>
  <c r="Z33" i="1" s="1"/>
  <c r="BD33" i="1" s="1"/>
  <c r="BF33" i="1" s="1"/>
  <c r="R45" i="9"/>
  <c r="A46" i="9"/>
  <c r="B46" i="9" s="1"/>
  <c r="C46" i="9" s="1"/>
  <c r="D46" i="9" s="1"/>
  <c r="L45" i="9"/>
  <c r="C43" i="11"/>
  <c r="D43" i="11" s="1"/>
  <c r="AB43" i="11"/>
  <c r="W45" i="28"/>
  <c r="B45" i="28"/>
  <c r="G45" i="28" s="1"/>
  <c r="H49" i="1"/>
  <c r="C45" i="5"/>
  <c r="C50" i="1"/>
  <c r="K49" i="1"/>
  <c r="BJ49" i="1" s="1"/>
  <c r="AB44" i="28"/>
  <c r="C44" i="28"/>
  <c r="D44" i="28" s="1"/>
  <c r="A45" i="11"/>
  <c r="W44" i="11"/>
  <c r="B44" i="11"/>
  <c r="A49" i="1"/>
  <c r="V44" i="9"/>
  <c r="B44" i="24"/>
  <c r="R44" i="24"/>
  <c r="A45" i="24"/>
  <c r="AG30" i="1" l="1"/>
  <c r="N31" i="1"/>
  <c r="Q31" i="1" s="1"/>
  <c r="BC30" i="1"/>
  <c r="BK30" i="1" s="1"/>
  <c r="BO30" i="1" s="1"/>
  <c r="AI30" i="1"/>
  <c r="D26" i="5"/>
  <c r="L32" i="1"/>
  <c r="M32" i="1" s="1"/>
  <c r="AZ31" i="1"/>
  <c r="BB31" i="1" s="1"/>
  <c r="AG31" i="1"/>
  <c r="G25" i="5"/>
  <c r="F25" i="5"/>
  <c r="J25" i="5"/>
  <c r="AU29" i="1"/>
  <c r="AT29" i="1"/>
  <c r="AJ29" i="1"/>
  <c r="AR29" i="1" s="1"/>
  <c r="CQ50" i="1"/>
  <c r="CR50" i="1"/>
  <c r="BW50" i="1"/>
  <c r="CA50" i="1"/>
  <c r="L45" i="24"/>
  <c r="C44" i="24"/>
  <c r="V44" i="24"/>
  <c r="P50" i="1"/>
  <c r="E37" i="1"/>
  <c r="F37" i="1" s="1"/>
  <c r="G37" i="1" s="1"/>
  <c r="G36" i="1"/>
  <c r="D51" i="1"/>
  <c r="BG33" i="1"/>
  <c r="AQ49" i="1"/>
  <c r="J50" i="1"/>
  <c r="AM33" i="1"/>
  <c r="X50" i="1"/>
  <c r="W51" i="1" s="1"/>
  <c r="T43" i="1"/>
  <c r="S44" i="1" s="1"/>
  <c r="V50" i="1"/>
  <c r="A50" i="1"/>
  <c r="A78" i="28"/>
  <c r="Z77" i="28"/>
  <c r="AP49" i="1"/>
  <c r="AB44" i="11"/>
  <c r="C44" i="11"/>
  <c r="D44" i="11" s="1"/>
  <c r="H50" i="1"/>
  <c r="C46" i="5"/>
  <c r="C51" i="1"/>
  <c r="K50" i="1"/>
  <c r="BJ50" i="1" s="1"/>
  <c r="BZ50" i="1"/>
  <c r="W46" i="28"/>
  <c r="B46" i="28"/>
  <c r="G46" i="28" s="1"/>
  <c r="A47" i="9"/>
  <c r="R46" i="9"/>
  <c r="L46" i="9"/>
  <c r="E43" i="11"/>
  <c r="AE43" i="11"/>
  <c r="V45" i="9"/>
  <c r="B45" i="11"/>
  <c r="W45" i="11"/>
  <c r="A46" i="11"/>
  <c r="AB45" i="28"/>
  <c r="C45" i="28"/>
  <c r="D45" i="28" s="1"/>
  <c r="F43" i="24"/>
  <c r="X43" i="24"/>
  <c r="B45" i="24"/>
  <c r="R45" i="24"/>
  <c r="A46" i="24"/>
  <c r="L46" i="24" s="1"/>
  <c r="G26" i="5" l="1"/>
  <c r="J26" i="5"/>
  <c r="F26" i="5"/>
  <c r="AU30" i="1"/>
  <c r="AT30" i="1"/>
  <c r="AJ30" i="1"/>
  <c r="AR30" i="1" s="1"/>
  <c r="L33" i="1"/>
  <c r="M33" i="1" s="1"/>
  <c r="H25" i="5"/>
  <c r="AX29" i="1"/>
  <c r="T41" i="9" s="1"/>
  <c r="AI31" i="1"/>
  <c r="BC31" i="1"/>
  <c r="BK31" i="1" s="1"/>
  <c r="BO31" i="1" s="1"/>
  <c r="D27" i="5"/>
  <c r="N32" i="1"/>
  <c r="Q32" i="1" s="1"/>
  <c r="CQ51" i="1"/>
  <c r="CR51" i="1"/>
  <c r="BW51" i="1"/>
  <c r="CA51" i="1"/>
  <c r="C45" i="24"/>
  <c r="V45" i="24"/>
  <c r="P51" i="1"/>
  <c r="E38" i="1"/>
  <c r="F38" i="1" s="1"/>
  <c r="D52" i="1"/>
  <c r="AQ50" i="1"/>
  <c r="AN33" i="1"/>
  <c r="J51" i="1"/>
  <c r="X51" i="1"/>
  <c r="W52" i="1" s="1"/>
  <c r="T44" i="1"/>
  <c r="S45" i="1" s="1"/>
  <c r="V51" i="1"/>
  <c r="B47" i="9"/>
  <c r="C47" i="9" s="1"/>
  <c r="D47" i="9" s="1"/>
  <c r="A79" i="28"/>
  <c r="Z78" i="28"/>
  <c r="AP50" i="1"/>
  <c r="AB46" i="28"/>
  <c r="C46" i="28"/>
  <c r="D46" i="28" s="1"/>
  <c r="H51" i="1"/>
  <c r="C52" i="1"/>
  <c r="C47" i="5"/>
  <c r="K51" i="1"/>
  <c r="BJ51" i="1" s="1"/>
  <c r="BZ51" i="1"/>
  <c r="A51" i="1"/>
  <c r="V46" i="9"/>
  <c r="Y34" i="1"/>
  <c r="Z34" i="1" s="1"/>
  <c r="BD34" i="1" s="1"/>
  <c r="BF34" i="1" s="1"/>
  <c r="A48" i="9"/>
  <c r="L47" i="9"/>
  <c r="R47" i="9"/>
  <c r="AB45" i="11"/>
  <c r="C45" i="11"/>
  <c r="D45" i="11" s="1"/>
  <c r="W47" i="28"/>
  <c r="B47" i="28"/>
  <c r="G47" i="28" s="1"/>
  <c r="A47" i="11"/>
  <c r="B46" i="11"/>
  <c r="W46" i="11"/>
  <c r="B46" i="24"/>
  <c r="R46" i="24"/>
  <c r="A47" i="24"/>
  <c r="H26" i="5" l="1"/>
  <c r="AX30" i="1"/>
  <c r="T43" i="9" s="1"/>
  <c r="L34" i="1"/>
  <c r="M34" i="1" s="1"/>
  <c r="N33" i="1"/>
  <c r="Q33" i="1" s="1"/>
  <c r="AZ33" i="1" s="1"/>
  <c r="BB33" i="1" s="1"/>
  <c r="AG32" i="1"/>
  <c r="AZ32" i="1"/>
  <c r="BB32" i="1" s="1"/>
  <c r="J27" i="5"/>
  <c r="G27" i="5"/>
  <c r="F27" i="5"/>
  <c r="AU31" i="1"/>
  <c r="AJ31" i="1"/>
  <c r="AR31" i="1" s="1"/>
  <c r="AT31" i="1"/>
  <c r="CQ52" i="1"/>
  <c r="CR52" i="1"/>
  <c r="B48" i="9"/>
  <c r="C48" i="9" s="1"/>
  <c r="D48" i="9" s="1"/>
  <c r="BW52" i="1"/>
  <c r="CA52" i="1"/>
  <c r="L47" i="24"/>
  <c r="C46" i="24"/>
  <c r="V46" i="24"/>
  <c r="P52" i="1"/>
  <c r="E39" i="1"/>
  <c r="F39" i="1" s="1"/>
  <c r="G39" i="1" s="1"/>
  <c r="G38" i="1"/>
  <c r="D53" i="1"/>
  <c r="BG34" i="1"/>
  <c r="AQ51" i="1"/>
  <c r="J52" i="1"/>
  <c r="AM34" i="1"/>
  <c r="X52" i="1"/>
  <c r="W53" i="1" s="1"/>
  <c r="T45" i="1"/>
  <c r="S46" i="1" s="1"/>
  <c r="V52" i="1"/>
  <c r="A52" i="1"/>
  <c r="A80" i="28"/>
  <c r="Z79" i="28"/>
  <c r="AP51" i="1"/>
  <c r="W47" i="11"/>
  <c r="B47" i="11"/>
  <c r="A48" i="11"/>
  <c r="C46" i="11"/>
  <c r="D46" i="11" s="1"/>
  <c r="AB46" i="11"/>
  <c r="AB47" i="28"/>
  <c r="C47" i="28"/>
  <c r="D47" i="28" s="1"/>
  <c r="A49" i="9"/>
  <c r="R48" i="9"/>
  <c r="L48" i="9"/>
  <c r="W48" i="28"/>
  <c r="B48" i="28"/>
  <c r="G48" i="28" s="1"/>
  <c r="E45" i="11"/>
  <c r="AE45" i="11"/>
  <c r="H52" i="1"/>
  <c r="C53" i="1"/>
  <c r="C48" i="5"/>
  <c r="K52" i="1"/>
  <c r="BJ52" i="1" s="1"/>
  <c r="BZ52" i="1"/>
  <c r="V47" i="9"/>
  <c r="B47" i="24"/>
  <c r="R47" i="24"/>
  <c r="A48" i="24"/>
  <c r="L48" i="24" s="1"/>
  <c r="D46" i="24"/>
  <c r="AG33" i="1" l="1"/>
  <c r="D29" i="5" s="1"/>
  <c r="H27" i="5"/>
  <c r="AX31" i="1"/>
  <c r="T45" i="9" s="1"/>
  <c r="BC32" i="1"/>
  <c r="BK32" i="1" s="1"/>
  <c r="BO32" i="1" s="1"/>
  <c r="AI32" i="1"/>
  <c r="D28" i="5"/>
  <c r="CQ53" i="1"/>
  <c r="CR53" i="1"/>
  <c r="L35" i="1"/>
  <c r="M35" i="1" s="1"/>
  <c r="BW53" i="1"/>
  <c r="CA53" i="1"/>
  <c r="C47" i="24"/>
  <c r="V47" i="24"/>
  <c r="P53" i="1"/>
  <c r="E40" i="1"/>
  <c r="F40" i="1" s="1"/>
  <c r="G40" i="1" s="1"/>
  <c r="D54" i="1"/>
  <c r="AQ52" i="1"/>
  <c r="AN34" i="1"/>
  <c r="J53" i="1"/>
  <c r="X53" i="1"/>
  <c r="W54" i="1" s="1"/>
  <c r="V53" i="1"/>
  <c r="T46" i="1"/>
  <c r="A53" i="1"/>
  <c r="B49" i="9"/>
  <c r="C49" i="9" s="1"/>
  <c r="D49" i="9" s="1"/>
  <c r="A81" i="28"/>
  <c r="Z80" i="28"/>
  <c r="AP52" i="1"/>
  <c r="B48" i="11"/>
  <c r="W48" i="11"/>
  <c r="A49" i="11"/>
  <c r="H53" i="1"/>
  <c r="C54" i="1"/>
  <c r="C49" i="5"/>
  <c r="K53" i="1"/>
  <c r="BJ53" i="1" s="1"/>
  <c r="BJ59" i="1" s="1"/>
  <c r="BZ53" i="1"/>
  <c r="L49" i="9"/>
  <c r="R49" i="9"/>
  <c r="A50" i="9"/>
  <c r="AB47" i="11"/>
  <c r="C47" i="11"/>
  <c r="D47" i="11" s="1"/>
  <c r="W49" i="28"/>
  <c r="B49" i="28"/>
  <c r="G49" i="28" s="1"/>
  <c r="Y35" i="1"/>
  <c r="Z35" i="1" s="1"/>
  <c r="BD35" i="1" s="1"/>
  <c r="BF35" i="1" s="1"/>
  <c r="V48" i="9"/>
  <c r="AB48" i="28"/>
  <c r="C48" i="28"/>
  <c r="D48" i="28" s="1"/>
  <c r="D44" i="24"/>
  <c r="B48" i="24"/>
  <c r="R48" i="24"/>
  <c r="A49" i="24"/>
  <c r="BC33" i="1" l="1"/>
  <c r="BK33" i="1" s="1"/>
  <c r="BO33" i="1" s="1"/>
  <c r="AI33" i="1"/>
  <c r="AU33" i="1" s="1"/>
  <c r="N34" i="1"/>
  <c r="Q34" i="1" s="1"/>
  <c r="F28" i="5"/>
  <c r="J28" i="5"/>
  <c r="G28" i="5"/>
  <c r="AU32" i="1"/>
  <c r="AT32" i="1"/>
  <c r="AJ32" i="1"/>
  <c r="AR32" i="1" s="1"/>
  <c r="CQ54" i="1"/>
  <c r="CR54" i="1"/>
  <c r="B50" i="9"/>
  <c r="C50" i="9" s="1"/>
  <c r="D50" i="9" s="1"/>
  <c r="G29" i="5"/>
  <c r="F29" i="5"/>
  <c r="J29" i="5"/>
  <c r="AJ33" i="1"/>
  <c r="AR33" i="1" s="1"/>
  <c r="AT33" i="1"/>
  <c r="L36" i="1"/>
  <c r="M36" i="1" s="1"/>
  <c r="BW54" i="1"/>
  <c r="CA54" i="1"/>
  <c r="L49" i="24"/>
  <c r="C48" i="24"/>
  <c r="D48" i="24" s="1"/>
  <c r="V48" i="24"/>
  <c r="P54" i="1"/>
  <c r="E41" i="1"/>
  <c r="F41" i="1" s="1"/>
  <c r="D55" i="1"/>
  <c r="BG35" i="1"/>
  <c r="AQ53" i="1"/>
  <c r="AQ59" i="1" s="1"/>
  <c r="J54" i="1"/>
  <c r="AM35" i="1"/>
  <c r="X54" i="1"/>
  <c r="W55" i="1" s="1"/>
  <c r="S47" i="1"/>
  <c r="V54" i="1"/>
  <c r="A82" i="28"/>
  <c r="Z81" i="28"/>
  <c r="AP53" i="1"/>
  <c r="W50" i="28"/>
  <c r="B50" i="28"/>
  <c r="G50" i="28" s="1"/>
  <c r="H54" i="1"/>
  <c r="C50" i="5"/>
  <c r="C55" i="1"/>
  <c r="K54" i="1"/>
  <c r="BZ54" i="1"/>
  <c r="A54" i="1"/>
  <c r="L50" i="9"/>
  <c r="R50" i="9"/>
  <c r="A51" i="9"/>
  <c r="AB49" i="28"/>
  <c r="C49" i="28"/>
  <c r="D49" i="28" s="1"/>
  <c r="W49" i="11"/>
  <c r="A50" i="11"/>
  <c r="B49" i="11"/>
  <c r="V49" i="9"/>
  <c r="AB48" i="11"/>
  <c r="C48" i="11"/>
  <c r="D48" i="11" s="1"/>
  <c r="E47" i="11"/>
  <c r="AE47" i="11"/>
  <c r="R49" i="24"/>
  <c r="B49" i="24"/>
  <c r="A50" i="24"/>
  <c r="L50" i="24" s="1"/>
  <c r="D42" i="24"/>
  <c r="AX32" i="1" l="1"/>
  <c r="T47" i="9" s="1"/>
  <c r="N35" i="1"/>
  <c r="Q35" i="1" s="1"/>
  <c r="H28" i="5"/>
  <c r="AG34" i="1"/>
  <c r="AZ34" i="1"/>
  <c r="BB34" i="1" s="1"/>
  <c r="CQ55" i="1"/>
  <c r="CR55" i="1"/>
  <c r="H29" i="5"/>
  <c r="AX33" i="1"/>
  <c r="T49" i="9" s="1"/>
  <c r="BW55" i="1"/>
  <c r="CA55" i="1"/>
  <c r="C49" i="24"/>
  <c r="V49" i="24"/>
  <c r="P55" i="1"/>
  <c r="E42" i="1"/>
  <c r="F42" i="1" s="1"/>
  <c r="G42" i="1" s="1"/>
  <c r="G41" i="1"/>
  <c r="D56" i="1"/>
  <c r="AN35" i="1"/>
  <c r="J55" i="1"/>
  <c r="X55" i="1"/>
  <c r="W56" i="1" s="1"/>
  <c r="V55" i="1"/>
  <c r="T47" i="1"/>
  <c r="S48" i="1" s="1"/>
  <c r="B51" i="9"/>
  <c r="C51" i="9" s="1"/>
  <c r="D51" i="9" s="1"/>
  <c r="A83" i="28"/>
  <c r="Z82" i="28"/>
  <c r="A55" i="1"/>
  <c r="AP54" i="1"/>
  <c r="C49" i="11"/>
  <c r="D49" i="11" s="1"/>
  <c r="AB49" i="11"/>
  <c r="AB50" i="28"/>
  <c r="C50" i="28"/>
  <c r="D50" i="28" s="1"/>
  <c r="H55" i="1"/>
  <c r="C56" i="1"/>
  <c r="C51" i="5"/>
  <c r="K55" i="1"/>
  <c r="BZ55" i="1"/>
  <c r="Y36" i="1"/>
  <c r="Z36" i="1" s="1"/>
  <c r="BD36" i="1" s="1"/>
  <c r="BF36" i="1" s="1"/>
  <c r="A52" i="9"/>
  <c r="B52" i="9" s="1"/>
  <c r="C52" i="9" s="1"/>
  <c r="D52" i="9" s="1"/>
  <c r="L51" i="9"/>
  <c r="R51" i="9"/>
  <c r="V50" i="9"/>
  <c r="A51" i="11"/>
  <c r="B50" i="11"/>
  <c r="W50" i="11"/>
  <c r="W51" i="28"/>
  <c r="B51" i="28"/>
  <c r="G51" i="28" s="1"/>
  <c r="D40" i="24"/>
  <c r="B50" i="24"/>
  <c r="R50" i="24"/>
  <c r="A51" i="24"/>
  <c r="AI34" i="1" l="1"/>
  <c r="D30" i="5"/>
  <c r="BC34" i="1"/>
  <c r="BK34" i="1" s="1"/>
  <c r="BO34" i="1" s="1"/>
  <c r="AZ35" i="1"/>
  <c r="BB35" i="1" s="1"/>
  <c r="AG35" i="1"/>
  <c r="CQ56" i="1"/>
  <c r="CR56" i="1"/>
  <c r="L37" i="1"/>
  <c r="M37" i="1" s="1"/>
  <c r="BW56" i="1"/>
  <c r="CA56" i="1"/>
  <c r="L51" i="24"/>
  <c r="C50" i="24"/>
  <c r="D50" i="24" s="1"/>
  <c r="V50" i="24"/>
  <c r="P56" i="1"/>
  <c r="BG36" i="1"/>
  <c r="E43" i="1"/>
  <c r="AM36" i="1"/>
  <c r="V56" i="1"/>
  <c r="J56" i="1"/>
  <c r="X56" i="1"/>
  <c r="T48" i="1"/>
  <c r="A56" i="1"/>
  <c r="A84" i="28"/>
  <c r="Z83" i="28"/>
  <c r="AP55" i="1"/>
  <c r="A53" i="9"/>
  <c r="R52" i="9"/>
  <c r="L52" i="9"/>
  <c r="B51" i="11"/>
  <c r="W51" i="11"/>
  <c r="A52" i="11"/>
  <c r="W52" i="28"/>
  <c r="B52" i="28"/>
  <c r="G52" i="28" s="1"/>
  <c r="H56" i="1"/>
  <c r="C52" i="5"/>
  <c r="CM56" i="1"/>
  <c r="CN56" i="1"/>
  <c r="K56" i="1"/>
  <c r="BZ56" i="1"/>
  <c r="AB51" i="28"/>
  <c r="C51" i="28"/>
  <c r="D51" i="28" s="1"/>
  <c r="AB50" i="11"/>
  <c r="C50" i="11"/>
  <c r="D50" i="11" s="1"/>
  <c r="V51" i="9"/>
  <c r="AE49" i="11"/>
  <c r="E49" i="11"/>
  <c r="R51" i="24"/>
  <c r="B51" i="24"/>
  <c r="A52" i="24"/>
  <c r="L52" i="24" s="1"/>
  <c r="D38" i="24"/>
  <c r="D31" i="5" l="1"/>
  <c r="AI35" i="1"/>
  <c r="BC35" i="1"/>
  <c r="BK35" i="1" s="1"/>
  <c r="BO35" i="1" s="1"/>
  <c r="N36" i="1"/>
  <c r="Q36" i="1" s="1"/>
  <c r="F30" i="5"/>
  <c r="J30" i="5"/>
  <c r="G30" i="5"/>
  <c r="AT34" i="1"/>
  <c r="AJ34" i="1"/>
  <c r="AR34" i="1" s="1"/>
  <c r="AU34" i="1"/>
  <c r="L38" i="1"/>
  <c r="M38" i="1" s="1"/>
  <c r="C51" i="24"/>
  <c r="V51" i="24"/>
  <c r="F43" i="1"/>
  <c r="AN36" i="1"/>
  <c r="S49" i="1"/>
  <c r="A85" i="28"/>
  <c r="Z84" i="28"/>
  <c r="B53" i="9"/>
  <c r="C53" i="9" s="1"/>
  <c r="D53" i="9" s="1"/>
  <c r="W53" i="28"/>
  <c r="B53" i="28"/>
  <c r="G53" i="28" s="1"/>
  <c r="W52" i="11"/>
  <c r="B52" i="11"/>
  <c r="A53" i="11"/>
  <c r="Y37" i="1"/>
  <c r="Z37" i="1" s="1"/>
  <c r="BD37" i="1" s="1"/>
  <c r="BF37" i="1" s="1"/>
  <c r="AP56" i="1"/>
  <c r="AP59" i="1" s="1"/>
  <c r="AB51" i="11"/>
  <c r="C51" i="11"/>
  <c r="D51" i="11" s="1"/>
  <c r="AB52" i="28"/>
  <c r="C52" i="28"/>
  <c r="D52" i="28" s="1"/>
  <c r="AE52" i="28" s="1"/>
  <c r="R53" i="9"/>
  <c r="A54" i="9"/>
  <c r="B54" i="9" s="1"/>
  <c r="C54" i="9" s="1"/>
  <c r="D54" i="9" s="1"/>
  <c r="L53" i="9"/>
  <c r="V52" i="9"/>
  <c r="B52" i="24"/>
  <c r="R52" i="24"/>
  <c r="A53" i="24"/>
  <c r="D36" i="24"/>
  <c r="AX34" i="1" l="1"/>
  <c r="T51" i="9" s="1"/>
  <c r="H30" i="5"/>
  <c r="AZ36" i="1"/>
  <c r="BB36" i="1" s="1"/>
  <c r="AG36" i="1"/>
  <c r="AJ35" i="1"/>
  <c r="AR35" i="1" s="1"/>
  <c r="AU35" i="1"/>
  <c r="AT35" i="1"/>
  <c r="N37" i="1"/>
  <c r="Q37" i="1" s="1"/>
  <c r="G31" i="5"/>
  <c r="J31" i="5"/>
  <c r="F31" i="5"/>
  <c r="L53" i="24"/>
  <c r="C52" i="24"/>
  <c r="D52" i="24" s="1"/>
  <c r="V52" i="24"/>
  <c r="E44" i="1"/>
  <c r="F44" i="1" s="1"/>
  <c r="G44" i="1" s="1"/>
  <c r="G43" i="1"/>
  <c r="BG37" i="1"/>
  <c r="AM37" i="1"/>
  <c r="T49" i="1"/>
  <c r="S50" i="1" s="1"/>
  <c r="A86" i="28"/>
  <c r="Z85" i="28"/>
  <c r="C52" i="11"/>
  <c r="D52" i="11" s="1"/>
  <c r="AB52" i="11"/>
  <c r="W54" i="28"/>
  <c r="B54" i="28"/>
  <c r="G54" i="28" s="1"/>
  <c r="R54" i="9"/>
  <c r="A55" i="9"/>
  <c r="L54" i="9"/>
  <c r="AB53" i="28"/>
  <c r="C53" i="28"/>
  <c r="D53" i="28" s="1"/>
  <c r="E53" i="28" s="1"/>
  <c r="AE51" i="11"/>
  <c r="E51" i="11"/>
  <c r="V53" i="9"/>
  <c r="W53" i="11"/>
  <c r="B53" i="11"/>
  <c r="A54" i="11"/>
  <c r="D34" i="24"/>
  <c r="B53" i="24"/>
  <c r="R53" i="24"/>
  <c r="A54" i="24"/>
  <c r="L54" i="24" s="1"/>
  <c r="H31" i="5" l="1"/>
  <c r="AX35" i="1"/>
  <c r="T53" i="9" s="1"/>
  <c r="AI36" i="1"/>
  <c r="D32" i="5"/>
  <c r="BC36" i="1"/>
  <c r="BK36" i="1" s="1"/>
  <c r="BO36" i="1" s="1"/>
  <c r="AZ37" i="1"/>
  <c r="BB37" i="1" s="1"/>
  <c r="AG37" i="1"/>
  <c r="C53" i="24"/>
  <c r="V53" i="24"/>
  <c r="E45" i="1"/>
  <c r="AN37" i="1"/>
  <c r="T50" i="1"/>
  <c r="A87" i="28"/>
  <c r="Z86" i="28"/>
  <c r="B55" i="9"/>
  <c r="C55" i="9" s="1"/>
  <c r="D55" i="9" s="1"/>
  <c r="AE53" i="28"/>
  <c r="AB54" i="28"/>
  <c r="C54" i="28"/>
  <c r="D54" i="28" s="1"/>
  <c r="E54" i="28" s="1"/>
  <c r="V54" i="9"/>
  <c r="Y38" i="1"/>
  <c r="Z38" i="1" s="1"/>
  <c r="BD38" i="1" s="1"/>
  <c r="BF38" i="1" s="1"/>
  <c r="A56" i="9"/>
  <c r="B56" i="9" s="1"/>
  <c r="C56" i="9" s="1"/>
  <c r="D56" i="9" s="1"/>
  <c r="R55" i="9"/>
  <c r="L55" i="9"/>
  <c r="W55" i="28"/>
  <c r="B55" i="28"/>
  <c r="G55" i="28" s="1"/>
  <c r="B54" i="11"/>
  <c r="W54" i="11"/>
  <c r="A55" i="11"/>
  <c r="AB53" i="11"/>
  <c r="C53" i="11"/>
  <c r="D53" i="11" s="1"/>
  <c r="B54" i="24"/>
  <c r="R54" i="24"/>
  <c r="A55" i="24"/>
  <c r="N38" i="1" l="1"/>
  <c r="Q38" i="1" s="1"/>
  <c r="AZ38" i="1" s="1"/>
  <c r="BB38" i="1" s="1"/>
  <c r="L39" i="1"/>
  <c r="AI37" i="1"/>
  <c r="BC37" i="1"/>
  <c r="BK37" i="1" s="1"/>
  <c r="BO37" i="1" s="1"/>
  <c r="D33" i="5"/>
  <c r="F32" i="5"/>
  <c r="G32" i="5"/>
  <c r="J32" i="5"/>
  <c r="AU36" i="1"/>
  <c r="AJ36" i="1"/>
  <c r="AR36" i="1" s="1"/>
  <c r="AT36" i="1"/>
  <c r="L55" i="24"/>
  <c r="C54" i="24"/>
  <c r="D54" i="24" s="1"/>
  <c r="V54" i="24"/>
  <c r="BG38" i="1"/>
  <c r="F45" i="1"/>
  <c r="AM38" i="1"/>
  <c r="S51" i="1"/>
  <c r="A88" i="28"/>
  <c r="Z87" i="28"/>
  <c r="AE54" i="28"/>
  <c r="C54" i="11"/>
  <c r="D54" i="11" s="1"/>
  <c r="AB54" i="11"/>
  <c r="V55" i="9"/>
  <c r="W56" i="28"/>
  <c r="B56" i="28"/>
  <c r="G56" i="28" s="1"/>
  <c r="L56" i="9"/>
  <c r="A57" i="9"/>
  <c r="R56" i="9"/>
  <c r="AB55" i="28"/>
  <c r="C55" i="28"/>
  <c r="D55" i="28" s="1"/>
  <c r="E55" i="28" s="1"/>
  <c r="B55" i="11"/>
  <c r="W55" i="11"/>
  <c r="A56" i="11"/>
  <c r="E53" i="11"/>
  <c r="AE53" i="11"/>
  <c r="R55" i="24"/>
  <c r="B55" i="24"/>
  <c r="A56" i="24"/>
  <c r="L56" i="24" s="1"/>
  <c r="M39" i="1" l="1"/>
  <c r="N39" i="1" s="1"/>
  <c r="Q39" i="1" s="1"/>
  <c r="AG38" i="1"/>
  <c r="AI38" i="1" s="1"/>
  <c r="AT38" i="1" s="1"/>
  <c r="AX36" i="1"/>
  <c r="T55" i="9" s="1"/>
  <c r="H32" i="5"/>
  <c r="J33" i="5"/>
  <c r="G33" i="5"/>
  <c r="F33" i="5"/>
  <c r="AT37" i="1"/>
  <c r="AU37" i="1"/>
  <c r="AJ37" i="1"/>
  <c r="AR37" i="1" s="1"/>
  <c r="C55" i="24"/>
  <c r="V55" i="24"/>
  <c r="E46" i="1"/>
  <c r="F46" i="1" s="1"/>
  <c r="G46" i="1" s="1"/>
  <c r="G45" i="1"/>
  <c r="AN38" i="1"/>
  <c r="T51" i="1"/>
  <c r="S52" i="1" s="1"/>
  <c r="B57" i="9"/>
  <c r="C57" i="9" s="1"/>
  <c r="D57" i="9" s="1"/>
  <c r="A89" i="28"/>
  <c r="Z88" i="28"/>
  <c r="AE55" i="28"/>
  <c r="V56" i="9"/>
  <c r="C55" i="11"/>
  <c r="D55" i="11" s="1"/>
  <c r="AB55" i="11"/>
  <c r="Y39" i="1"/>
  <c r="Z39" i="1" s="1"/>
  <c r="BD39" i="1" s="1"/>
  <c r="BF39" i="1" s="1"/>
  <c r="W57" i="28"/>
  <c r="B57" i="28"/>
  <c r="G57" i="28" s="1"/>
  <c r="A58" i="9"/>
  <c r="B58" i="9" s="1"/>
  <c r="C58" i="9" s="1"/>
  <c r="D58" i="9" s="1"/>
  <c r="R57" i="9"/>
  <c r="L57" i="9"/>
  <c r="B56" i="11"/>
  <c r="A57" i="11"/>
  <c r="W56" i="11"/>
  <c r="AB56" i="28"/>
  <c r="C56" i="28"/>
  <c r="D56" i="28" s="1"/>
  <c r="E56" i="28" s="1"/>
  <c r="B56" i="24"/>
  <c r="R56" i="24"/>
  <c r="A57" i="24"/>
  <c r="L40" i="1" l="1"/>
  <c r="M40" i="1" s="1"/>
  <c r="D34" i="5"/>
  <c r="F34" i="5" s="1"/>
  <c r="BC38" i="1"/>
  <c r="BK38" i="1" s="1"/>
  <c r="BO38" i="1" s="1"/>
  <c r="AX37" i="1"/>
  <c r="T57" i="9" s="1"/>
  <c r="H33" i="5"/>
  <c r="AJ38" i="1"/>
  <c r="AR38" i="1" s="1"/>
  <c r="AU38" i="1"/>
  <c r="AZ39" i="1"/>
  <c r="BB39" i="1" s="1"/>
  <c r="AG39" i="1"/>
  <c r="G34" i="5"/>
  <c r="L57" i="24"/>
  <c r="C56" i="24"/>
  <c r="V56" i="24"/>
  <c r="BG39" i="1"/>
  <c r="E47" i="1"/>
  <c r="AM39" i="1"/>
  <c r="T52" i="1"/>
  <c r="A90" i="28"/>
  <c r="Z89" i="28"/>
  <c r="AE56" i="28"/>
  <c r="V57" i="9"/>
  <c r="W58" i="28"/>
  <c r="B58" i="28"/>
  <c r="G58" i="28" s="1"/>
  <c r="E55" i="11"/>
  <c r="AE55" i="11"/>
  <c r="A58" i="11"/>
  <c r="B57" i="11"/>
  <c r="W57" i="11"/>
  <c r="AB57" i="28"/>
  <c r="C57" i="28"/>
  <c r="D57" i="28" s="1"/>
  <c r="E57" i="28" s="1"/>
  <c r="C56" i="11"/>
  <c r="D56" i="11" s="1"/>
  <c r="AB56" i="11"/>
  <c r="A59" i="9"/>
  <c r="R58" i="9"/>
  <c r="L58" i="9"/>
  <c r="R57" i="24"/>
  <c r="B57" i="24"/>
  <c r="A58" i="24"/>
  <c r="L58" i="24" s="1"/>
  <c r="J34" i="5" l="1"/>
  <c r="L41" i="1"/>
  <c r="M41" i="1" s="1"/>
  <c r="H34" i="5"/>
  <c r="AX38" i="1"/>
  <c r="T59" i="9" s="1"/>
  <c r="AI39" i="1"/>
  <c r="AU39" i="1" s="1"/>
  <c r="D35" i="5"/>
  <c r="BC39" i="1"/>
  <c r="BK39" i="1" s="1"/>
  <c r="BO39" i="1" s="1"/>
  <c r="N40" i="1"/>
  <c r="Q40" i="1" s="1"/>
  <c r="C57" i="24"/>
  <c r="V57" i="24"/>
  <c r="F47" i="1"/>
  <c r="AN39" i="1"/>
  <c r="S53" i="1"/>
  <c r="B59" i="9"/>
  <c r="C59" i="9" s="1"/>
  <c r="D59" i="9" s="1"/>
  <c r="A91" i="28"/>
  <c r="Z90" i="28"/>
  <c r="AE57" i="28"/>
  <c r="L59" i="9"/>
  <c r="R59" i="9"/>
  <c r="A60" i="9"/>
  <c r="B60" i="9" s="1"/>
  <c r="C60" i="9" s="1"/>
  <c r="D60" i="9" s="1"/>
  <c r="AB58" i="28"/>
  <c r="C58" i="28"/>
  <c r="D58" i="28" s="1"/>
  <c r="E58" i="28" s="1"/>
  <c r="AB57" i="11"/>
  <c r="C57" i="11"/>
  <c r="D57" i="11" s="1"/>
  <c r="W59" i="28"/>
  <c r="B59" i="28"/>
  <c r="G59" i="28" s="1"/>
  <c r="W58" i="11"/>
  <c r="A59" i="11"/>
  <c r="B58" i="11"/>
  <c r="Y40" i="1"/>
  <c r="Z40" i="1" s="1"/>
  <c r="BD40" i="1" s="1"/>
  <c r="BF40" i="1" s="1"/>
  <c r="V58" i="9"/>
  <c r="D57" i="24"/>
  <c r="B58" i="24"/>
  <c r="R58" i="24"/>
  <c r="A59" i="24"/>
  <c r="L42" i="1" l="1"/>
  <c r="M42" i="1" s="1"/>
  <c r="AT39" i="1"/>
  <c r="AJ39" i="1"/>
  <c r="AR39" i="1" s="1"/>
  <c r="N41" i="1"/>
  <c r="Q41" i="1" s="1"/>
  <c r="G35" i="5"/>
  <c r="F35" i="5"/>
  <c r="J35" i="5"/>
  <c r="AG40" i="1"/>
  <c r="AZ40" i="1"/>
  <c r="BB40" i="1" s="1"/>
  <c r="L59" i="24"/>
  <c r="C58" i="24"/>
  <c r="V58" i="24"/>
  <c r="E48" i="1"/>
  <c r="F48" i="1" s="1"/>
  <c r="G48" i="1" s="1"/>
  <c r="G47" i="1"/>
  <c r="BG40" i="1"/>
  <c r="AM40" i="1"/>
  <c r="T53" i="1"/>
  <c r="S54" i="1" s="1"/>
  <c r="A92" i="28"/>
  <c r="Z91" i="28"/>
  <c r="AE58" i="28"/>
  <c r="C59" i="28"/>
  <c r="D59" i="28" s="1"/>
  <c r="E59" i="28" s="1"/>
  <c r="AB59" i="28"/>
  <c r="W60" i="28"/>
  <c r="B60" i="28"/>
  <c r="G60" i="28" s="1"/>
  <c r="R60" i="9"/>
  <c r="A61" i="9"/>
  <c r="L60" i="9"/>
  <c r="E57" i="11"/>
  <c r="AE57" i="11"/>
  <c r="V59" i="9"/>
  <c r="C58" i="11"/>
  <c r="D58" i="11" s="1"/>
  <c r="AB58" i="11"/>
  <c r="B59" i="11"/>
  <c r="A60" i="11"/>
  <c r="W59" i="11"/>
  <c r="D55" i="24"/>
  <c r="X57" i="24"/>
  <c r="F57" i="24"/>
  <c r="R59" i="24"/>
  <c r="B59" i="24"/>
  <c r="A60" i="24"/>
  <c r="L60" i="24" s="1"/>
  <c r="AX39" i="1" l="1"/>
  <c r="T61" i="9" s="1"/>
  <c r="H35" i="5"/>
  <c r="AG41" i="1"/>
  <c r="AZ41" i="1"/>
  <c r="BB41" i="1" s="1"/>
  <c r="AI40" i="1"/>
  <c r="D36" i="5"/>
  <c r="BC40" i="1"/>
  <c r="BK40" i="1" s="1"/>
  <c r="BO40" i="1" s="1"/>
  <c r="L59" i="1"/>
  <c r="L43" i="1"/>
  <c r="M43" i="1" s="1"/>
  <c r="C59" i="24"/>
  <c r="D59" i="24" s="1"/>
  <c r="V59" i="24"/>
  <c r="E49" i="1"/>
  <c r="AN40" i="1"/>
  <c r="T54" i="1"/>
  <c r="B61" i="9"/>
  <c r="C61" i="9" s="1"/>
  <c r="D61" i="9" s="1"/>
  <c r="A93" i="28"/>
  <c r="Z92" i="28"/>
  <c r="AE59" i="28"/>
  <c r="V60" i="9"/>
  <c r="C60" i="28"/>
  <c r="D60" i="28" s="1"/>
  <c r="E60" i="28" s="1"/>
  <c r="AB60" i="28"/>
  <c r="Y41" i="1"/>
  <c r="Z41" i="1" s="1"/>
  <c r="BD41" i="1" s="1"/>
  <c r="BF41" i="1" s="1"/>
  <c r="W61" i="28"/>
  <c r="B61" i="28"/>
  <c r="G61" i="28" s="1"/>
  <c r="AB59" i="11"/>
  <c r="C59" i="11"/>
  <c r="D59" i="11" s="1"/>
  <c r="L61" i="9"/>
  <c r="A62" i="9"/>
  <c r="B62" i="9" s="1"/>
  <c r="C62" i="9" s="1"/>
  <c r="D62" i="9" s="1"/>
  <c r="R61" i="9"/>
  <c r="A61" i="11"/>
  <c r="W60" i="11"/>
  <c r="B60" i="11"/>
  <c r="B60" i="24"/>
  <c r="R60" i="24"/>
  <c r="A61" i="24"/>
  <c r="D53" i="24"/>
  <c r="F55" i="24"/>
  <c r="X55" i="24"/>
  <c r="N42" i="1" l="1"/>
  <c r="Q42" i="1" s="1"/>
  <c r="F36" i="5"/>
  <c r="G36" i="5"/>
  <c r="J36" i="5"/>
  <c r="AU40" i="1"/>
  <c r="AJ40" i="1"/>
  <c r="AR40" i="1" s="1"/>
  <c r="BC41" i="1"/>
  <c r="D37" i="5"/>
  <c r="AI41" i="1"/>
  <c r="AT40" i="1"/>
  <c r="L44" i="1"/>
  <c r="M44" i="1" s="1"/>
  <c r="L61" i="24"/>
  <c r="C60" i="24"/>
  <c r="V60" i="24"/>
  <c r="BG41" i="1"/>
  <c r="F49" i="1"/>
  <c r="AM41" i="1"/>
  <c r="S55" i="1"/>
  <c r="A94" i="28"/>
  <c r="A95" i="28" s="1"/>
  <c r="Z93" i="28"/>
  <c r="AE60" i="28"/>
  <c r="W61" i="11"/>
  <c r="B61" i="11"/>
  <c r="A62" i="11"/>
  <c r="C61" i="28"/>
  <c r="D61" i="28" s="1"/>
  <c r="E61" i="28" s="1"/>
  <c r="AB61" i="28"/>
  <c r="AB60" i="11"/>
  <c r="C60" i="11"/>
  <c r="D60" i="11" s="1"/>
  <c r="E59" i="11"/>
  <c r="AE59" i="11"/>
  <c r="W62" i="28"/>
  <c r="B62" i="28"/>
  <c r="G62" i="28" s="1"/>
  <c r="V61" i="9"/>
  <c r="A63" i="9"/>
  <c r="L62" i="9"/>
  <c r="R62" i="9"/>
  <c r="D51" i="24"/>
  <c r="F53" i="24"/>
  <c r="X53" i="24"/>
  <c r="F59" i="24"/>
  <c r="X59" i="24"/>
  <c r="R61" i="24"/>
  <c r="B61" i="24"/>
  <c r="A62" i="24"/>
  <c r="L62" i="24" s="1"/>
  <c r="AX40" i="1" l="1"/>
  <c r="T63" i="9" s="1"/>
  <c r="BK41" i="1"/>
  <c r="AZ42" i="1"/>
  <c r="BB42" i="1" s="1"/>
  <c r="AG42" i="1"/>
  <c r="AU41" i="1"/>
  <c r="AJ41" i="1"/>
  <c r="G37" i="5"/>
  <c r="J37" i="5"/>
  <c r="F37" i="5"/>
  <c r="AT41" i="1"/>
  <c r="H36" i="5"/>
  <c r="N43" i="1"/>
  <c r="Q43" i="1" s="1"/>
  <c r="AG43" i="1" s="1"/>
  <c r="CK55" i="1"/>
  <c r="CK49" i="1"/>
  <c r="CK51" i="1"/>
  <c r="CK56" i="1"/>
  <c r="CK47" i="1"/>
  <c r="CK50" i="1"/>
  <c r="CK54" i="1"/>
  <c r="CK53" i="1"/>
  <c r="CK45" i="1"/>
  <c r="CK48" i="1"/>
  <c r="CK44" i="1"/>
  <c r="CK52" i="1"/>
  <c r="CK46" i="1"/>
  <c r="C61" i="24"/>
  <c r="D61" i="24" s="1"/>
  <c r="V61" i="24"/>
  <c r="E50" i="1"/>
  <c r="F50" i="1" s="1"/>
  <c r="G50" i="1" s="1"/>
  <c r="G49" i="1"/>
  <c r="BO41" i="1"/>
  <c r="AN41" i="1"/>
  <c r="T55" i="1"/>
  <c r="B63" i="9"/>
  <c r="C63" i="9" s="1"/>
  <c r="D63" i="9" s="1"/>
  <c r="AE61" i="28"/>
  <c r="Y42" i="1"/>
  <c r="Z42" i="1" s="1"/>
  <c r="BD42" i="1" s="1"/>
  <c r="BF42" i="1" s="1"/>
  <c r="A63" i="11"/>
  <c r="B62" i="11"/>
  <c r="W62" i="11"/>
  <c r="C62" i="28"/>
  <c r="D62" i="28" s="1"/>
  <c r="E62" i="28" s="1"/>
  <c r="AB62" i="28"/>
  <c r="AB61" i="11"/>
  <c r="C61" i="11"/>
  <c r="D61" i="11" s="1"/>
  <c r="A64" i="9"/>
  <c r="B64" i="9" s="1"/>
  <c r="C64" i="9" s="1"/>
  <c r="D64" i="9" s="1"/>
  <c r="R63" i="9"/>
  <c r="L63" i="9"/>
  <c r="W63" i="28"/>
  <c r="B63" i="28"/>
  <c r="G63" i="28" s="1"/>
  <c r="V62" i="9"/>
  <c r="D49" i="24"/>
  <c r="F51" i="24"/>
  <c r="X51" i="24"/>
  <c r="B62" i="24"/>
  <c r="R62" i="24"/>
  <c r="A63" i="24"/>
  <c r="AR41" i="1" l="1"/>
  <c r="AX41" i="1" s="1"/>
  <c r="T65" i="9" s="1"/>
  <c r="H37" i="5"/>
  <c r="BC42" i="1"/>
  <c r="AI42" i="1"/>
  <c r="AJ42" i="1" s="1"/>
  <c r="AJ59" i="1" s="1"/>
  <c r="D38" i="5"/>
  <c r="AZ43" i="1"/>
  <c r="BB43" i="1" s="1"/>
  <c r="BC43" i="1" s="1"/>
  <c r="L45" i="1"/>
  <c r="M45" i="1" s="1"/>
  <c r="AI43" i="1"/>
  <c r="D39" i="5"/>
  <c r="L63" i="24"/>
  <c r="C62" i="24"/>
  <c r="V62" i="24"/>
  <c r="BG42" i="1"/>
  <c r="E51" i="1"/>
  <c r="AM42" i="1"/>
  <c r="S56" i="1"/>
  <c r="T56" i="1" s="1"/>
  <c r="AE62" i="28"/>
  <c r="AB62" i="11"/>
  <c r="C62" i="11"/>
  <c r="D62" i="11" s="1"/>
  <c r="C63" i="28"/>
  <c r="D63" i="28" s="1"/>
  <c r="E63" i="28" s="1"/>
  <c r="AB63" i="28"/>
  <c r="V63" i="9"/>
  <c r="B63" i="11"/>
  <c r="A64" i="11"/>
  <c r="W63" i="11"/>
  <c r="W64" i="28"/>
  <c r="B64" i="28"/>
  <c r="G64" i="28" s="1"/>
  <c r="A65" i="9"/>
  <c r="L64" i="9"/>
  <c r="R64" i="9"/>
  <c r="AE61" i="11"/>
  <c r="E61" i="11"/>
  <c r="B63" i="24"/>
  <c r="R63" i="24"/>
  <c r="A64" i="24"/>
  <c r="L64" i="24" s="1"/>
  <c r="F61" i="24"/>
  <c r="X61" i="24"/>
  <c r="D47" i="24"/>
  <c r="F49" i="24"/>
  <c r="X49" i="24"/>
  <c r="AT42" i="1" l="1"/>
  <c r="BK42" i="1"/>
  <c r="AU42" i="1"/>
  <c r="AI59" i="1"/>
  <c r="N44" i="1"/>
  <c r="Q44" i="1" s="1"/>
  <c r="F38" i="5"/>
  <c r="G38" i="5"/>
  <c r="J38" i="5"/>
  <c r="AJ43" i="1"/>
  <c r="AR43" i="1" s="1"/>
  <c r="AU43" i="1"/>
  <c r="G39" i="5"/>
  <c r="J39" i="5"/>
  <c r="F39" i="5"/>
  <c r="AT43" i="1"/>
  <c r="L46" i="1"/>
  <c r="M46" i="1" s="1"/>
  <c r="C63" i="24"/>
  <c r="D63" i="24" s="1"/>
  <c r="V63" i="24"/>
  <c r="BO42" i="1"/>
  <c r="F51" i="1"/>
  <c r="AN42" i="1"/>
  <c r="AT59" i="1"/>
  <c r="B65" i="9"/>
  <c r="C65" i="9" s="1"/>
  <c r="D65" i="9" s="1"/>
  <c r="AE63" i="28"/>
  <c r="C63" i="11"/>
  <c r="D63" i="11" s="1"/>
  <c r="AB63" i="11"/>
  <c r="A66" i="9"/>
  <c r="B66" i="9" s="1"/>
  <c r="C66" i="9" s="1"/>
  <c r="D66" i="9" s="1"/>
  <c r="L65" i="9"/>
  <c r="R65" i="9"/>
  <c r="C64" i="28"/>
  <c r="D64" i="28" s="1"/>
  <c r="E64" i="28" s="1"/>
  <c r="AB64" i="28"/>
  <c r="Y43" i="1"/>
  <c r="Z43" i="1" s="1"/>
  <c r="BD43" i="1" s="1"/>
  <c r="BF43" i="1" s="1"/>
  <c r="V64" i="9"/>
  <c r="W65" i="28"/>
  <c r="B65" i="28"/>
  <c r="G65" i="28" s="1"/>
  <c r="B64" i="11"/>
  <c r="W64" i="11"/>
  <c r="A65" i="11"/>
  <c r="B64" i="24"/>
  <c r="R64" i="24"/>
  <c r="A65" i="24"/>
  <c r="D45" i="24"/>
  <c r="F47" i="24"/>
  <c r="X47" i="24"/>
  <c r="N45" i="1" l="1"/>
  <c r="Q45" i="1" s="1"/>
  <c r="H38" i="5"/>
  <c r="AZ44" i="1"/>
  <c r="BB44" i="1" s="1"/>
  <c r="AG44" i="1"/>
  <c r="AR42" i="1"/>
  <c r="AX42" i="1" s="1"/>
  <c r="T67" i="9" s="1"/>
  <c r="H39" i="5"/>
  <c r="AX43" i="1"/>
  <c r="T69" i="9" s="1"/>
  <c r="L65" i="24"/>
  <c r="C64" i="24"/>
  <c r="V64" i="24"/>
  <c r="E52" i="1"/>
  <c r="F52" i="1" s="1"/>
  <c r="G51" i="1"/>
  <c r="BG43" i="1"/>
  <c r="BK43" i="1" s="1"/>
  <c r="AE64" i="28"/>
  <c r="V65" i="9"/>
  <c r="A66" i="11"/>
  <c r="W65" i="11"/>
  <c r="B65" i="11"/>
  <c r="AE63" i="11"/>
  <c r="E63" i="11"/>
  <c r="A67" i="9"/>
  <c r="R66" i="9"/>
  <c r="L66" i="9"/>
  <c r="AB64" i="11"/>
  <c r="C64" i="11"/>
  <c r="D64" i="11" s="1"/>
  <c r="C65" i="28"/>
  <c r="D65" i="28" s="1"/>
  <c r="E65" i="28" s="1"/>
  <c r="AB65" i="28"/>
  <c r="B66" i="28"/>
  <c r="G66" i="28" s="1"/>
  <c r="W66" i="28"/>
  <c r="F45" i="24"/>
  <c r="X45" i="24"/>
  <c r="F63" i="24"/>
  <c r="X63" i="24"/>
  <c r="B65" i="24"/>
  <c r="R65" i="24"/>
  <c r="A66" i="24"/>
  <c r="L66" i="24" s="1"/>
  <c r="AX59" i="1" l="1"/>
  <c r="AI44" i="1"/>
  <c r="AU44" i="1" s="1"/>
  <c r="BC44" i="1"/>
  <c r="D40" i="5"/>
  <c r="AZ45" i="1"/>
  <c r="BB45" i="1" s="1"/>
  <c r="AG45" i="1"/>
  <c r="AR59" i="1"/>
  <c r="L47" i="1"/>
  <c r="M47" i="1" s="1"/>
  <c r="C65" i="24"/>
  <c r="V65" i="24"/>
  <c r="E53" i="1"/>
  <c r="F53" i="1" s="1"/>
  <c r="G52" i="1"/>
  <c r="BO43" i="1"/>
  <c r="B67" i="9"/>
  <c r="C67" i="9" s="1"/>
  <c r="D67" i="9" s="1"/>
  <c r="AE65" i="28"/>
  <c r="Y44" i="1"/>
  <c r="Z44" i="1" s="1"/>
  <c r="BD44" i="1" s="1"/>
  <c r="BF44" i="1" s="1"/>
  <c r="V66" i="9"/>
  <c r="AB65" i="11"/>
  <c r="C65" i="11"/>
  <c r="D65" i="11" s="1"/>
  <c r="L67" i="9"/>
  <c r="R67" i="9"/>
  <c r="A68" i="9"/>
  <c r="B68" i="9" s="1"/>
  <c r="C68" i="9" s="1"/>
  <c r="D68" i="9" s="1"/>
  <c r="W66" i="11"/>
  <c r="A67" i="11"/>
  <c r="B66" i="11"/>
  <c r="W67" i="28"/>
  <c r="B67" i="28"/>
  <c r="G67" i="28" s="1"/>
  <c r="AB66" i="28"/>
  <c r="C66" i="28"/>
  <c r="D66" i="28" s="1"/>
  <c r="E66" i="28" s="1"/>
  <c r="D65" i="24"/>
  <c r="R66" i="24"/>
  <c r="B66" i="24"/>
  <c r="A67" i="24"/>
  <c r="AJ44" i="1" l="1"/>
  <c r="N46" i="1"/>
  <c r="Q46" i="1" s="1"/>
  <c r="BC45" i="1"/>
  <c r="AI45" i="1"/>
  <c r="D41" i="5"/>
  <c r="G40" i="5"/>
  <c r="J40" i="5"/>
  <c r="F40" i="5"/>
  <c r="L67" i="24"/>
  <c r="C66" i="24"/>
  <c r="V66" i="24"/>
  <c r="E54" i="1"/>
  <c r="F54" i="1" s="1"/>
  <c r="G53" i="1"/>
  <c r="BG44" i="1"/>
  <c r="BK44" i="1" s="1"/>
  <c r="AM44" i="1"/>
  <c r="AE66" i="28"/>
  <c r="W68" i="28"/>
  <c r="B68" i="28"/>
  <c r="G68" i="28" s="1"/>
  <c r="AB66" i="11"/>
  <c r="C66" i="11"/>
  <c r="D66" i="11" s="1"/>
  <c r="AB67" i="28"/>
  <c r="C67" i="28"/>
  <c r="D67" i="28" s="1"/>
  <c r="E67" i="28" s="1"/>
  <c r="B67" i="11"/>
  <c r="W67" i="11"/>
  <c r="A68" i="11"/>
  <c r="E65" i="11"/>
  <c r="AE65" i="11"/>
  <c r="V67" i="9"/>
  <c r="R68" i="9"/>
  <c r="A69" i="9"/>
  <c r="R67" i="24"/>
  <c r="B67" i="24"/>
  <c r="A68" i="24"/>
  <c r="L68" i="24" s="1"/>
  <c r="X65" i="24"/>
  <c r="F65" i="24"/>
  <c r="L48" i="1" l="1"/>
  <c r="M48" i="1" s="1"/>
  <c r="H40" i="5"/>
  <c r="N47" i="1"/>
  <c r="Q47" i="1" s="1"/>
  <c r="J41" i="5"/>
  <c r="F41" i="5"/>
  <c r="G41" i="5"/>
  <c r="AG46" i="1"/>
  <c r="AZ46" i="1"/>
  <c r="BB46" i="1" s="1"/>
  <c r="BB59" i="1" s="1"/>
  <c r="AU45" i="1"/>
  <c r="AJ45" i="1"/>
  <c r="AT44" i="1"/>
  <c r="C67" i="24"/>
  <c r="V67" i="24"/>
  <c r="E55" i="1"/>
  <c r="F55" i="1" s="1"/>
  <c r="G54" i="1"/>
  <c r="BO44" i="1"/>
  <c r="AN44" i="1"/>
  <c r="AR44" i="1" s="1"/>
  <c r="B69" i="9"/>
  <c r="C69" i="9" s="1"/>
  <c r="D69" i="9" s="1"/>
  <c r="AE67" i="28"/>
  <c r="V68" i="9"/>
  <c r="W68" i="11"/>
  <c r="A69" i="11"/>
  <c r="B68" i="11"/>
  <c r="C67" i="11"/>
  <c r="D67" i="11" s="1"/>
  <c r="AB67" i="11"/>
  <c r="Y45" i="1"/>
  <c r="Z45" i="1" s="1"/>
  <c r="BD45" i="1" s="1"/>
  <c r="BF45" i="1" s="1"/>
  <c r="R69" i="9"/>
  <c r="A70" i="9"/>
  <c r="B70" i="9" s="1"/>
  <c r="C70" i="9" s="1"/>
  <c r="D70" i="9" s="1"/>
  <c r="C68" i="28"/>
  <c r="D68" i="28" s="1"/>
  <c r="E68" i="28" s="1"/>
  <c r="AB68" i="28"/>
  <c r="B69" i="28"/>
  <c r="G69" i="28" s="1"/>
  <c r="W69" i="28"/>
  <c r="R68" i="24"/>
  <c r="B68" i="24"/>
  <c r="A69" i="24"/>
  <c r="N48" i="1" l="1"/>
  <c r="Q48" i="1" s="1"/>
  <c r="L49" i="1"/>
  <c r="M49" i="1" s="1"/>
  <c r="AZ47" i="1"/>
  <c r="BB47" i="1" s="1"/>
  <c r="AG47" i="1"/>
  <c r="AI46" i="1"/>
  <c r="D42" i="5"/>
  <c r="BC46" i="1"/>
  <c r="BC59" i="1" s="1"/>
  <c r="H41" i="5"/>
  <c r="AX44" i="1"/>
  <c r="L69" i="24"/>
  <c r="C68" i="24"/>
  <c r="D68" i="24" s="1"/>
  <c r="V68" i="24"/>
  <c r="E56" i="1"/>
  <c r="E59" i="1" s="1"/>
  <c r="G55" i="1"/>
  <c r="BG45" i="1"/>
  <c r="BK45" i="1" s="1"/>
  <c r="AM45" i="1"/>
  <c r="AE68" i="28"/>
  <c r="C68" i="11"/>
  <c r="D68" i="11" s="1"/>
  <c r="AB68" i="11"/>
  <c r="B70" i="28"/>
  <c r="G70" i="28" s="1"/>
  <c r="W70" i="28"/>
  <c r="C69" i="28"/>
  <c r="D69" i="28" s="1"/>
  <c r="E69" i="28" s="1"/>
  <c r="AB69" i="28"/>
  <c r="A70" i="11"/>
  <c r="W69" i="11"/>
  <c r="B69" i="11"/>
  <c r="A71" i="9"/>
  <c r="R70" i="9"/>
  <c r="E67" i="11"/>
  <c r="AE67" i="11"/>
  <c r="V69" i="9"/>
  <c r="R69" i="24"/>
  <c r="B69" i="24"/>
  <c r="A70" i="24"/>
  <c r="N49" i="1" l="1"/>
  <c r="Q49" i="1" s="1"/>
  <c r="L50" i="1"/>
  <c r="M50" i="1" s="1"/>
  <c r="AG48" i="1"/>
  <c r="AZ48" i="1"/>
  <c r="BB48" i="1" s="1"/>
  <c r="BC47" i="1"/>
  <c r="AI47" i="1"/>
  <c r="D43" i="5"/>
  <c r="F42" i="5"/>
  <c r="J42" i="5"/>
  <c r="J54" i="5" s="1"/>
  <c r="G42" i="5"/>
  <c r="G54" i="5" s="1"/>
  <c r="AJ46" i="1"/>
  <c r="AU46" i="1"/>
  <c r="AT45" i="1"/>
  <c r="C69" i="24"/>
  <c r="V69" i="24"/>
  <c r="F56" i="1"/>
  <c r="G56" i="1" s="1"/>
  <c r="G59" i="1" s="1"/>
  <c r="BO45" i="1"/>
  <c r="AN45" i="1"/>
  <c r="AR45" i="1" s="1"/>
  <c r="B71" i="9"/>
  <c r="C71" i="9" s="1"/>
  <c r="D71" i="9" s="1"/>
  <c r="AE69" i="28"/>
  <c r="AB69" i="11"/>
  <c r="C69" i="11"/>
  <c r="D69" i="11" s="1"/>
  <c r="C70" i="28"/>
  <c r="D70" i="28" s="1"/>
  <c r="E70" i="28" s="1"/>
  <c r="AB70" i="28"/>
  <c r="Y46" i="1"/>
  <c r="Z46" i="1" s="1"/>
  <c r="BD46" i="1" s="1"/>
  <c r="BF46" i="1" s="1"/>
  <c r="A71" i="11"/>
  <c r="W70" i="11"/>
  <c r="B70" i="11"/>
  <c r="W71" i="28"/>
  <c r="B71" i="28"/>
  <c r="G71" i="28" s="1"/>
  <c r="V70" i="9"/>
  <c r="R71" i="9"/>
  <c r="A72" i="9"/>
  <c r="D66" i="24"/>
  <c r="B70" i="24"/>
  <c r="R70" i="24"/>
  <c r="A71" i="24"/>
  <c r="BC48" i="1" l="1"/>
  <c r="D44" i="5"/>
  <c r="AI48" i="1"/>
  <c r="N50" i="1"/>
  <c r="Q50" i="1" s="1"/>
  <c r="L51" i="1"/>
  <c r="M51" i="1" s="1"/>
  <c r="AZ49" i="1"/>
  <c r="BB49" i="1" s="1"/>
  <c r="AG49" i="1"/>
  <c r="F54" i="5"/>
  <c r="H42" i="5"/>
  <c r="H54" i="5" s="1"/>
  <c r="G43" i="5"/>
  <c r="F43" i="5"/>
  <c r="J43" i="5"/>
  <c r="AU47" i="1"/>
  <c r="AJ47" i="1"/>
  <c r="AX45" i="1"/>
  <c r="L71" i="24"/>
  <c r="C70" i="24"/>
  <c r="D70" i="24" s="1"/>
  <c r="V70" i="24"/>
  <c r="BG46" i="1"/>
  <c r="BK46" i="1" s="1"/>
  <c r="AM46" i="1"/>
  <c r="B72" i="9"/>
  <c r="C72" i="9" s="1"/>
  <c r="D72" i="9" s="1"/>
  <c r="AE70" i="28"/>
  <c r="L72" i="9"/>
  <c r="O72" i="9" s="1"/>
  <c r="R72" i="9"/>
  <c r="A73" i="9"/>
  <c r="J72" i="9"/>
  <c r="C70" i="11"/>
  <c r="D70" i="11" s="1"/>
  <c r="AB70" i="11"/>
  <c r="B72" i="28"/>
  <c r="G72" i="28" s="1"/>
  <c r="W72" i="28"/>
  <c r="B71" i="11"/>
  <c r="W71" i="11"/>
  <c r="A72" i="11"/>
  <c r="AB71" i="28"/>
  <c r="C71" i="28"/>
  <c r="D71" i="28" s="1"/>
  <c r="E71" i="28" s="1"/>
  <c r="V71" i="9"/>
  <c r="D64" i="24"/>
  <c r="R71" i="24"/>
  <c r="B71" i="24"/>
  <c r="A72" i="24"/>
  <c r="H43" i="5" l="1"/>
  <c r="AI49" i="1"/>
  <c r="AU49" i="1" s="1"/>
  <c r="D45" i="5"/>
  <c r="BC49" i="1"/>
  <c r="N51" i="1"/>
  <c r="Q51" i="1" s="1"/>
  <c r="L52" i="1"/>
  <c r="M52" i="1" s="1"/>
  <c r="AU48" i="1"/>
  <c r="AJ48" i="1"/>
  <c r="J44" i="5"/>
  <c r="F44" i="5"/>
  <c r="G44" i="5"/>
  <c r="AG50" i="1"/>
  <c r="AZ50" i="1"/>
  <c r="BB50" i="1" s="1"/>
  <c r="AT46" i="1"/>
  <c r="M72" i="24"/>
  <c r="G72" i="24"/>
  <c r="L72" i="24"/>
  <c r="O72" i="24" s="1"/>
  <c r="U72" i="24" s="1"/>
  <c r="C71" i="24"/>
  <c r="V71" i="24"/>
  <c r="BO46" i="1"/>
  <c r="AN46" i="1"/>
  <c r="AR46" i="1" s="1"/>
  <c r="B73" i="9"/>
  <c r="C73" i="9" s="1"/>
  <c r="D73" i="9" s="1"/>
  <c r="AE71" i="28"/>
  <c r="W73" i="28"/>
  <c r="B73" i="28"/>
  <c r="G73" i="28" s="1"/>
  <c r="AB72" i="28"/>
  <c r="C72" i="28"/>
  <c r="D72" i="28" s="1"/>
  <c r="E72" i="28" s="1"/>
  <c r="A73" i="11"/>
  <c r="W72" i="11"/>
  <c r="B72" i="11"/>
  <c r="G72" i="11" s="1"/>
  <c r="J73" i="9"/>
  <c r="A74" i="9"/>
  <c r="L73" i="9"/>
  <c r="O73" i="9" s="1"/>
  <c r="R73" i="9"/>
  <c r="Y47" i="1"/>
  <c r="Z47" i="1" s="1"/>
  <c r="BD47" i="1" s="1"/>
  <c r="BF47" i="1" s="1"/>
  <c r="V72" i="9"/>
  <c r="AB71" i="11"/>
  <c r="C71" i="11"/>
  <c r="D71" i="11" s="1"/>
  <c r="R72" i="24"/>
  <c r="B72" i="24"/>
  <c r="J72" i="24"/>
  <c r="A73" i="24"/>
  <c r="G73" i="24" s="1"/>
  <c r="D62" i="24"/>
  <c r="AJ49" i="1" l="1"/>
  <c r="D46" i="5"/>
  <c r="BC50" i="1"/>
  <c r="AI50" i="1"/>
  <c r="AU50" i="1" s="1"/>
  <c r="H44" i="5"/>
  <c r="N52" i="1"/>
  <c r="Q52" i="1" s="1"/>
  <c r="L53" i="1"/>
  <c r="M53" i="1" s="1"/>
  <c r="J45" i="5"/>
  <c r="F45" i="5"/>
  <c r="G45" i="5"/>
  <c r="AG51" i="1"/>
  <c r="AZ51" i="1"/>
  <c r="BB51" i="1" s="1"/>
  <c r="AX46" i="1"/>
  <c r="L73" i="24"/>
  <c r="O73" i="24" s="1"/>
  <c r="U73" i="24" s="1"/>
  <c r="C72" i="24"/>
  <c r="D72" i="24" s="1"/>
  <c r="V72" i="24"/>
  <c r="BG47" i="1"/>
  <c r="BK47" i="1" s="1"/>
  <c r="BO59" i="1"/>
  <c r="AM47" i="1"/>
  <c r="B74" i="9"/>
  <c r="C74" i="9" s="1"/>
  <c r="D74" i="9" s="1"/>
  <c r="AE72" i="28"/>
  <c r="AB73" i="28"/>
  <c r="C73" i="28"/>
  <c r="D73" i="28" s="1"/>
  <c r="E73" i="28" s="1"/>
  <c r="J74" i="9"/>
  <c r="R74" i="9"/>
  <c r="A75" i="9"/>
  <c r="L74" i="9"/>
  <c r="O74" i="9" s="1"/>
  <c r="U74" i="9" s="1"/>
  <c r="T73" i="11"/>
  <c r="AA73" i="11" s="1"/>
  <c r="B73" i="11"/>
  <c r="P73" i="11"/>
  <c r="A74" i="11"/>
  <c r="W73" i="11"/>
  <c r="I73" i="11"/>
  <c r="J73" i="11" s="1"/>
  <c r="Z73" i="11"/>
  <c r="V73" i="9"/>
  <c r="F72" i="9"/>
  <c r="X72" i="9"/>
  <c r="AB72" i="11"/>
  <c r="C72" i="11"/>
  <c r="D72" i="11" s="1"/>
  <c r="W74" i="28"/>
  <c r="B74" i="28"/>
  <c r="G74" i="28" s="1"/>
  <c r="J73" i="24"/>
  <c r="R73" i="24"/>
  <c r="B73" i="24"/>
  <c r="A74" i="24"/>
  <c r="D60" i="24"/>
  <c r="BC51" i="1" l="1"/>
  <c r="AG52" i="1"/>
  <c r="AZ52" i="1"/>
  <c r="BB52" i="1" s="1"/>
  <c r="N53" i="1"/>
  <c r="Q53" i="1" s="1"/>
  <c r="L54" i="1"/>
  <c r="M54" i="1" s="1"/>
  <c r="D47" i="5"/>
  <c r="AI51" i="1"/>
  <c r="AU51" i="1" s="1"/>
  <c r="H45" i="5"/>
  <c r="AJ50" i="1"/>
  <c r="J46" i="5"/>
  <c r="G46" i="5"/>
  <c r="F46" i="5"/>
  <c r="AT47" i="1"/>
  <c r="M74" i="24"/>
  <c r="G74" i="24"/>
  <c r="L74" i="24"/>
  <c r="O74" i="24" s="1"/>
  <c r="U74" i="24" s="1"/>
  <c r="C73" i="24"/>
  <c r="V73" i="24"/>
  <c r="BO47" i="1"/>
  <c r="BK59" i="1"/>
  <c r="AN47" i="1"/>
  <c r="AR47" i="1" s="1"/>
  <c r="B75" i="9"/>
  <c r="C75" i="9" s="1"/>
  <c r="D75" i="9" s="1"/>
  <c r="AE73" i="28"/>
  <c r="F73" i="9"/>
  <c r="X73" i="9"/>
  <c r="V74" i="9"/>
  <c r="W75" i="28"/>
  <c r="B75" i="28"/>
  <c r="G75" i="28" s="1"/>
  <c r="J75" i="9"/>
  <c r="R75" i="9"/>
  <c r="L75" i="9"/>
  <c r="O75" i="9" s="1"/>
  <c r="U75" i="9" s="1"/>
  <c r="A76" i="9"/>
  <c r="AB74" i="28"/>
  <c r="C74" i="28"/>
  <c r="D74" i="28" s="1"/>
  <c r="E74" i="28" s="1"/>
  <c r="A75" i="11"/>
  <c r="W74" i="11"/>
  <c r="B74" i="11"/>
  <c r="AB73" i="11"/>
  <c r="G73" i="11"/>
  <c r="C73" i="11"/>
  <c r="D73" i="11" s="1"/>
  <c r="Y48" i="1"/>
  <c r="Z48" i="1" s="1"/>
  <c r="BD48" i="1" s="1"/>
  <c r="BF48" i="1" s="1"/>
  <c r="B74" i="24"/>
  <c r="J74" i="24"/>
  <c r="R74" i="24"/>
  <c r="A75" i="24"/>
  <c r="G75" i="24" s="1"/>
  <c r="X72" i="24"/>
  <c r="F72" i="24"/>
  <c r="D58" i="24"/>
  <c r="BC52" i="1" l="1"/>
  <c r="H46" i="5"/>
  <c r="AJ51" i="1"/>
  <c r="N54" i="1"/>
  <c r="Q54" i="1" s="1"/>
  <c r="L55" i="1"/>
  <c r="M55" i="1" s="1"/>
  <c r="AZ53" i="1"/>
  <c r="BB53" i="1" s="1"/>
  <c r="AG53" i="1"/>
  <c r="J47" i="5"/>
  <c r="G47" i="5"/>
  <c r="F47" i="5"/>
  <c r="AI52" i="1"/>
  <c r="AU52" i="1" s="1"/>
  <c r="D48" i="5"/>
  <c r="L75" i="24"/>
  <c r="O75" i="24" s="1"/>
  <c r="U75" i="24" s="1"/>
  <c r="C74" i="24"/>
  <c r="D74" i="24" s="1"/>
  <c r="V74" i="24"/>
  <c r="AX47" i="1"/>
  <c r="BG48" i="1"/>
  <c r="BK48" i="1" s="1"/>
  <c r="AM48" i="1"/>
  <c r="B76" i="9"/>
  <c r="C76" i="9" s="1"/>
  <c r="D76" i="9" s="1"/>
  <c r="AE74" i="28"/>
  <c r="A76" i="11"/>
  <c r="W75" i="11"/>
  <c r="P75" i="11"/>
  <c r="I75" i="11"/>
  <c r="J75" i="11" s="1"/>
  <c r="B75" i="11"/>
  <c r="Z75" i="11"/>
  <c r="T75" i="11"/>
  <c r="AA75" i="11" s="1"/>
  <c r="V75" i="9"/>
  <c r="W76" i="28"/>
  <c r="B76" i="28"/>
  <c r="G76" i="28" s="1"/>
  <c r="C75" i="28"/>
  <c r="D75" i="28" s="1"/>
  <c r="E75" i="28" s="1"/>
  <c r="AB75" i="28"/>
  <c r="F74" i="9"/>
  <c r="X74" i="9"/>
  <c r="E73" i="11"/>
  <c r="AE73" i="11"/>
  <c r="R76" i="9"/>
  <c r="L76" i="9"/>
  <c r="O76" i="9" s="1"/>
  <c r="U76" i="9" s="1"/>
  <c r="J76" i="9"/>
  <c r="A77" i="9"/>
  <c r="AB74" i="11"/>
  <c r="C74" i="11"/>
  <c r="D74" i="11" s="1"/>
  <c r="D56" i="24"/>
  <c r="R75" i="24"/>
  <c r="B75" i="24"/>
  <c r="J75" i="24"/>
  <c r="A76" i="24"/>
  <c r="H47" i="5" l="1"/>
  <c r="AJ52" i="1"/>
  <c r="G48" i="5"/>
  <c r="J48" i="5"/>
  <c r="F48" i="5"/>
  <c r="N55" i="1"/>
  <c r="Q55" i="1" s="1"/>
  <c r="L56" i="1"/>
  <c r="M56" i="1" s="1"/>
  <c r="BC53" i="1"/>
  <c r="AI53" i="1"/>
  <c r="AU53" i="1" s="1"/>
  <c r="D49" i="5"/>
  <c r="AG54" i="1"/>
  <c r="AZ54" i="1"/>
  <c r="BB54" i="1" s="1"/>
  <c r="AT48" i="1"/>
  <c r="M76" i="24"/>
  <c r="G76" i="24"/>
  <c r="L76" i="24"/>
  <c r="O76" i="24" s="1"/>
  <c r="U76" i="24" s="1"/>
  <c r="C75" i="24"/>
  <c r="V75" i="24"/>
  <c r="BO48" i="1"/>
  <c r="AN48" i="1"/>
  <c r="AR48" i="1" s="1"/>
  <c r="B77" i="9"/>
  <c r="C77" i="9" s="1"/>
  <c r="D77" i="9" s="1"/>
  <c r="AE75" i="28"/>
  <c r="V76" i="9"/>
  <c r="C75" i="11"/>
  <c r="D75" i="11" s="1"/>
  <c r="AB75" i="11"/>
  <c r="G75" i="11"/>
  <c r="Y49" i="1"/>
  <c r="Z49" i="1" s="1"/>
  <c r="BD49" i="1" s="1"/>
  <c r="BF49" i="1" s="1"/>
  <c r="AB76" i="28"/>
  <c r="C76" i="28"/>
  <c r="D76" i="28" s="1"/>
  <c r="E76" i="28" s="1"/>
  <c r="B77" i="28"/>
  <c r="G77" i="28" s="1"/>
  <c r="W77" i="28"/>
  <c r="R77" i="9"/>
  <c r="A78" i="9"/>
  <c r="J77" i="9"/>
  <c r="L77" i="9"/>
  <c r="O77" i="9" s="1"/>
  <c r="U77" i="9" s="1"/>
  <c r="F75" i="9"/>
  <c r="X75" i="9"/>
  <c r="A77" i="11"/>
  <c r="B76" i="11"/>
  <c r="W76" i="11"/>
  <c r="R76" i="24"/>
  <c r="J76" i="24"/>
  <c r="B76" i="24"/>
  <c r="A77" i="24"/>
  <c r="G77" i="24" s="1"/>
  <c r="F74" i="24"/>
  <c r="X74" i="24"/>
  <c r="H48" i="5" l="1"/>
  <c r="N56" i="1"/>
  <c r="Q56" i="1" s="1"/>
  <c r="AJ53" i="1"/>
  <c r="AI54" i="1"/>
  <c r="AU54" i="1" s="1"/>
  <c r="BC54" i="1"/>
  <c r="D50" i="5"/>
  <c r="G49" i="5"/>
  <c r="F49" i="5"/>
  <c r="J49" i="5"/>
  <c r="AG55" i="1"/>
  <c r="AZ55" i="1"/>
  <c r="BB55" i="1" s="1"/>
  <c r="L77" i="24"/>
  <c r="O77" i="24" s="1"/>
  <c r="U77" i="24" s="1"/>
  <c r="C76" i="24"/>
  <c r="D76" i="24" s="1"/>
  <c r="V76" i="24"/>
  <c r="AX48" i="1"/>
  <c r="BG49" i="1"/>
  <c r="BK49" i="1" s="1"/>
  <c r="AM49" i="1"/>
  <c r="AT49" i="1" s="1"/>
  <c r="B78" i="9"/>
  <c r="C78" i="9" s="1"/>
  <c r="D78" i="9" s="1"/>
  <c r="AE76" i="28"/>
  <c r="AE75" i="11"/>
  <c r="E75" i="11"/>
  <c r="AB77" i="28"/>
  <c r="C77" i="28"/>
  <c r="D77" i="28" s="1"/>
  <c r="E77" i="28" s="1"/>
  <c r="X76" i="9"/>
  <c r="F76" i="9"/>
  <c r="L78" i="9"/>
  <c r="O78" i="9" s="1"/>
  <c r="U78" i="9" s="1"/>
  <c r="R78" i="9"/>
  <c r="J78" i="9"/>
  <c r="A79" i="9"/>
  <c r="B78" i="28"/>
  <c r="G78" i="28" s="1"/>
  <c r="W78" i="28"/>
  <c r="V77" i="9"/>
  <c r="C76" i="11"/>
  <c r="D76" i="11" s="1"/>
  <c r="AB76" i="11"/>
  <c r="I77" i="11"/>
  <c r="J77" i="11" s="1"/>
  <c r="T77" i="11"/>
  <c r="AA77" i="11" s="1"/>
  <c r="W77" i="11"/>
  <c r="Z77" i="11"/>
  <c r="P77" i="11"/>
  <c r="A78" i="11"/>
  <c r="B77" i="11"/>
  <c r="J77" i="24"/>
  <c r="B77" i="24"/>
  <c r="R77" i="24"/>
  <c r="A78" i="24"/>
  <c r="AJ54" i="1" l="1"/>
  <c r="AZ56" i="1"/>
  <c r="BB56" i="1" s="1"/>
  <c r="AG56" i="1"/>
  <c r="BC55" i="1"/>
  <c r="AI55" i="1"/>
  <c r="D51" i="5"/>
  <c r="F50" i="5"/>
  <c r="G50" i="5"/>
  <c r="J50" i="5"/>
  <c r="H49" i="5"/>
  <c r="G78" i="24"/>
  <c r="M78" i="24"/>
  <c r="L78" i="24"/>
  <c r="O78" i="24" s="1"/>
  <c r="U78" i="24" s="1"/>
  <c r="C77" i="24"/>
  <c r="V77" i="24"/>
  <c r="BO49" i="1"/>
  <c r="AN49" i="1"/>
  <c r="AR49" i="1" s="1"/>
  <c r="B79" i="9"/>
  <c r="C79" i="9" s="1"/>
  <c r="D79" i="9" s="1"/>
  <c r="AE77" i="28"/>
  <c r="W79" i="28"/>
  <c r="B79" i="28"/>
  <c r="G79" i="28" s="1"/>
  <c r="F77" i="9"/>
  <c r="X77" i="9"/>
  <c r="V78" i="9"/>
  <c r="W78" i="11"/>
  <c r="B78" i="11"/>
  <c r="A79" i="11"/>
  <c r="A80" i="9"/>
  <c r="J79" i="9"/>
  <c r="L79" i="9"/>
  <c r="O79" i="9" s="1"/>
  <c r="U79" i="9" s="1"/>
  <c r="R79" i="9"/>
  <c r="AB78" i="28"/>
  <c r="C78" i="28"/>
  <c r="D78" i="28" s="1"/>
  <c r="E78" i="28" s="1"/>
  <c r="Y50" i="1"/>
  <c r="Z50" i="1" s="1"/>
  <c r="BD50" i="1" s="1"/>
  <c r="BF50" i="1" s="1"/>
  <c r="C77" i="11"/>
  <c r="D77" i="11" s="1"/>
  <c r="AB77" i="11"/>
  <c r="G77" i="11"/>
  <c r="F76" i="24"/>
  <c r="X76" i="24"/>
  <c r="R78" i="24"/>
  <c r="B78" i="24"/>
  <c r="J78" i="24"/>
  <c r="A79" i="24"/>
  <c r="G79" i="24" s="1"/>
  <c r="H50" i="5" l="1"/>
  <c r="AI56" i="1"/>
  <c r="AU56" i="1" s="1"/>
  <c r="D52" i="5"/>
  <c r="BC56" i="1"/>
  <c r="AU55" i="1"/>
  <c r="AJ55" i="1"/>
  <c r="G51" i="5"/>
  <c r="J51" i="5"/>
  <c r="F51" i="5"/>
  <c r="L79" i="24"/>
  <c r="O79" i="24" s="1"/>
  <c r="U79" i="24" s="1"/>
  <c r="C78" i="24"/>
  <c r="V78" i="24"/>
  <c r="AX49" i="1"/>
  <c r="BG50" i="1"/>
  <c r="BK50" i="1" s="1"/>
  <c r="AM50" i="1"/>
  <c r="B80" i="9"/>
  <c r="C80" i="9" s="1"/>
  <c r="D80" i="9" s="1"/>
  <c r="AE78" i="28"/>
  <c r="C78" i="11"/>
  <c r="D78" i="11" s="1"/>
  <c r="AB78" i="11"/>
  <c r="F78" i="9"/>
  <c r="X78" i="9"/>
  <c r="C79" i="28"/>
  <c r="D79" i="28" s="1"/>
  <c r="E79" i="28" s="1"/>
  <c r="AB79" i="28"/>
  <c r="V79" i="9"/>
  <c r="E77" i="11"/>
  <c r="AE77" i="11"/>
  <c r="A81" i="9"/>
  <c r="R80" i="9"/>
  <c r="L80" i="9"/>
  <c r="O80" i="9" s="1"/>
  <c r="U80" i="9" s="1"/>
  <c r="J80" i="9"/>
  <c r="B80" i="28"/>
  <c r="G80" i="28" s="1"/>
  <c r="W80" i="28"/>
  <c r="T79" i="11"/>
  <c r="AA79" i="11" s="1"/>
  <c r="B79" i="11"/>
  <c r="P79" i="11"/>
  <c r="Z79" i="11"/>
  <c r="A80" i="11"/>
  <c r="I79" i="11"/>
  <c r="J79" i="11" s="1"/>
  <c r="W79" i="11"/>
  <c r="J79" i="24"/>
  <c r="B79" i="24"/>
  <c r="R79" i="24"/>
  <c r="A80" i="24"/>
  <c r="H51" i="5" l="1"/>
  <c r="AJ56" i="1"/>
  <c r="F52" i="5"/>
  <c r="G52" i="5"/>
  <c r="J52" i="5"/>
  <c r="G80" i="24"/>
  <c r="M80" i="24"/>
  <c r="L80" i="24"/>
  <c r="O80" i="24" s="1"/>
  <c r="U80" i="24" s="1"/>
  <c r="C79" i="24"/>
  <c r="V79" i="24"/>
  <c r="BO50" i="1"/>
  <c r="AN50" i="1"/>
  <c r="AR50" i="1" s="1"/>
  <c r="AT50" i="1"/>
  <c r="B81" i="9"/>
  <c r="C81" i="9" s="1"/>
  <c r="D81" i="9" s="1"/>
  <c r="AE79" i="28"/>
  <c r="V80" i="9"/>
  <c r="X79" i="9"/>
  <c r="F79" i="9"/>
  <c r="B81" i="28"/>
  <c r="G81" i="28" s="1"/>
  <c r="W81" i="28"/>
  <c r="AB80" i="28"/>
  <c r="C80" i="28"/>
  <c r="D80" i="28" s="1"/>
  <c r="E80" i="28" s="1"/>
  <c r="W80" i="11"/>
  <c r="A81" i="11"/>
  <c r="B80" i="11"/>
  <c r="Y51" i="1"/>
  <c r="Z51" i="1" s="1"/>
  <c r="BD51" i="1" s="1"/>
  <c r="BF51" i="1" s="1"/>
  <c r="G79" i="11"/>
  <c r="AB79" i="11"/>
  <c r="C79" i="11"/>
  <c r="D79" i="11" s="1"/>
  <c r="L81" i="9"/>
  <c r="O81" i="9" s="1"/>
  <c r="J81" i="9"/>
  <c r="R81" i="9"/>
  <c r="A82" i="9"/>
  <c r="R80" i="24"/>
  <c r="J80" i="24"/>
  <c r="B80" i="24"/>
  <c r="A81" i="24"/>
  <c r="G81" i="24" s="1"/>
  <c r="D79" i="24"/>
  <c r="H52" i="5" l="1"/>
  <c r="U81" i="9"/>
  <c r="BQ44" i="1"/>
  <c r="BU44" i="1" s="1"/>
  <c r="BQ45" i="1"/>
  <c r="BU45" i="1" s="1"/>
  <c r="BQ46" i="1"/>
  <c r="BU46" i="1" s="1"/>
  <c r="BQ47" i="1"/>
  <c r="BU47" i="1" s="1"/>
  <c r="BQ48" i="1"/>
  <c r="BU48" i="1" s="1"/>
  <c r="BQ49" i="1"/>
  <c r="BU49" i="1" s="1"/>
  <c r="BQ50" i="1"/>
  <c r="BQ51" i="1"/>
  <c r="BQ52" i="1"/>
  <c r="BQ54" i="1"/>
  <c r="BQ53" i="1"/>
  <c r="BQ56" i="1"/>
  <c r="BQ55" i="1"/>
  <c r="L81" i="24"/>
  <c r="O81" i="24" s="1"/>
  <c r="U81" i="24" s="1"/>
  <c r="C80" i="24"/>
  <c r="V80" i="24"/>
  <c r="AX50" i="1"/>
  <c r="BG51" i="1"/>
  <c r="BK51" i="1" s="1"/>
  <c r="AM51" i="1"/>
  <c r="B82" i="9"/>
  <c r="C82" i="9" s="1"/>
  <c r="D82" i="9" s="1"/>
  <c r="AE80" i="28"/>
  <c r="B82" i="28"/>
  <c r="G82" i="28" s="1"/>
  <c r="W82" i="28"/>
  <c r="AE79" i="11"/>
  <c r="E79" i="11"/>
  <c r="AB81" i="28"/>
  <c r="C81" i="28"/>
  <c r="D81" i="28" s="1"/>
  <c r="E81" i="28" s="1"/>
  <c r="L82" i="9"/>
  <c r="O82" i="9" s="1"/>
  <c r="U82" i="9" s="1"/>
  <c r="J82" i="9"/>
  <c r="R82" i="9"/>
  <c r="A83" i="9"/>
  <c r="AB80" i="11"/>
  <c r="C80" i="11"/>
  <c r="D80" i="11" s="1"/>
  <c r="V81" i="9"/>
  <c r="B81" i="11"/>
  <c r="Z81" i="11"/>
  <c r="A82" i="11"/>
  <c r="I81" i="11"/>
  <c r="J81" i="11" s="1"/>
  <c r="W81" i="11"/>
  <c r="P81" i="11"/>
  <c r="T81" i="11"/>
  <c r="AA81" i="11" s="1"/>
  <c r="F80" i="9"/>
  <c r="X80" i="9"/>
  <c r="R81" i="24"/>
  <c r="B81" i="24"/>
  <c r="J81" i="24"/>
  <c r="A82" i="24"/>
  <c r="D77" i="24"/>
  <c r="F79" i="24"/>
  <c r="X79" i="24"/>
  <c r="CE47" i="1" l="1"/>
  <c r="BU50" i="1"/>
  <c r="CE49" i="1"/>
  <c r="CE46" i="1"/>
  <c r="CE48" i="1"/>
  <c r="G82" i="24"/>
  <c r="M82" i="24"/>
  <c r="L82" i="24"/>
  <c r="O82" i="24" s="1"/>
  <c r="U82" i="24" s="1"/>
  <c r="C81" i="24"/>
  <c r="D81" i="24" s="1"/>
  <c r="V81" i="24"/>
  <c r="BO51" i="1"/>
  <c r="CE50" i="1"/>
  <c r="AN51" i="1"/>
  <c r="AR51" i="1" s="1"/>
  <c r="AT51" i="1"/>
  <c r="B83" i="9"/>
  <c r="C83" i="9" s="1"/>
  <c r="D83" i="9" s="1"/>
  <c r="AE81" i="28"/>
  <c r="G81" i="11"/>
  <c r="AB81" i="11"/>
  <c r="C81" i="11"/>
  <c r="D81" i="11" s="1"/>
  <c r="V82" i="9"/>
  <c r="F81" i="9"/>
  <c r="X81" i="9"/>
  <c r="C82" i="28"/>
  <c r="D82" i="28" s="1"/>
  <c r="E82" i="28" s="1"/>
  <c r="AB82" i="28"/>
  <c r="Y52" i="1"/>
  <c r="Z52" i="1" s="1"/>
  <c r="BD52" i="1" s="1"/>
  <c r="BF52" i="1" s="1"/>
  <c r="A84" i="9"/>
  <c r="J83" i="9"/>
  <c r="R83" i="9"/>
  <c r="L83" i="9"/>
  <c r="O83" i="9" s="1"/>
  <c r="U83" i="9" s="1"/>
  <c r="A83" i="11"/>
  <c r="B82" i="11"/>
  <c r="W82" i="11"/>
  <c r="W83" i="28"/>
  <c r="B83" i="28"/>
  <c r="G83" i="28" s="1"/>
  <c r="D75" i="24"/>
  <c r="F77" i="24"/>
  <c r="X77" i="24"/>
  <c r="R82" i="24"/>
  <c r="B82" i="24"/>
  <c r="J82" i="24"/>
  <c r="A83" i="24"/>
  <c r="G83" i="24" s="1"/>
  <c r="BR56" i="1"/>
  <c r="BR15" i="1"/>
  <c r="BR16" i="1"/>
  <c r="L83" i="24" l="1"/>
  <c r="O83" i="24" s="1"/>
  <c r="U83" i="24" s="1"/>
  <c r="C82" i="24"/>
  <c r="V82" i="24"/>
  <c r="AX51" i="1"/>
  <c r="BS56" i="1"/>
  <c r="BG52" i="1"/>
  <c r="BK52" i="1" s="1"/>
  <c r="AM52" i="1"/>
  <c r="B84" i="9"/>
  <c r="C84" i="9" s="1"/>
  <c r="D84" i="9" s="1"/>
  <c r="AE82" i="28"/>
  <c r="J84" i="9"/>
  <c r="L84" i="9"/>
  <c r="O84" i="9" s="1"/>
  <c r="U84" i="9" s="1"/>
  <c r="R84" i="9"/>
  <c r="A85" i="9"/>
  <c r="F82" i="9"/>
  <c r="X82" i="9"/>
  <c r="E81" i="11"/>
  <c r="AE81" i="11"/>
  <c r="C83" i="28"/>
  <c r="D83" i="28" s="1"/>
  <c r="E83" i="28" s="1"/>
  <c r="AB83" i="28"/>
  <c r="W84" i="28"/>
  <c r="B84" i="28"/>
  <c r="G84" i="28" s="1"/>
  <c r="C82" i="11"/>
  <c r="D82" i="11" s="1"/>
  <c r="AB82" i="11"/>
  <c r="I83" i="11"/>
  <c r="J83" i="11" s="1"/>
  <c r="W83" i="11"/>
  <c r="B83" i="11"/>
  <c r="P83" i="11"/>
  <c r="T83" i="11"/>
  <c r="AA83" i="11" s="1"/>
  <c r="A84" i="11"/>
  <c r="Z83" i="11"/>
  <c r="V83" i="9"/>
  <c r="F81" i="24"/>
  <c r="X81" i="24"/>
  <c r="D73" i="24"/>
  <c r="F75" i="24"/>
  <c r="X75" i="24"/>
  <c r="R83" i="24"/>
  <c r="J83" i="24"/>
  <c r="B83" i="24"/>
  <c r="A84" i="24"/>
  <c r="M84" i="24" l="1"/>
  <c r="G84" i="24"/>
  <c r="L84" i="24"/>
  <c r="O84" i="24" s="1"/>
  <c r="U84" i="24" s="1"/>
  <c r="C83" i="24"/>
  <c r="V83" i="24"/>
  <c r="CE51" i="1"/>
  <c r="BU51" i="1"/>
  <c r="BO52" i="1"/>
  <c r="AN52" i="1"/>
  <c r="AR52" i="1" s="1"/>
  <c r="AT52" i="1"/>
  <c r="B85" i="9"/>
  <c r="C85" i="9" s="1"/>
  <c r="D85" i="9" s="1"/>
  <c r="AE83" i="28"/>
  <c r="AB83" i="11"/>
  <c r="C83" i="11"/>
  <c r="D83" i="11" s="1"/>
  <c r="B85" i="28"/>
  <c r="G85" i="28" s="1"/>
  <c r="W85" i="28"/>
  <c r="J85" i="9"/>
  <c r="R85" i="9"/>
  <c r="A86" i="9"/>
  <c r="L85" i="9"/>
  <c r="O85" i="9" s="1"/>
  <c r="U85" i="9" s="1"/>
  <c r="F83" i="9"/>
  <c r="X83" i="9"/>
  <c r="V84" i="9"/>
  <c r="W84" i="11"/>
  <c r="B84" i="11"/>
  <c r="A85" i="11"/>
  <c r="AB84" i="28"/>
  <c r="C84" i="28"/>
  <c r="D84" i="28" s="1"/>
  <c r="E84" i="28" s="1"/>
  <c r="Y53" i="1"/>
  <c r="Z53" i="1" s="1"/>
  <c r="BD53" i="1" s="1"/>
  <c r="BF53" i="1" s="1"/>
  <c r="D83" i="24"/>
  <c r="D71" i="24"/>
  <c r="F73" i="24"/>
  <c r="X73" i="24"/>
  <c r="R84" i="24"/>
  <c r="B84" i="24"/>
  <c r="J84" i="24"/>
  <c r="A85" i="24"/>
  <c r="G85" i="24" s="1"/>
  <c r="L85" i="24" l="1"/>
  <c r="O85" i="24" s="1"/>
  <c r="U85" i="24" s="1"/>
  <c r="C84" i="24"/>
  <c r="V84" i="24"/>
  <c r="AX52" i="1"/>
  <c r="BG53" i="1"/>
  <c r="BK53" i="1" s="1"/>
  <c r="AM53" i="1"/>
  <c r="B86" i="9"/>
  <c r="C86" i="9" s="1"/>
  <c r="D86" i="9" s="1"/>
  <c r="AE84" i="28"/>
  <c r="F84" i="9"/>
  <c r="X84" i="9"/>
  <c r="A87" i="9"/>
  <c r="L86" i="9"/>
  <c r="O86" i="9" s="1"/>
  <c r="U86" i="9" s="1"/>
  <c r="R86" i="9"/>
  <c r="J86" i="9"/>
  <c r="C85" i="28"/>
  <c r="D85" i="28" s="1"/>
  <c r="E85" i="28" s="1"/>
  <c r="AB85" i="28"/>
  <c r="Z85" i="11"/>
  <c r="A86" i="11"/>
  <c r="I85" i="11"/>
  <c r="J85" i="11" s="1"/>
  <c r="T85" i="11"/>
  <c r="AA85" i="11" s="1"/>
  <c r="W85" i="11"/>
  <c r="P85" i="11"/>
  <c r="B85" i="11"/>
  <c r="W86" i="28"/>
  <c r="B86" i="28"/>
  <c r="G86" i="28" s="1"/>
  <c r="AB84" i="11"/>
  <c r="C84" i="11"/>
  <c r="D84" i="11" s="1"/>
  <c r="V85" i="9"/>
  <c r="AE83" i="11"/>
  <c r="E83" i="11"/>
  <c r="R85" i="24"/>
  <c r="J85" i="24"/>
  <c r="B85" i="24"/>
  <c r="A86" i="24"/>
  <c r="D69" i="24"/>
  <c r="F71" i="24"/>
  <c r="X71" i="24"/>
  <c r="F83" i="24"/>
  <c r="X83" i="24"/>
  <c r="G86" i="24" l="1"/>
  <c r="M86" i="24"/>
  <c r="L86" i="24"/>
  <c r="O86" i="24" s="1"/>
  <c r="U86" i="24" s="1"/>
  <c r="C85" i="24"/>
  <c r="D85" i="24" s="1"/>
  <c r="V85" i="24"/>
  <c r="BO53" i="1"/>
  <c r="CE52" i="1"/>
  <c r="BU52" i="1"/>
  <c r="AN53" i="1"/>
  <c r="AR53" i="1" s="1"/>
  <c r="AT53" i="1"/>
  <c r="B87" i="9"/>
  <c r="C87" i="9" s="1"/>
  <c r="D87" i="9" s="1"/>
  <c r="AE85" i="28"/>
  <c r="W87" i="28"/>
  <c r="B87" i="28"/>
  <c r="G87" i="28" s="1"/>
  <c r="B86" i="11"/>
  <c r="W86" i="11"/>
  <c r="A87" i="11"/>
  <c r="C86" i="28"/>
  <c r="D86" i="28" s="1"/>
  <c r="E86" i="28" s="1"/>
  <c r="AB86" i="28"/>
  <c r="C85" i="11"/>
  <c r="D85" i="11" s="1"/>
  <c r="AB85" i="11"/>
  <c r="J87" i="9"/>
  <c r="A88" i="9"/>
  <c r="R87" i="9"/>
  <c r="L87" i="9"/>
  <c r="O87" i="9" s="1"/>
  <c r="U87" i="9" s="1"/>
  <c r="V86" i="9"/>
  <c r="F85" i="9"/>
  <c r="X85" i="9"/>
  <c r="Y54" i="1"/>
  <c r="Z54" i="1" s="1"/>
  <c r="BD54" i="1" s="1"/>
  <c r="BF54" i="1" s="1"/>
  <c r="J86" i="24"/>
  <c r="R86" i="24"/>
  <c r="B86" i="24"/>
  <c r="A87" i="24"/>
  <c r="G87" i="24" s="1"/>
  <c r="D67" i="24"/>
  <c r="F69" i="24"/>
  <c r="X69" i="24"/>
  <c r="L87" i="24" l="1"/>
  <c r="C86" i="24"/>
  <c r="V86" i="24"/>
  <c r="AX53" i="1"/>
  <c r="BG54" i="1"/>
  <c r="BK54" i="1" s="1"/>
  <c r="AM54" i="1"/>
  <c r="B88" i="9"/>
  <c r="C88" i="9" s="1"/>
  <c r="D88" i="9" s="1"/>
  <c r="AE86" i="28"/>
  <c r="V87" i="9"/>
  <c r="C87" i="28"/>
  <c r="D87" i="28" s="1"/>
  <c r="E87" i="28" s="1"/>
  <c r="AB87" i="28"/>
  <c r="X86" i="9"/>
  <c r="F86" i="9"/>
  <c r="E85" i="11"/>
  <c r="AE85" i="11"/>
  <c r="A88" i="11"/>
  <c r="I87" i="11"/>
  <c r="J87" i="11" s="1"/>
  <c r="T87" i="11"/>
  <c r="AA87" i="11" s="1"/>
  <c r="B87" i="11"/>
  <c r="P87" i="11"/>
  <c r="W87" i="11"/>
  <c r="Z87" i="11"/>
  <c r="J88" i="9"/>
  <c r="A89" i="9"/>
  <c r="L88" i="9"/>
  <c r="O88" i="9" s="1"/>
  <c r="U88" i="9" s="1"/>
  <c r="R88" i="9"/>
  <c r="C86" i="11"/>
  <c r="D86" i="11" s="1"/>
  <c r="AB86" i="11"/>
  <c r="B88" i="28"/>
  <c r="G88" i="28" s="1"/>
  <c r="W88" i="28"/>
  <c r="R87" i="24"/>
  <c r="B87" i="24"/>
  <c r="J87" i="24"/>
  <c r="O87" i="24"/>
  <c r="U87" i="24" s="1"/>
  <c r="A88" i="24"/>
  <c r="F67" i="24"/>
  <c r="X67" i="24"/>
  <c r="F85" i="24"/>
  <c r="X85" i="24"/>
  <c r="M88" i="24" l="1"/>
  <c r="G88" i="24"/>
  <c r="L88" i="24"/>
  <c r="O88" i="24" s="1"/>
  <c r="U88" i="24" s="1"/>
  <c r="C87" i="24"/>
  <c r="D87" i="24" s="1"/>
  <c r="V87" i="24"/>
  <c r="BO54" i="1"/>
  <c r="CE53" i="1"/>
  <c r="BU53" i="1"/>
  <c r="AN54" i="1"/>
  <c r="AR54" i="1" s="1"/>
  <c r="AT54" i="1"/>
  <c r="B89" i="9"/>
  <c r="C89" i="9" s="1"/>
  <c r="D89" i="9" s="1"/>
  <c r="AE87" i="28"/>
  <c r="Y55" i="1"/>
  <c r="Z55" i="1" s="1"/>
  <c r="BD55" i="1" s="1"/>
  <c r="BF55" i="1" s="1"/>
  <c r="B88" i="11"/>
  <c r="W88" i="11"/>
  <c r="A89" i="11"/>
  <c r="A90" i="9"/>
  <c r="R89" i="9"/>
  <c r="L89" i="9"/>
  <c r="O89" i="9" s="1"/>
  <c r="U89" i="9" s="1"/>
  <c r="J89" i="9"/>
  <c r="V88" i="9"/>
  <c r="W89" i="28"/>
  <c r="B89" i="28"/>
  <c r="G89" i="28" s="1"/>
  <c r="AB88" i="28"/>
  <c r="C88" i="28"/>
  <c r="D88" i="28" s="1"/>
  <c r="E88" i="28" s="1"/>
  <c r="X87" i="9"/>
  <c r="F87" i="9"/>
  <c r="AB87" i="11"/>
  <c r="C87" i="11"/>
  <c r="D87" i="11" s="1"/>
  <c r="B88" i="24"/>
  <c r="J88" i="24"/>
  <c r="R88" i="24"/>
  <c r="A89" i="24"/>
  <c r="G89" i="24" s="1"/>
  <c r="L89" i="24" l="1"/>
  <c r="F89" i="24"/>
  <c r="C88" i="24"/>
  <c r="V88" i="24"/>
  <c r="AX54" i="1"/>
  <c r="U72" i="9"/>
  <c r="BG55" i="1"/>
  <c r="BK55" i="1" s="1"/>
  <c r="AM55" i="1"/>
  <c r="B90" i="9"/>
  <c r="C90" i="9" s="1"/>
  <c r="D90" i="9" s="1"/>
  <c r="AE88" i="28"/>
  <c r="X88" i="9"/>
  <c r="F88" i="9"/>
  <c r="V89" i="9"/>
  <c r="W90" i="28"/>
  <c r="B90" i="28"/>
  <c r="G90" i="28" s="1"/>
  <c r="AB89" i="28"/>
  <c r="C89" i="28"/>
  <c r="D89" i="28" s="1"/>
  <c r="E89" i="28" s="1"/>
  <c r="W89" i="11"/>
  <c r="P89" i="11"/>
  <c r="I89" i="11"/>
  <c r="J89" i="11" s="1"/>
  <c r="T89" i="11"/>
  <c r="AA89" i="11" s="1"/>
  <c r="B89" i="11"/>
  <c r="A90" i="11"/>
  <c r="Z89" i="11"/>
  <c r="J90" i="9"/>
  <c r="A91" i="9"/>
  <c r="R90" i="9"/>
  <c r="L90" i="9"/>
  <c r="O90" i="9" s="1"/>
  <c r="U90" i="9" s="1"/>
  <c r="C88" i="11"/>
  <c r="D88" i="11" s="1"/>
  <c r="AB88" i="11"/>
  <c r="E87" i="11"/>
  <c r="AE87" i="11"/>
  <c r="F87" i="24"/>
  <c r="X87" i="24"/>
  <c r="B89" i="24"/>
  <c r="O89" i="24"/>
  <c r="U89" i="24" s="1"/>
  <c r="R89" i="24"/>
  <c r="J89" i="24"/>
  <c r="A90" i="24"/>
  <c r="BU54" i="1" l="1"/>
  <c r="M90" i="24"/>
  <c r="G90" i="24"/>
  <c r="X89" i="24"/>
  <c r="L90" i="24"/>
  <c r="O90" i="24" s="1"/>
  <c r="U90" i="24" s="1"/>
  <c r="C89" i="24"/>
  <c r="V89" i="24"/>
  <c r="CE54" i="1"/>
  <c r="BO55" i="1"/>
  <c r="AN55" i="1"/>
  <c r="AR55" i="1" s="1"/>
  <c r="AT55" i="1"/>
  <c r="B91" i="9"/>
  <c r="C91" i="9" s="1"/>
  <c r="D91" i="9" s="1"/>
  <c r="AE89" i="28"/>
  <c r="Y56" i="1"/>
  <c r="Z56" i="1" s="1"/>
  <c r="BD56" i="1" s="1"/>
  <c r="BF56" i="1" s="1"/>
  <c r="J91" i="9"/>
  <c r="A92" i="9"/>
  <c r="R91" i="9"/>
  <c r="L91" i="9"/>
  <c r="O91" i="9" s="1"/>
  <c r="U91" i="9" s="1"/>
  <c r="A91" i="11"/>
  <c r="Z91" i="11" s="1"/>
  <c r="W90" i="11"/>
  <c r="B90" i="11"/>
  <c r="AB89" i="11"/>
  <c r="C89" i="11"/>
  <c r="D89" i="11" s="1"/>
  <c r="W91" i="28"/>
  <c r="B91" i="28"/>
  <c r="G91" i="28" s="1"/>
  <c r="F89" i="9"/>
  <c r="X89" i="9"/>
  <c r="AB90" i="28"/>
  <c r="C90" i="28"/>
  <c r="D90" i="28" s="1"/>
  <c r="E90" i="28" s="1"/>
  <c r="V90" i="9"/>
  <c r="B90" i="24"/>
  <c r="R90" i="24"/>
  <c r="J90" i="24"/>
  <c r="A91" i="24"/>
  <c r="G91" i="24" s="1"/>
  <c r="L91" i="24" l="1"/>
  <c r="O91" i="24" s="1"/>
  <c r="U91" i="24" s="1"/>
  <c r="F91" i="24"/>
  <c r="C90" i="24"/>
  <c r="V90" i="24"/>
  <c r="AX55" i="1"/>
  <c r="BG56" i="1"/>
  <c r="BG59" i="1" s="1"/>
  <c r="BF59" i="1"/>
  <c r="AM56" i="1"/>
  <c r="AT56" i="1" s="1"/>
  <c r="B92" i="9"/>
  <c r="C92" i="9" s="1"/>
  <c r="D92" i="9" s="1"/>
  <c r="AE90" i="28"/>
  <c r="R92" i="9"/>
  <c r="J92" i="9"/>
  <c r="L92" i="9"/>
  <c r="O92" i="9" s="1"/>
  <c r="U92" i="9" s="1"/>
  <c r="A93" i="9"/>
  <c r="W92" i="28"/>
  <c r="B92" i="28"/>
  <c r="G92" i="28" s="1"/>
  <c r="V91" i="9"/>
  <c r="AB91" i="28"/>
  <c r="C91" i="28"/>
  <c r="D91" i="28" s="1"/>
  <c r="E91" i="28" s="1"/>
  <c r="C90" i="11"/>
  <c r="D90" i="11" s="1"/>
  <c r="AB90" i="11"/>
  <c r="X90" i="9"/>
  <c r="F90" i="9"/>
  <c r="AE89" i="11"/>
  <c r="E89" i="11"/>
  <c r="I91" i="11"/>
  <c r="J91" i="11" s="1"/>
  <c r="A92" i="11"/>
  <c r="W91" i="11"/>
  <c r="B91" i="11"/>
  <c r="T91" i="11"/>
  <c r="AA91" i="11" s="1"/>
  <c r="P91" i="11"/>
  <c r="D90" i="24"/>
  <c r="J91" i="24"/>
  <c r="B91" i="24"/>
  <c r="R91" i="24"/>
  <c r="X91" i="24"/>
  <c r="A92" i="24"/>
  <c r="L92" i="24" l="1"/>
  <c r="O92" i="24" s="1"/>
  <c r="M92" i="24"/>
  <c r="C91" i="24"/>
  <c r="V91" i="24"/>
  <c r="CE55" i="1"/>
  <c r="BU55" i="1"/>
  <c r="BK56" i="1"/>
  <c r="BO56" i="1" s="1"/>
  <c r="AN56" i="1"/>
  <c r="AN59" i="1" s="1"/>
  <c r="AM59" i="1"/>
  <c r="B93" i="9"/>
  <c r="AE91" i="28"/>
  <c r="H92" i="28"/>
  <c r="B92" i="11"/>
  <c r="W92" i="11"/>
  <c r="A93" i="11"/>
  <c r="C91" i="11"/>
  <c r="D91" i="11" s="1"/>
  <c r="AB91" i="11"/>
  <c r="X91" i="9"/>
  <c r="F91" i="9"/>
  <c r="V92" i="9"/>
  <c r="J93" i="9"/>
  <c r="L93" i="9"/>
  <c r="O93" i="9" s="1"/>
  <c r="J93" i="28"/>
  <c r="C92" i="28"/>
  <c r="D92" i="28" s="1"/>
  <c r="E92" i="28" s="1"/>
  <c r="AB92" i="28"/>
  <c r="B92" i="24"/>
  <c r="J92" i="24"/>
  <c r="A93" i="24"/>
  <c r="L93" i="24" s="1"/>
  <c r="D88" i="24"/>
  <c r="F90" i="24"/>
  <c r="X90" i="24"/>
  <c r="AR56" i="1" l="1"/>
  <c r="AX56" i="1" s="1"/>
  <c r="CD56" i="1" s="1"/>
  <c r="AE92" i="28"/>
  <c r="H91" i="28"/>
  <c r="I92" i="28"/>
  <c r="E91" i="11"/>
  <c r="AE91" i="11"/>
  <c r="W59" i="1"/>
  <c r="T93" i="11"/>
  <c r="Z93" i="11"/>
  <c r="I93" i="11"/>
  <c r="J93" i="11" s="1"/>
  <c r="P93" i="11"/>
  <c r="A94" i="11"/>
  <c r="F92" i="9"/>
  <c r="X92" i="9"/>
  <c r="C92" i="11"/>
  <c r="D92" i="11" s="1"/>
  <c r="AB92" i="11"/>
  <c r="H93" i="9"/>
  <c r="H92" i="9" s="1"/>
  <c r="F93" i="9"/>
  <c r="D86" i="24"/>
  <c r="X88" i="24"/>
  <c r="F88" i="24"/>
  <c r="B93" i="24"/>
  <c r="H93" i="24" s="1"/>
  <c r="J93" i="24"/>
  <c r="O93" i="24"/>
  <c r="BV56" i="1" l="1"/>
  <c r="T57" i="24"/>
  <c r="T64" i="24"/>
  <c r="T69" i="24"/>
  <c r="T39" i="24"/>
  <c r="T74" i="24"/>
  <c r="T82" i="24"/>
  <c r="T67" i="24"/>
  <c r="T55" i="24"/>
  <c r="T89" i="24"/>
  <c r="T43" i="24"/>
  <c r="T37" i="24"/>
  <c r="T60" i="24"/>
  <c r="T44" i="24"/>
  <c r="T87" i="24"/>
  <c r="T45" i="24"/>
  <c r="T28" i="24"/>
  <c r="T70" i="24"/>
  <c r="T29" i="24"/>
  <c r="T26" i="24"/>
  <c r="T61" i="24"/>
  <c r="T15" i="24"/>
  <c r="T13" i="24"/>
  <c r="T24" i="24"/>
  <c r="T62" i="24"/>
  <c r="T38" i="24"/>
  <c r="T33" i="24"/>
  <c r="T58" i="24"/>
  <c r="T78" i="24"/>
  <c r="T51" i="24"/>
  <c r="T23" i="24"/>
  <c r="T71" i="24"/>
  <c r="T52" i="24"/>
  <c r="T22" i="24"/>
  <c r="T32" i="24"/>
  <c r="T56" i="24"/>
  <c r="T84" i="24"/>
  <c r="T73" i="24"/>
  <c r="T12" i="24"/>
  <c r="T42" i="24"/>
  <c r="T20" i="24"/>
  <c r="T49" i="24"/>
  <c r="T36" i="24"/>
  <c r="T90" i="24"/>
  <c r="T30" i="24"/>
  <c r="T14" i="24"/>
  <c r="T31" i="24"/>
  <c r="T79" i="24"/>
  <c r="T48" i="24"/>
  <c r="T88" i="24"/>
  <c r="T54" i="24"/>
  <c r="T35" i="24"/>
  <c r="T76" i="24"/>
  <c r="T41" i="24"/>
  <c r="T59" i="24"/>
  <c r="T85" i="24"/>
  <c r="T80" i="24"/>
  <c r="T19" i="24"/>
  <c r="T50" i="24"/>
  <c r="T86" i="24"/>
  <c r="T53" i="24"/>
  <c r="T83" i="24"/>
  <c r="T25" i="24"/>
  <c r="T40" i="24"/>
  <c r="T68" i="24"/>
  <c r="T75" i="24"/>
  <c r="T65" i="24"/>
  <c r="T72" i="24"/>
  <c r="T21" i="24"/>
  <c r="T77" i="24"/>
  <c r="T47" i="24"/>
  <c r="T34" i="24"/>
  <c r="T17" i="24"/>
  <c r="T63" i="24"/>
  <c r="T16" i="24"/>
  <c r="T66" i="24"/>
  <c r="T18" i="24"/>
  <c r="T91" i="24"/>
  <c r="T46" i="24"/>
  <c r="T27" i="24"/>
  <c r="T81" i="24"/>
  <c r="BT56" i="1"/>
  <c r="CE56" i="1"/>
  <c r="BX56" i="1"/>
  <c r="BU56" i="1"/>
  <c r="H90" i="28"/>
  <c r="I91" i="28"/>
  <c r="I93" i="9"/>
  <c r="N93" i="9" s="1"/>
  <c r="H91" i="9"/>
  <c r="K92" i="9"/>
  <c r="I92" i="9"/>
  <c r="P94" i="11"/>
  <c r="A95" i="11"/>
  <c r="P95" i="11" s="1"/>
  <c r="T94" i="11"/>
  <c r="I94" i="11"/>
  <c r="I93" i="24"/>
  <c r="H92" i="24"/>
  <c r="D84" i="24"/>
  <c r="F86" i="24"/>
  <c r="X86" i="24"/>
  <c r="N92" i="9" l="1"/>
  <c r="H89" i="28"/>
  <c r="I90" i="28"/>
  <c r="H90" i="9"/>
  <c r="K91" i="9"/>
  <c r="I91" i="9"/>
  <c r="D82" i="24"/>
  <c r="F84" i="24"/>
  <c r="X84" i="24"/>
  <c r="I92" i="24"/>
  <c r="H91" i="24"/>
  <c r="H92" i="11"/>
  <c r="H91" i="11" s="1"/>
  <c r="E92" i="11"/>
  <c r="AE92" i="11"/>
  <c r="N91" i="9" l="1"/>
  <c r="H88" i="28"/>
  <c r="I89" i="28"/>
  <c r="H89" i="9"/>
  <c r="K90" i="9"/>
  <c r="I90" i="9"/>
  <c r="I91" i="24"/>
  <c r="H90" i="24"/>
  <c r="K91" i="24"/>
  <c r="F82" i="24"/>
  <c r="D80" i="24"/>
  <c r="X82" i="24"/>
  <c r="I92" i="11"/>
  <c r="H90" i="11"/>
  <c r="H89" i="11" s="1"/>
  <c r="N90" i="9" l="1"/>
  <c r="H87" i="28"/>
  <c r="I88" i="28"/>
  <c r="H88" i="9"/>
  <c r="K89" i="9"/>
  <c r="I89" i="9"/>
  <c r="H89" i="24"/>
  <c r="I90" i="24"/>
  <c r="K90" i="24"/>
  <c r="D78" i="24"/>
  <c r="X80" i="24"/>
  <c r="F80" i="24"/>
  <c r="I90" i="11"/>
  <c r="AE90" i="11"/>
  <c r="E90" i="11"/>
  <c r="P92" i="11"/>
  <c r="N89" i="9" l="1"/>
  <c r="H86" i="28"/>
  <c r="I87" i="28"/>
  <c r="H87" i="9"/>
  <c r="K88" i="9"/>
  <c r="I88" i="9"/>
  <c r="F78" i="24"/>
  <c r="X78" i="24"/>
  <c r="I89" i="24"/>
  <c r="H88" i="24"/>
  <c r="K89" i="24"/>
  <c r="P90" i="11"/>
  <c r="N88" i="9" l="1"/>
  <c r="H85" i="28"/>
  <c r="I86" i="28"/>
  <c r="H86" i="9"/>
  <c r="K87" i="9"/>
  <c r="I87" i="9"/>
  <c r="K88" i="24"/>
  <c r="H87" i="24"/>
  <c r="I88" i="24"/>
  <c r="N87" i="9" l="1"/>
  <c r="H84" i="28"/>
  <c r="I85" i="28"/>
  <c r="K86" i="9"/>
  <c r="H85" i="9"/>
  <c r="I86" i="9"/>
  <c r="H86" i="24"/>
  <c r="I87" i="24"/>
  <c r="K87" i="24"/>
  <c r="N86" i="9" l="1"/>
  <c r="H83" i="28"/>
  <c r="I84" i="28"/>
  <c r="I85" i="9"/>
  <c r="H84" i="9"/>
  <c r="K85" i="9"/>
  <c r="I86" i="24"/>
  <c r="H85" i="24"/>
  <c r="K86" i="24"/>
  <c r="N85" i="9" l="1"/>
  <c r="H82" i="28"/>
  <c r="I83" i="28"/>
  <c r="H83" i="9"/>
  <c r="K84" i="9"/>
  <c r="I84" i="9"/>
  <c r="H84" i="24"/>
  <c r="I85" i="24"/>
  <c r="K85" i="24"/>
  <c r="N84" i="9" l="1"/>
  <c r="H81" i="28"/>
  <c r="I82" i="28"/>
  <c r="H82" i="9"/>
  <c r="K83" i="9"/>
  <c r="I83" i="9"/>
  <c r="H83" i="24"/>
  <c r="I84" i="24"/>
  <c r="K84" i="24"/>
  <c r="N83" i="9" l="1"/>
  <c r="H80" i="28"/>
  <c r="I81" i="28"/>
  <c r="I82" i="9"/>
  <c r="H81" i="9"/>
  <c r="K82" i="9"/>
  <c r="I83" i="24"/>
  <c r="H82" i="24"/>
  <c r="K83" i="24"/>
  <c r="N82" i="9" l="1"/>
  <c r="H79" i="28"/>
  <c r="I80" i="28"/>
  <c r="K81" i="9"/>
  <c r="I81" i="9"/>
  <c r="H80" i="9"/>
  <c r="I82" i="24"/>
  <c r="H81" i="24"/>
  <c r="K82" i="24"/>
  <c r="N81" i="9" l="1"/>
  <c r="H78" i="28"/>
  <c r="I79" i="28"/>
  <c r="H79" i="9"/>
  <c r="K80" i="9"/>
  <c r="I80" i="9"/>
  <c r="H80" i="24"/>
  <c r="I81" i="24"/>
  <c r="K81" i="24"/>
  <c r="N80" i="9" l="1"/>
  <c r="H77" i="28"/>
  <c r="I78" i="28"/>
  <c r="H78" i="9"/>
  <c r="K79" i="9"/>
  <c r="I79" i="9"/>
  <c r="H79" i="24"/>
  <c r="I80" i="24"/>
  <c r="K80" i="24"/>
  <c r="N79" i="9" l="1"/>
  <c r="H76" i="28"/>
  <c r="I77" i="28"/>
  <c r="H77" i="9"/>
  <c r="K78" i="9"/>
  <c r="I78" i="9"/>
  <c r="I79" i="24"/>
  <c r="H78" i="24"/>
  <c r="K79" i="24"/>
  <c r="N78" i="9" l="1"/>
  <c r="H75" i="28"/>
  <c r="I76" i="28"/>
  <c r="H76" i="9"/>
  <c r="K77" i="9"/>
  <c r="I77" i="9"/>
  <c r="H77" i="24"/>
  <c r="I78" i="24"/>
  <c r="K78" i="24"/>
  <c r="N77" i="9" l="1"/>
  <c r="H74" i="28"/>
  <c r="I75" i="28"/>
  <c r="H75" i="9"/>
  <c r="K76" i="9"/>
  <c r="I76" i="9"/>
  <c r="I77" i="24"/>
  <c r="H76" i="24"/>
  <c r="K77" i="24"/>
  <c r="N76" i="9" l="1"/>
  <c r="H73" i="28"/>
  <c r="I74" i="28"/>
  <c r="H74" i="9"/>
  <c r="K75" i="9"/>
  <c r="I75" i="9"/>
  <c r="I76" i="24"/>
  <c r="H75" i="24"/>
  <c r="K76" i="24"/>
  <c r="N75" i="9" l="1"/>
  <c r="H72" i="28"/>
  <c r="I73" i="28"/>
  <c r="H73" i="9"/>
  <c r="K74" i="9"/>
  <c r="I74" i="9"/>
  <c r="H74" i="24"/>
  <c r="I75" i="24"/>
  <c r="K75" i="24"/>
  <c r="N74" i="9" l="1"/>
  <c r="H71" i="28"/>
  <c r="I72" i="28"/>
  <c r="H72" i="9"/>
  <c r="K73" i="9"/>
  <c r="I73" i="9"/>
  <c r="I74" i="24"/>
  <c r="H73" i="24"/>
  <c r="K74" i="24"/>
  <c r="N73" i="9" l="1"/>
  <c r="H70" i="28"/>
  <c r="I71" i="28"/>
  <c r="K72" i="9"/>
  <c r="I72" i="9"/>
  <c r="H72" i="24"/>
  <c r="I73" i="24"/>
  <c r="K73" i="24"/>
  <c r="N72" i="9" l="1"/>
  <c r="H69" i="28"/>
  <c r="I70" i="28"/>
  <c r="H71" i="24"/>
  <c r="I72" i="24"/>
  <c r="K72" i="24"/>
  <c r="H68" i="28" l="1"/>
  <c r="I69" i="28"/>
  <c r="I71" i="24"/>
  <c r="K71" i="24"/>
  <c r="H67" i="28" l="1"/>
  <c r="I68" i="28"/>
  <c r="H66" i="28" l="1"/>
  <c r="I67" i="28"/>
  <c r="H65" i="28" l="1"/>
  <c r="I66" i="28"/>
  <c r="H64" i="28" l="1"/>
  <c r="I65" i="28"/>
  <c r="H63" i="28" l="1"/>
  <c r="I64" i="28"/>
  <c r="H62" i="28" l="1"/>
  <c r="I63" i="28"/>
  <c r="H61" i="28" l="1"/>
  <c r="I62" i="28"/>
  <c r="H60" i="28" l="1"/>
  <c r="I61" i="28"/>
  <c r="H59" i="28" l="1"/>
  <c r="I60" i="28"/>
  <c r="H58" i="28" l="1"/>
  <c r="I59" i="28"/>
  <c r="H57" i="28" l="1"/>
  <c r="I58" i="28"/>
  <c r="H56" i="28" l="1"/>
  <c r="I57" i="28"/>
  <c r="H55" i="28" l="1"/>
  <c r="I56" i="28"/>
  <c r="H54" i="28" l="1"/>
  <c r="I55" i="28"/>
  <c r="H53" i="28" l="1"/>
  <c r="I54" i="28"/>
  <c r="I53" i="28" l="1"/>
  <c r="C13" i="10" l="1"/>
  <c r="D13" i="10" s="1"/>
  <c r="J13" i="10" s="1"/>
  <c r="C14" i="10"/>
  <c r="D14" i="10" s="1"/>
  <c r="J14" i="10" s="1"/>
  <c r="C15" i="10"/>
  <c r="D15" i="10" s="1"/>
  <c r="J15" i="10" s="1"/>
  <c r="C17" i="10"/>
  <c r="D17" i="10" s="1"/>
  <c r="J17" i="10" s="1"/>
  <c r="C16" i="10"/>
  <c r="D16" i="10" s="1"/>
  <c r="J16" i="10" s="1"/>
  <c r="C19" i="10"/>
  <c r="D19" i="10" s="1"/>
  <c r="J19" i="10" s="1"/>
  <c r="C20" i="10"/>
  <c r="D20" i="10" s="1"/>
  <c r="J20" i="10" s="1"/>
  <c r="C22" i="10"/>
  <c r="D22" i="10" s="1"/>
  <c r="J22" i="10" s="1"/>
  <c r="C23" i="10"/>
  <c r="D23" i="10" s="1"/>
  <c r="J23" i="10" s="1"/>
  <c r="C21" i="10"/>
  <c r="D21" i="10" s="1"/>
  <c r="J21" i="10" s="1"/>
  <c r="C25" i="10"/>
  <c r="D25" i="10" s="1"/>
  <c r="J25" i="10" s="1"/>
  <c r="C26" i="10"/>
  <c r="D26" i="10" s="1"/>
  <c r="J26" i="10" s="1"/>
  <c r="C27" i="10"/>
  <c r="D27" i="10" s="1"/>
  <c r="J27" i="10" s="1"/>
  <c r="C28" i="10"/>
  <c r="D28" i="10" s="1"/>
  <c r="J28" i="10" s="1"/>
  <c r="C29" i="10"/>
  <c r="D29" i="10" s="1"/>
  <c r="J29" i="10" s="1"/>
  <c r="C32" i="10"/>
  <c r="D32" i="10" s="1"/>
  <c r="J32" i="10" s="1"/>
  <c r="C33" i="10"/>
  <c r="D33" i="10" s="1"/>
  <c r="J33" i="10" s="1"/>
  <c r="C35" i="10"/>
  <c r="D35" i="10" s="1"/>
  <c r="J35" i="10" s="1"/>
  <c r="C31" i="10"/>
  <c r="D31" i="10" s="1"/>
  <c r="J31" i="10" s="1"/>
  <c r="C34" i="10"/>
  <c r="D34" i="10" s="1"/>
  <c r="J34" i="10" s="1"/>
  <c r="C37" i="10"/>
  <c r="D37" i="10" s="1"/>
  <c r="J37" i="10" s="1"/>
  <c r="C39" i="10"/>
  <c r="D39" i="10" s="1"/>
  <c r="J39" i="10" s="1"/>
  <c r="C40" i="10"/>
  <c r="D40" i="10" s="1"/>
  <c r="J40" i="10" s="1"/>
  <c r="C38" i="10"/>
  <c r="D38" i="10" s="1"/>
  <c r="J38" i="10" s="1"/>
  <c r="C41" i="10"/>
  <c r="D41" i="10" s="1"/>
  <c r="J41" i="10" s="1"/>
  <c r="Z86" i="11" l="1"/>
  <c r="Z92" i="11" l="1"/>
  <c r="E52" i="28"/>
  <c r="E88" i="11"/>
  <c r="H88" i="11"/>
  <c r="H87" i="11" s="1"/>
  <c r="AE88" i="11"/>
  <c r="J90" i="28"/>
  <c r="Z90" i="11"/>
  <c r="J90" i="11"/>
  <c r="Z84" i="11"/>
  <c r="Z82" i="11"/>
  <c r="G82" i="11" s="1"/>
  <c r="J92" i="28"/>
  <c r="J92" i="11"/>
  <c r="Z80" i="11"/>
  <c r="I88" i="11" l="1"/>
  <c r="J88" i="11" s="1"/>
  <c r="H86" i="11"/>
  <c r="H85" i="11" s="1"/>
  <c r="E86" i="11"/>
  <c r="AE86" i="11"/>
  <c r="J91" i="28" l="1"/>
  <c r="I86" i="11"/>
  <c r="J86" i="11" s="1"/>
  <c r="P88" i="11"/>
  <c r="H84" i="11" l="1"/>
  <c r="H83" i="11" s="1"/>
  <c r="J89" i="28"/>
  <c r="J88" i="28"/>
  <c r="I84" i="11"/>
  <c r="J84" i="11" s="1"/>
  <c r="P86" i="11"/>
  <c r="E84" i="11"/>
  <c r="AE84" i="11"/>
  <c r="AE82" i="11" l="1"/>
  <c r="E82" i="11"/>
  <c r="H82" i="11"/>
  <c r="H81" i="11" s="1"/>
  <c r="P84" i="11"/>
  <c r="J87" i="28" l="1"/>
  <c r="I82" i="11"/>
  <c r="J82" i="11" s="1"/>
  <c r="G80" i="11"/>
  <c r="J86" i="28"/>
  <c r="AE80" i="11" l="1"/>
  <c r="E80" i="11"/>
  <c r="H80" i="11"/>
  <c r="H79" i="11" s="1"/>
  <c r="P82" i="11"/>
  <c r="J85" i="28" l="1"/>
  <c r="I80" i="11"/>
  <c r="J80" i="11" s="1"/>
  <c r="J84" i="28"/>
  <c r="P80" i="11" l="1"/>
  <c r="J82" i="28"/>
  <c r="J83" i="28" l="1"/>
  <c r="J80" i="28" l="1"/>
  <c r="J81" i="28" l="1"/>
  <c r="Z78" i="11" l="1"/>
  <c r="G78" i="11" l="1"/>
  <c r="Z43" i="28" l="1"/>
  <c r="Z74" i="11"/>
  <c r="Z76" i="11"/>
  <c r="AE78" i="11"/>
  <c r="E78" i="11"/>
  <c r="H78" i="11"/>
  <c r="H77" i="11" s="1"/>
  <c r="J79" i="28" l="1"/>
  <c r="I78" i="11"/>
  <c r="J78" i="11" s="1"/>
  <c r="G76" i="11"/>
  <c r="J78" i="28" l="1"/>
  <c r="H76" i="11"/>
  <c r="H75" i="11" s="1"/>
  <c r="E76" i="11"/>
  <c r="AE76" i="11"/>
  <c r="P78" i="11"/>
  <c r="J77" i="28" l="1"/>
  <c r="J76" i="28"/>
  <c r="I76" i="11"/>
  <c r="J76" i="11" s="1"/>
  <c r="G74" i="11"/>
  <c r="H74" i="11" l="1"/>
  <c r="H73" i="11" s="1"/>
  <c r="I74" i="11"/>
  <c r="J74" i="11" s="1"/>
  <c r="P76" i="11"/>
  <c r="E74" i="11"/>
  <c r="AE74" i="11"/>
  <c r="J75" i="28" l="1"/>
  <c r="J74" i="28"/>
  <c r="P74" i="11"/>
  <c r="J72" i="28" l="1"/>
  <c r="J73" i="28" l="1"/>
  <c r="J70" i="28" l="1"/>
  <c r="J71" i="28" l="1"/>
  <c r="J68" i="28" l="1"/>
  <c r="J69" i="28" l="1"/>
  <c r="J66" i="28" l="1"/>
  <c r="J67" i="28" l="1"/>
  <c r="J64" i="28" l="1"/>
  <c r="J65" i="28" l="1"/>
  <c r="J62" i="28" l="1"/>
  <c r="J63" i="28" l="1"/>
  <c r="J60" i="28" l="1"/>
  <c r="J61" i="28" l="1"/>
  <c r="J58" i="28" l="1"/>
  <c r="J59" i="28" l="1"/>
  <c r="J56" i="28" l="1"/>
  <c r="J57" i="28" l="1"/>
  <c r="J54" i="28" l="1"/>
  <c r="J55" i="28" l="1"/>
  <c r="H52" i="28"/>
  <c r="I52" i="28" s="1"/>
  <c r="AE51" i="28" l="1"/>
  <c r="E51" i="28"/>
  <c r="H51" i="28"/>
  <c r="J53" i="28"/>
  <c r="I51" i="28" l="1"/>
  <c r="AE50" i="28" l="1"/>
  <c r="E50" i="28"/>
  <c r="H50" i="28"/>
  <c r="I50" i="28" s="1"/>
  <c r="J52" i="28"/>
  <c r="J51" i="28" l="1"/>
  <c r="AE49" i="28" l="1"/>
  <c r="E49" i="28"/>
  <c r="H49" i="28"/>
  <c r="I49" i="28" l="1"/>
  <c r="J50" i="28"/>
  <c r="AE48" i="28" l="1"/>
  <c r="E48" i="28"/>
  <c r="H48" i="28"/>
  <c r="I48" i="28" s="1"/>
  <c r="J49" i="28" l="1"/>
  <c r="AE47" i="28" l="1"/>
  <c r="E47" i="28"/>
  <c r="H47" i="28"/>
  <c r="I47" i="28" l="1"/>
  <c r="J48" i="28"/>
  <c r="AE46" i="28" l="1"/>
  <c r="E46" i="28"/>
  <c r="H46" i="28"/>
  <c r="I46" i="28" s="1"/>
  <c r="J47" i="28" l="1"/>
  <c r="AE45" i="28" l="1"/>
  <c r="E45" i="28"/>
  <c r="H45" i="28"/>
  <c r="I45" i="28" l="1"/>
  <c r="J46" i="28"/>
  <c r="AE44" i="28" l="1"/>
  <c r="E44" i="28"/>
  <c r="H44" i="28"/>
  <c r="I44" i="28" s="1"/>
  <c r="J45" i="28" l="1"/>
  <c r="AE43" i="28" l="1"/>
  <c r="E43" i="28"/>
  <c r="H43" i="28"/>
  <c r="I43" i="28" l="1"/>
  <c r="J44" i="28"/>
  <c r="J43" i="28" l="1"/>
  <c r="E12" i="28" l="1"/>
  <c r="CM46" i="1" l="1"/>
  <c r="CN46" i="1" l="1"/>
  <c r="CM48" i="1" l="1"/>
  <c r="CN48" i="1" s="1"/>
  <c r="CM47" i="1" l="1"/>
  <c r="CN47" i="1" s="1"/>
  <c r="CM49" i="1"/>
  <c r="CN49" i="1" s="1"/>
  <c r="CM50" i="1" l="1"/>
  <c r="CN50" i="1" s="1"/>
  <c r="CM51" i="1" l="1"/>
  <c r="CN51" i="1" s="1"/>
  <c r="CM52" i="1" l="1"/>
  <c r="CN52" i="1" s="1"/>
  <c r="CM53" i="1" l="1"/>
  <c r="CN53" i="1" s="1"/>
  <c r="CM54" i="1" l="1"/>
  <c r="CN54" i="1" s="1"/>
  <c r="CM55" i="1" l="1"/>
  <c r="CN55" i="1" s="1"/>
  <c r="Z88" i="11" l="1"/>
  <c r="E72" i="11" l="1"/>
  <c r="H72" i="11"/>
  <c r="AE72" i="11"/>
  <c r="I72" i="11" l="1"/>
  <c r="P72" i="11" l="1"/>
  <c r="J72" i="11"/>
  <c r="Z72" i="11"/>
  <c r="AF41" i="16" l="1"/>
  <c r="U41" i="16"/>
  <c r="U45" i="16" s="1"/>
  <c r="AF45" i="16" s="1"/>
  <c r="T72" i="11" l="1"/>
  <c r="AA72" i="11" s="1"/>
  <c r="T92" i="11"/>
  <c r="AA92" i="11" s="1"/>
  <c r="T74" i="11"/>
  <c r="AA74" i="11" s="1"/>
  <c r="T76" i="11"/>
  <c r="AA76" i="11" s="1"/>
  <c r="T78" i="11"/>
  <c r="AA78" i="11"/>
  <c r="T80" i="11"/>
  <c r="AA80" i="11" s="1"/>
  <c r="T82" i="11"/>
  <c r="AA82" i="11" s="1"/>
  <c r="T84" i="11"/>
  <c r="AA84" i="11"/>
  <c r="T86" i="11"/>
  <c r="AA86" i="11" s="1"/>
  <c r="T88" i="11"/>
  <c r="AA88" i="11" s="1"/>
  <c r="T90" i="11"/>
  <c r="AA90" i="11"/>
  <c r="CM45" i="1" l="1"/>
  <c r="CN45" i="1"/>
  <c r="CE45" i="1" l="1"/>
  <c r="E32" i="11" l="1"/>
  <c r="AE32" i="11"/>
  <c r="E34" i="11"/>
  <c r="AE34" i="11"/>
  <c r="E36" i="11"/>
  <c r="AE36" i="11"/>
  <c r="E38" i="11"/>
  <c r="AE38" i="11"/>
  <c r="E40" i="11"/>
  <c r="AE40" i="11"/>
  <c r="E42" i="11"/>
  <c r="AE42" i="11"/>
  <c r="E44" i="11"/>
  <c r="AE44" i="11"/>
  <c r="E46" i="11"/>
  <c r="AE46" i="11"/>
  <c r="CE44" i="1" l="1"/>
  <c r="BR55" i="1" l="1"/>
  <c r="BV55" i="1" s="1"/>
  <c r="BS55" i="1" l="1"/>
  <c r="CD55" i="1" s="1"/>
  <c r="BX55" i="1" l="1"/>
  <c r="BT55" i="1"/>
  <c r="D18" i="23"/>
  <c r="D29" i="23"/>
  <c r="D25" i="23" l="1"/>
  <c r="D32" i="23" s="1"/>
  <c r="BR50" i="1" l="1"/>
  <c r="BS50" i="1" s="1"/>
  <c r="CD50" i="1" s="1"/>
  <c r="BR51" i="1"/>
  <c r="BS51" i="1" s="1"/>
  <c r="CD51" i="1" s="1"/>
  <c r="BR52" i="1"/>
  <c r="BV52" i="1" s="1"/>
  <c r="BR53" i="1"/>
  <c r="BV53" i="1" s="1"/>
  <c r="BR54" i="1"/>
  <c r="BS54" i="1" s="1"/>
  <c r="CD54" i="1" s="1"/>
  <c r="BV54" i="1" l="1"/>
  <c r="BV50" i="1"/>
  <c r="BV51" i="1"/>
  <c r="BX51" i="1"/>
  <c r="BT51" i="1"/>
  <c r="BX50" i="1"/>
  <c r="BT50" i="1"/>
  <c r="BX54" i="1"/>
  <c r="BT54" i="1"/>
  <c r="BS52" i="1"/>
  <c r="CD52" i="1" s="1"/>
  <c r="BS53" i="1"/>
  <c r="CD53" i="1" s="1"/>
  <c r="BT53" i="1" l="1"/>
  <c r="BX53" i="1"/>
  <c r="BX52" i="1"/>
  <c r="BT52" i="1"/>
  <c r="N71" i="24"/>
  <c r="N73" i="24"/>
  <c r="N75" i="24"/>
  <c r="N77" i="24"/>
  <c r="N79" i="24"/>
  <c r="N81" i="24"/>
  <c r="N83" i="24"/>
  <c r="N85" i="24"/>
  <c r="N87" i="24"/>
  <c r="N89" i="24"/>
  <c r="N91" i="24"/>
  <c r="BV49" i="1" l="1"/>
  <c r="N72" i="24" l="1"/>
  <c r="N74" i="24"/>
  <c r="N76" i="24"/>
  <c r="N78" i="24"/>
  <c r="N80" i="24"/>
  <c r="N82" i="24"/>
  <c r="N84" i="24"/>
  <c r="N86" i="24"/>
  <c r="N88" i="24"/>
  <c r="N90" i="24"/>
  <c r="E48" i="11" l="1"/>
  <c r="AE48" i="11"/>
  <c r="E50" i="11"/>
  <c r="AE50" i="11"/>
  <c r="E52" i="11" l="1"/>
  <c r="AE52" i="11"/>
  <c r="E54" i="11"/>
  <c r="AE54" i="11"/>
  <c r="E56" i="11" l="1"/>
  <c r="AE56" i="11"/>
  <c r="E58" i="11"/>
  <c r="AE58" i="11"/>
  <c r="E60" i="11" l="1"/>
  <c r="AE60" i="11"/>
  <c r="E62" i="11" l="1"/>
  <c r="AE62" i="11"/>
  <c r="C49" i="6" l="1"/>
  <c r="B28" i="23" s="1"/>
  <c r="F28" i="23" s="1"/>
  <c r="G12" i="24"/>
  <c r="H12" i="26" s="1"/>
  <c r="M12" i="24"/>
  <c r="G14" i="24"/>
  <c r="H13" i="26" s="1"/>
  <c r="M14" i="24"/>
  <c r="G16" i="24"/>
  <c r="F16" i="24" s="1"/>
  <c r="M16" i="24"/>
  <c r="G18" i="24"/>
  <c r="M18" i="24"/>
  <c r="G20" i="24"/>
  <c r="M20" i="24"/>
  <c r="G22" i="24"/>
  <c r="X22" i="24" s="1"/>
  <c r="M22" i="24"/>
  <c r="G24" i="24"/>
  <c r="X24" i="24" s="1"/>
  <c r="M24" i="24"/>
  <c r="G26" i="24"/>
  <c r="H19" i="26" s="1"/>
  <c r="M26" i="24"/>
  <c r="G28" i="24"/>
  <c r="M28" i="24"/>
  <c r="G30" i="24"/>
  <c r="M30" i="24"/>
  <c r="G32" i="24"/>
  <c r="M32" i="24"/>
  <c r="G34" i="24"/>
  <c r="H23" i="26" s="1"/>
  <c r="M34" i="24"/>
  <c r="G36" i="24"/>
  <c r="M36" i="24"/>
  <c r="G38" i="24"/>
  <c r="M38" i="24"/>
  <c r="G40" i="24"/>
  <c r="M40" i="24"/>
  <c r="G42" i="24"/>
  <c r="M42" i="24"/>
  <c r="G44" i="24"/>
  <c r="H28" i="26" s="1"/>
  <c r="M44" i="24"/>
  <c r="G46" i="24"/>
  <c r="F46" i="24" s="1"/>
  <c r="M46" i="24"/>
  <c r="G48" i="24"/>
  <c r="M48" i="24"/>
  <c r="G50" i="24"/>
  <c r="M50" i="24"/>
  <c r="G52" i="24"/>
  <c r="M52" i="24"/>
  <c r="G54" i="24"/>
  <c r="H33" i="26" s="1"/>
  <c r="M54" i="24"/>
  <c r="G56" i="24"/>
  <c r="M56" i="24"/>
  <c r="G58" i="24"/>
  <c r="H35" i="26" s="1"/>
  <c r="M58" i="24"/>
  <c r="G60" i="24"/>
  <c r="F60" i="24" s="1"/>
  <c r="M60" i="24"/>
  <c r="G62" i="24"/>
  <c r="H37" i="26" s="1"/>
  <c r="M62" i="24"/>
  <c r="G64" i="24"/>
  <c r="F64" i="24" s="1"/>
  <c r="M64" i="24"/>
  <c r="G66" i="24"/>
  <c r="M66" i="24"/>
  <c r="G68" i="24"/>
  <c r="X68" i="24" s="1"/>
  <c r="M68" i="24"/>
  <c r="G70" i="24"/>
  <c r="L70" i="24"/>
  <c r="M70" i="24"/>
  <c r="BW18" i="1"/>
  <c r="BW59" i="1" s="1"/>
  <c r="B16" i="23" s="1"/>
  <c r="F16" i="23" s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32" i="1"/>
  <c r="BV33" i="1"/>
  <c r="BV34" i="1"/>
  <c r="BV35" i="1"/>
  <c r="BV36" i="1"/>
  <c r="BV37" i="1"/>
  <c r="BV38" i="1"/>
  <c r="BV39" i="1"/>
  <c r="BV40" i="1"/>
  <c r="BV41" i="1"/>
  <c r="BV42" i="1"/>
  <c r="BV44" i="1"/>
  <c r="BV45" i="1"/>
  <c r="BV46" i="1"/>
  <c r="BV47" i="1"/>
  <c r="B45" i="23" l="1"/>
  <c r="X12" i="24"/>
  <c r="H22" i="26"/>
  <c r="H20" i="26"/>
  <c r="H39" i="26"/>
  <c r="H26" i="26"/>
  <c r="H24" i="26"/>
  <c r="H16" i="26"/>
  <c r="H41" i="26"/>
  <c r="H21" i="26"/>
  <c r="X36" i="24"/>
  <c r="X20" i="24"/>
  <c r="X60" i="24"/>
  <c r="X66" i="24"/>
  <c r="X46" i="24"/>
  <c r="X28" i="24"/>
  <c r="X70" i="24"/>
  <c r="H70" i="24"/>
  <c r="F70" i="24"/>
  <c r="X32" i="24"/>
  <c r="X16" i="24"/>
  <c r="X26" i="24"/>
  <c r="X44" i="24"/>
  <c r="X30" i="24"/>
  <c r="F20" i="24"/>
  <c r="X58" i="24"/>
  <c r="X14" i="24"/>
  <c r="F28" i="24"/>
  <c r="F58" i="24"/>
  <c r="F14" i="24"/>
  <c r="F32" i="24"/>
  <c r="F30" i="24"/>
  <c r="F54" i="24"/>
  <c r="F66" i="24"/>
  <c r="F36" i="24"/>
  <c r="F24" i="24"/>
  <c r="F12" i="24"/>
  <c r="F44" i="24"/>
  <c r="X18" i="24"/>
  <c r="H15" i="26"/>
  <c r="G96" i="24"/>
  <c r="B39" i="23"/>
  <c r="F39" i="23" s="1"/>
  <c r="B40" i="23"/>
  <c r="F40" i="23" s="1"/>
  <c r="F18" i="24"/>
  <c r="H40" i="26"/>
  <c r="F68" i="24"/>
  <c r="H30" i="26"/>
  <c r="X48" i="24"/>
  <c r="F48" i="24"/>
  <c r="X40" i="24"/>
  <c r="F62" i="24"/>
  <c r="F34" i="24"/>
  <c r="X50" i="24"/>
  <c r="H31" i="26"/>
  <c r="F50" i="24"/>
  <c r="X64" i="24"/>
  <c r="H38" i="26"/>
  <c r="H34" i="26"/>
  <c r="F56" i="24"/>
  <c r="F40" i="24"/>
  <c r="F26" i="24"/>
  <c r="H29" i="26"/>
  <c r="X54" i="24"/>
  <c r="F22" i="24"/>
  <c r="H17" i="26"/>
  <c r="X52" i="24"/>
  <c r="H32" i="26"/>
  <c r="F52" i="24"/>
  <c r="X62" i="24"/>
  <c r="X34" i="24"/>
  <c r="H36" i="26"/>
  <c r="H27" i="26"/>
  <c r="X42" i="24"/>
  <c r="X38" i="24"/>
  <c r="H25" i="26"/>
  <c r="X56" i="24"/>
  <c r="F42" i="24"/>
  <c r="F38" i="24"/>
  <c r="H18" i="26"/>
  <c r="H14" i="26"/>
  <c r="H69" i="24" l="1"/>
  <c r="I70" i="24"/>
  <c r="J71" i="24" s="1"/>
  <c r="K70" i="24"/>
  <c r="F96" i="24"/>
  <c r="AE11" i="24" s="1"/>
  <c r="P24" i="24"/>
  <c r="P43" i="24"/>
  <c r="P64" i="24"/>
  <c r="P76" i="24"/>
  <c r="P21" i="24"/>
  <c r="P29" i="24"/>
  <c r="P50" i="24"/>
  <c r="P69" i="24"/>
  <c r="P77" i="24"/>
  <c r="P12" i="24"/>
  <c r="P36" i="24"/>
  <c r="P55" i="24"/>
  <c r="P78" i="24"/>
  <c r="P14" i="24"/>
  <c r="P17" i="24"/>
  <c r="P41" i="24"/>
  <c r="P62" i="24"/>
  <c r="P79" i="24"/>
  <c r="P20" i="24"/>
  <c r="P19" i="24"/>
  <c r="P35" i="24"/>
  <c r="P15" i="24"/>
  <c r="P28" i="24"/>
  <c r="P47" i="24"/>
  <c r="P33" i="24"/>
  <c r="P59" i="24"/>
  <c r="P70" i="24"/>
  <c r="P34" i="24"/>
  <c r="P44" i="24"/>
  <c r="P65" i="24"/>
  <c r="P18" i="24"/>
  <c r="P31" i="24"/>
  <c r="P51" i="24"/>
  <c r="P71" i="24"/>
  <c r="P48" i="24"/>
  <c r="P68" i="24"/>
  <c r="P72" i="24"/>
  <c r="P54" i="24"/>
  <c r="P57" i="24"/>
  <c r="P73" i="24"/>
  <c r="P38" i="24"/>
  <c r="P45" i="24"/>
  <c r="P13" i="24"/>
  <c r="P60" i="24"/>
  <c r="P75" i="24"/>
  <c r="P16" i="24"/>
  <c r="P25" i="24"/>
  <c r="P42" i="24"/>
  <c r="P63" i="24"/>
  <c r="P80" i="24"/>
  <c r="P39" i="24"/>
  <c r="P32" i="24"/>
  <c r="P82" i="24"/>
  <c r="P22" i="24"/>
  <c r="P49" i="24"/>
  <c r="P46" i="24"/>
  <c r="P52" i="24"/>
  <c r="P84" i="24"/>
  <c r="B12" i="23"/>
  <c r="P58" i="24"/>
  <c r="P85" i="24"/>
  <c r="P61" i="24"/>
  <c r="P67" i="24"/>
  <c r="P86" i="24"/>
  <c r="P26" i="24"/>
  <c r="P53" i="24"/>
  <c r="P87" i="24"/>
  <c r="P40" i="24"/>
  <c r="P89" i="24"/>
  <c r="P11" i="24"/>
  <c r="P27" i="24"/>
  <c r="P56" i="24"/>
  <c r="P90" i="24"/>
  <c r="P30" i="24"/>
  <c r="P23" i="24"/>
  <c r="P74" i="24"/>
  <c r="P81" i="24"/>
  <c r="P83" i="24"/>
  <c r="P66" i="24"/>
  <c r="P88" i="24"/>
  <c r="P91" i="24"/>
  <c r="P37" i="24"/>
  <c r="X96" i="24"/>
  <c r="B50" i="23" s="1"/>
  <c r="N70" i="24" l="1"/>
  <c r="O71" i="24" s="1"/>
  <c r="U71" i="24" s="1"/>
  <c r="I69" i="24"/>
  <c r="K69" i="24"/>
  <c r="H68" i="24"/>
  <c r="AE22" i="24"/>
  <c r="AE18" i="24"/>
  <c r="AE20" i="24"/>
  <c r="AE16" i="24"/>
  <c r="AE19" i="24"/>
  <c r="AE15" i="24"/>
  <c r="AE21" i="24"/>
  <c r="AE13" i="24"/>
  <c r="AE17" i="24"/>
  <c r="AE14" i="24"/>
  <c r="A4" i="24"/>
  <c r="B29" i="23"/>
  <c r="F29" i="23" s="1"/>
  <c r="F12" i="23"/>
  <c r="BR10" i="1"/>
  <c r="I68" i="24" l="1"/>
  <c r="J69" i="24" s="1"/>
  <c r="K68" i="24"/>
  <c r="N68" i="24" s="1"/>
  <c r="O69" i="24" s="1"/>
  <c r="U69" i="24" s="1"/>
  <c r="H67" i="24"/>
  <c r="N69" i="24"/>
  <c r="O70" i="24" s="1"/>
  <c r="J70" i="24"/>
  <c r="BR49" i="1" l="1"/>
  <c r="BS49" i="1" s="1"/>
  <c r="BV48" i="1"/>
  <c r="U70" i="24"/>
  <c r="I67" i="24"/>
  <c r="H66" i="24"/>
  <c r="K67" i="24"/>
  <c r="CD49" i="1" l="1"/>
  <c r="BX49" i="1"/>
  <c r="BT49" i="1"/>
  <c r="H65" i="24"/>
  <c r="K66" i="24"/>
  <c r="I66" i="24"/>
  <c r="J67" i="24" s="1"/>
  <c r="N67" i="24"/>
  <c r="O68" i="24" s="1"/>
  <c r="J68" i="24"/>
  <c r="BR48" i="1" l="1"/>
  <c r="BS48" i="1" s="1"/>
  <c r="U68" i="24"/>
  <c r="N66" i="24"/>
  <c r="O67" i="24" s="1"/>
  <c r="U67" i="24" s="1"/>
  <c r="K65" i="24"/>
  <c r="I65" i="24"/>
  <c r="H64" i="24"/>
  <c r="CD48" i="1" l="1"/>
  <c r="BX48" i="1"/>
  <c r="BT48" i="1"/>
  <c r="H63" i="24"/>
  <c r="I64" i="24"/>
  <c r="J65" i="24" s="1"/>
  <c r="K64" i="24"/>
  <c r="N65" i="24"/>
  <c r="O66" i="24" s="1"/>
  <c r="J66" i="24"/>
  <c r="BR47" i="1" l="1"/>
  <c r="BS47" i="1" s="1"/>
  <c r="N64" i="24"/>
  <c r="O65" i="24" s="1"/>
  <c r="U65" i="24" s="1"/>
  <c r="U66" i="24"/>
  <c r="K63" i="24"/>
  <c r="I63" i="24"/>
  <c r="H62" i="24"/>
  <c r="BX47" i="1" l="1"/>
  <c r="CD47" i="1"/>
  <c r="BT47" i="1"/>
  <c r="K62" i="24"/>
  <c r="I62" i="24"/>
  <c r="J63" i="24" s="1"/>
  <c r="H61" i="24"/>
  <c r="J64" i="24"/>
  <c r="N63" i="24"/>
  <c r="O64" i="24" s="1"/>
  <c r="BR46" i="1" l="1"/>
  <c r="BS46" i="1" s="1"/>
  <c r="U64" i="24"/>
  <c r="H60" i="24"/>
  <c r="I61" i="24"/>
  <c r="K61" i="24"/>
  <c r="N62" i="24"/>
  <c r="O63" i="24" s="1"/>
  <c r="U63" i="24" s="1"/>
  <c r="BX46" i="1" l="1"/>
  <c r="CD46" i="1"/>
  <c r="BT46" i="1"/>
  <c r="I60" i="24"/>
  <c r="J61" i="24" s="1"/>
  <c r="K60" i="24"/>
  <c r="H59" i="24"/>
  <c r="N61" i="24"/>
  <c r="O62" i="24" s="1"/>
  <c r="J62" i="24"/>
  <c r="BR45" i="1" l="1"/>
  <c r="BS45" i="1" s="1"/>
  <c r="U62" i="24"/>
  <c r="H58" i="24"/>
  <c r="K59" i="24"/>
  <c r="I59" i="24"/>
  <c r="N60" i="24"/>
  <c r="O61" i="24" s="1"/>
  <c r="U61" i="24" s="1"/>
  <c r="CD45" i="1" l="1"/>
  <c r="BT45" i="1"/>
  <c r="BX45" i="1"/>
  <c r="H57" i="24"/>
  <c r="I58" i="24"/>
  <c r="J59" i="24" s="1"/>
  <c r="K58" i="24"/>
  <c r="N59" i="24"/>
  <c r="O60" i="24" s="1"/>
  <c r="J60" i="24"/>
  <c r="BR44" i="1" l="1"/>
  <c r="BS44" i="1" s="1"/>
  <c r="U60" i="24"/>
  <c r="N58" i="24"/>
  <c r="O59" i="24" s="1"/>
  <c r="U59" i="24" s="1"/>
  <c r="I57" i="24"/>
  <c r="K57" i="24"/>
  <c r="H56" i="24"/>
  <c r="BX44" i="1" l="1"/>
  <c r="CD44" i="1"/>
  <c r="BT44" i="1"/>
  <c r="H55" i="24"/>
  <c r="I56" i="24"/>
  <c r="J57" i="24" s="1"/>
  <c r="K56" i="24"/>
  <c r="N57" i="24"/>
  <c r="O58" i="24" s="1"/>
  <c r="J58" i="24"/>
  <c r="BR43" i="1" l="1"/>
  <c r="U58" i="24"/>
  <c r="N56" i="24"/>
  <c r="O57" i="24" s="1"/>
  <c r="U57" i="24" s="1"/>
  <c r="K55" i="24"/>
  <c r="I55" i="24"/>
  <c r="H54" i="24"/>
  <c r="H53" i="24" l="1"/>
  <c r="K54" i="24"/>
  <c r="I54" i="24"/>
  <c r="J55" i="24" s="1"/>
  <c r="N55" i="24"/>
  <c r="O56" i="24" s="1"/>
  <c r="J56" i="24"/>
  <c r="BR42" i="1" l="1"/>
  <c r="U56" i="24"/>
  <c r="N54" i="24"/>
  <c r="O55" i="24" s="1"/>
  <c r="U55" i="24" s="1"/>
  <c r="I53" i="24"/>
  <c r="H52" i="24"/>
  <c r="K53" i="24"/>
  <c r="K52" i="24" l="1"/>
  <c r="H51" i="24"/>
  <c r="I52" i="24"/>
  <c r="J53" i="24" s="1"/>
  <c r="J54" i="24"/>
  <c r="N53" i="24"/>
  <c r="O54" i="24" s="1"/>
  <c r="BR41" i="1" l="1"/>
  <c r="U54" i="24"/>
  <c r="N52" i="24"/>
  <c r="O53" i="24" s="1"/>
  <c r="U53" i="24" s="1"/>
  <c r="H50" i="24"/>
  <c r="I51" i="24"/>
  <c r="K51" i="24"/>
  <c r="N51" i="24" l="1"/>
  <c r="O52" i="24" s="1"/>
  <c r="J52" i="24"/>
  <c r="H49" i="24"/>
  <c r="I50" i="24"/>
  <c r="J51" i="24" s="1"/>
  <c r="K50" i="24"/>
  <c r="BR40" i="1" l="1"/>
  <c r="H48" i="24"/>
  <c r="I49" i="24"/>
  <c r="K49" i="24"/>
  <c r="N50" i="24"/>
  <c r="O51" i="24" s="1"/>
  <c r="U51" i="24" s="1"/>
  <c r="U52" i="24"/>
  <c r="J50" i="24" l="1"/>
  <c r="N49" i="24"/>
  <c r="O50" i="24" s="1"/>
  <c r="K48" i="24"/>
  <c r="H47" i="24"/>
  <c r="I48" i="24"/>
  <c r="J49" i="24" s="1"/>
  <c r="BR39" i="1" l="1"/>
  <c r="N48" i="24"/>
  <c r="O49" i="24" s="1"/>
  <c r="U49" i="24" s="1"/>
  <c r="H46" i="24"/>
  <c r="K47" i="24"/>
  <c r="I47" i="24"/>
  <c r="U50" i="24"/>
  <c r="N47" i="24" l="1"/>
  <c r="O48" i="24" s="1"/>
  <c r="J48" i="24"/>
  <c r="H45" i="24"/>
  <c r="K46" i="24"/>
  <c r="I46" i="24"/>
  <c r="J47" i="24" s="1"/>
  <c r="BR38" i="1" l="1"/>
  <c r="N46" i="24"/>
  <c r="O47" i="24" s="1"/>
  <c r="U47" i="24" s="1"/>
  <c r="I45" i="24"/>
  <c r="H44" i="24"/>
  <c r="K45" i="24"/>
  <c r="U48" i="24"/>
  <c r="H43" i="24" l="1"/>
  <c r="I44" i="24"/>
  <c r="J45" i="24" s="1"/>
  <c r="K44" i="24"/>
  <c r="J46" i="24"/>
  <c r="N45" i="24"/>
  <c r="O46" i="24" s="1"/>
  <c r="BR37" i="1" l="1"/>
  <c r="U46" i="24"/>
  <c r="N44" i="24"/>
  <c r="O45" i="24" s="1"/>
  <c r="U45" i="24" s="1"/>
  <c r="H42" i="24"/>
  <c r="I43" i="24"/>
  <c r="K43" i="24"/>
  <c r="I42" i="24" l="1"/>
  <c r="J43" i="24" s="1"/>
  <c r="K42" i="24"/>
  <c r="H41" i="24"/>
  <c r="N43" i="24"/>
  <c r="O44" i="24" s="1"/>
  <c r="J44" i="24"/>
  <c r="BR36" i="1" l="1"/>
  <c r="U44" i="24"/>
  <c r="I41" i="24"/>
  <c r="K41" i="24"/>
  <c r="H40" i="24"/>
  <c r="N42" i="24"/>
  <c r="O43" i="24" s="1"/>
  <c r="U43" i="24" s="1"/>
  <c r="N41" i="24" l="1"/>
  <c r="O42" i="24" s="1"/>
  <c r="J42" i="24"/>
  <c r="H39" i="24"/>
  <c r="K40" i="24"/>
  <c r="I40" i="24"/>
  <c r="J41" i="24" s="1"/>
  <c r="BR35" i="1" l="1"/>
  <c r="N40" i="24"/>
  <c r="O41" i="24" s="1"/>
  <c r="U41" i="24" s="1"/>
  <c r="I39" i="24"/>
  <c r="H38" i="24"/>
  <c r="K39" i="24"/>
  <c r="U42" i="24"/>
  <c r="K38" i="24" l="1"/>
  <c r="I38" i="24"/>
  <c r="J39" i="24" s="1"/>
  <c r="H37" i="24"/>
  <c r="N39" i="24"/>
  <c r="O40" i="24" s="1"/>
  <c r="J40" i="24"/>
  <c r="BR34" i="1" l="1"/>
  <c r="U40" i="24"/>
  <c r="K37" i="24"/>
  <c r="I37" i="24"/>
  <c r="H36" i="24"/>
  <c r="N38" i="24"/>
  <c r="O39" i="24" s="1"/>
  <c r="U39" i="24" s="1"/>
  <c r="H35" i="24" l="1"/>
  <c r="I36" i="24"/>
  <c r="J37" i="24" s="1"/>
  <c r="K36" i="24"/>
  <c r="N37" i="24"/>
  <c r="O38" i="24" s="1"/>
  <c r="J38" i="24"/>
  <c r="BR33" i="1" l="1"/>
  <c r="U38" i="24"/>
  <c r="N36" i="24"/>
  <c r="O37" i="24" s="1"/>
  <c r="U37" i="24" s="1"/>
  <c r="K35" i="24"/>
  <c r="I35" i="24"/>
  <c r="H34" i="24"/>
  <c r="N35" i="24" l="1"/>
  <c r="O36" i="24" s="1"/>
  <c r="J36" i="24"/>
  <c r="K34" i="24"/>
  <c r="H33" i="24"/>
  <c r="I34" i="24"/>
  <c r="J35" i="24" s="1"/>
  <c r="BR32" i="1" l="1"/>
  <c r="H32" i="24"/>
  <c r="I33" i="24"/>
  <c r="K33" i="24"/>
  <c r="N34" i="24"/>
  <c r="O35" i="24" s="1"/>
  <c r="U35" i="24" s="1"/>
  <c r="U36" i="24"/>
  <c r="N33" i="24" l="1"/>
  <c r="O34" i="24" s="1"/>
  <c r="J34" i="24"/>
  <c r="I32" i="24"/>
  <c r="J33" i="24" s="1"/>
  <c r="H31" i="24"/>
  <c r="K32" i="24"/>
  <c r="BR31" i="1" l="1"/>
  <c r="K31" i="24"/>
  <c r="I31" i="24"/>
  <c r="H30" i="24"/>
  <c r="N32" i="24"/>
  <c r="O33" i="24" s="1"/>
  <c r="U33" i="24" s="1"/>
  <c r="U34" i="24"/>
  <c r="I30" i="24" l="1"/>
  <c r="J31" i="24" s="1"/>
  <c r="K30" i="24"/>
  <c r="H29" i="24"/>
  <c r="J32" i="24"/>
  <c r="N31" i="24"/>
  <c r="O32" i="24" s="1"/>
  <c r="BR30" i="1" l="1"/>
  <c r="U32" i="24"/>
  <c r="H28" i="24"/>
  <c r="I29" i="24"/>
  <c r="K29" i="24"/>
  <c r="N30" i="24"/>
  <c r="O31" i="24" s="1"/>
  <c r="U31" i="24" s="1"/>
  <c r="H27" i="24" l="1"/>
  <c r="I28" i="24"/>
  <c r="J29" i="24" s="1"/>
  <c r="K28" i="24"/>
  <c r="N29" i="24"/>
  <c r="O30" i="24" s="1"/>
  <c r="J30" i="24"/>
  <c r="BR29" i="1" l="1"/>
  <c r="U30" i="24"/>
  <c r="N28" i="24"/>
  <c r="O29" i="24" s="1"/>
  <c r="U29" i="24" s="1"/>
  <c r="I27" i="24"/>
  <c r="H26" i="24"/>
  <c r="K27" i="24"/>
  <c r="H25" i="24" l="1"/>
  <c r="K26" i="24"/>
  <c r="I26" i="24"/>
  <c r="J27" i="24" s="1"/>
  <c r="N27" i="24"/>
  <c r="O28" i="24" s="1"/>
  <c r="J28" i="24"/>
  <c r="BR28" i="1" l="1"/>
  <c r="U28" i="24"/>
  <c r="N26" i="24"/>
  <c r="O27" i="24" s="1"/>
  <c r="U27" i="24" s="1"/>
  <c r="H24" i="24"/>
  <c r="I25" i="24"/>
  <c r="K25" i="24"/>
  <c r="J26" i="24" l="1"/>
  <c r="N25" i="24"/>
  <c r="O26" i="24" s="1"/>
  <c r="I24" i="24"/>
  <c r="J25" i="24" s="1"/>
  <c r="H23" i="24"/>
  <c r="K24" i="24"/>
  <c r="BR27" i="1" l="1"/>
  <c r="U26" i="24"/>
  <c r="K23" i="24"/>
  <c r="I23" i="24"/>
  <c r="H22" i="24"/>
  <c r="N24" i="24"/>
  <c r="O25" i="24" s="1"/>
  <c r="U25" i="24" s="1"/>
  <c r="N23" i="24" l="1"/>
  <c r="O24" i="24" s="1"/>
  <c r="J24" i="24"/>
  <c r="K22" i="24"/>
  <c r="H21" i="24"/>
  <c r="I22" i="24"/>
  <c r="J23" i="24" s="1"/>
  <c r="BR26" i="1" l="1"/>
  <c r="N22" i="24"/>
  <c r="O23" i="24" s="1"/>
  <c r="U23" i="24" s="1"/>
  <c r="H20" i="24"/>
  <c r="I21" i="24"/>
  <c r="K21" i="24"/>
  <c r="U24" i="24"/>
  <c r="N21" i="24" l="1"/>
  <c r="O22" i="24" s="1"/>
  <c r="J22" i="24"/>
  <c r="K20" i="24"/>
  <c r="I20" i="24"/>
  <c r="J21" i="24" s="1"/>
  <c r="H19" i="24"/>
  <c r="BR25" i="1" l="1"/>
  <c r="N20" i="24"/>
  <c r="O21" i="24" s="1"/>
  <c r="U21" i="24" s="1"/>
  <c r="K19" i="24"/>
  <c r="I19" i="24"/>
  <c r="H18" i="24"/>
  <c r="U22" i="24"/>
  <c r="K18" i="24" l="1"/>
  <c r="I18" i="24"/>
  <c r="J19" i="24" s="1"/>
  <c r="H17" i="24"/>
  <c r="J20" i="24"/>
  <c r="N19" i="24"/>
  <c r="O20" i="24" s="1"/>
  <c r="BR24" i="1" l="1"/>
  <c r="U20" i="24"/>
  <c r="K17" i="24"/>
  <c r="I17" i="24"/>
  <c r="H16" i="24"/>
  <c r="N18" i="24"/>
  <c r="O19" i="24" s="1"/>
  <c r="U19" i="24" s="1"/>
  <c r="K16" i="24" l="1"/>
  <c r="I16" i="24"/>
  <c r="J17" i="24" s="1"/>
  <c r="H15" i="24"/>
  <c r="J18" i="24"/>
  <c r="N17" i="24"/>
  <c r="O18" i="24" s="1"/>
  <c r="BR23" i="1" l="1"/>
  <c r="U18" i="24"/>
  <c r="H14" i="24"/>
  <c r="I15" i="24"/>
  <c r="K15" i="24"/>
  <c r="N16" i="24"/>
  <c r="O17" i="24" s="1"/>
  <c r="U17" i="24" s="1"/>
  <c r="N15" i="24" l="1"/>
  <c r="O16" i="24" s="1"/>
  <c r="J16" i="24"/>
  <c r="I14" i="24"/>
  <c r="J15" i="24" s="1"/>
  <c r="K14" i="24"/>
  <c r="H13" i="24"/>
  <c r="BR22" i="1" l="1"/>
  <c r="I13" i="24"/>
  <c r="K13" i="24"/>
  <c r="H12" i="24"/>
  <c r="N14" i="24"/>
  <c r="O15" i="24" s="1"/>
  <c r="U15" i="24" s="1"/>
  <c r="U16" i="24"/>
  <c r="H11" i="24" l="1"/>
  <c r="K12" i="24"/>
  <c r="K96" i="24" s="1"/>
  <c r="I12" i="24"/>
  <c r="J13" i="24" s="1"/>
  <c r="N13" i="24"/>
  <c r="O14" i="24" s="1"/>
  <c r="J14" i="24"/>
  <c r="BR21" i="1" l="1"/>
  <c r="U14" i="24"/>
  <c r="N12" i="24"/>
  <c r="O13" i="24" s="1"/>
  <c r="U13" i="24" s="1"/>
  <c r="H96" i="24"/>
  <c r="I11" i="24"/>
  <c r="J11" i="24" s="1"/>
  <c r="AC14" i="24" l="1"/>
  <c r="AH13" i="24"/>
  <c r="J12" i="24"/>
  <c r="I96" i="24"/>
  <c r="AC13" i="24"/>
  <c r="AH14" i="24"/>
  <c r="N11" i="24"/>
  <c r="O11" i="24" s="1"/>
  <c r="BR17" i="1" s="1"/>
  <c r="N96" i="24" l="1"/>
  <c r="O12" i="24"/>
  <c r="J96" i="24"/>
  <c r="C51" i="6"/>
  <c r="BR19" i="1" l="1"/>
  <c r="BR20" i="1"/>
  <c r="U12" i="24"/>
  <c r="O96" i="24"/>
  <c r="B55" i="23" s="1"/>
  <c r="B54" i="23"/>
  <c r="BR18" i="1"/>
  <c r="E64" i="11"/>
  <c r="AE64" i="11"/>
  <c r="BR59" i="1" l="1"/>
  <c r="X12" i="9" l="1"/>
  <c r="E7" i="26"/>
  <c r="F12" i="9"/>
  <c r="E8" i="26" l="1"/>
  <c r="F14" i="9"/>
  <c r="X14" i="9"/>
  <c r="E66" i="11" l="1"/>
  <c r="AE66" i="11"/>
  <c r="E68" i="11"/>
  <c r="AE68" i="11"/>
  <c r="Z12" i="28" l="1"/>
  <c r="Z12" i="11"/>
  <c r="CQ14" i="1"/>
  <c r="CR43" i="1"/>
  <c r="CM44" i="1"/>
  <c r="CN44" i="1"/>
  <c r="CT15" i="1" l="1"/>
  <c r="CS15" i="1"/>
  <c r="CT14" i="1"/>
  <c r="CS14" i="1"/>
  <c r="L68" i="9" l="1"/>
  <c r="G36" i="26" l="1"/>
  <c r="E41" i="28"/>
  <c r="AE41" i="28"/>
  <c r="CR42" i="1"/>
  <c r="G33" i="26" l="1"/>
  <c r="G34" i="26"/>
  <c r="G35" i="26"/>
  <c r="E38" i="28"/>
  <c r="AE38" i="28"/>
  <c r="E39" i="28"/>
  <c r="AE39" i="28"/>
  <c r="E40" i="28"/>
  <c r="AE40" i="28"/>
  <c r="CR39" i="1"/>
  <c r="CR40" i="1"/>
  <c r="CR41" i="1"/>
  <c r="G10" i="26" l="1"/>
  <c r="G11" i="26"/>
  <c r="E15" i="28"/>
  <c r="AE15" i="28"/>
  <c r="E16" i="28"/>
  <c r="AE16" i="28"/>
  <c r="CR16" i="1"/>
  <c r="CS16" i="1" s="1"/>
  <c r="CR17" i="1"/>
  <c r="CT17" i="1" l="1"/>
  <c r="CT16" i="1"/>
  <c r="CS17" i="1"/>
  <c r="G12" i="26" l="1"/>
  <c r="E17" i="28"/>
  <c r="AE17" i="28"/>
  <c r="CR18" i="1"/>
  <c r="CT18" i="1" s="1"/>
  <c r="CS18" i="1" l="1"/>
  <c r="X16" i="9" l="1"/>
  <c r="G13" i="26"/>
  <c r="E18" i="28"/>
  <c r="AE18" i="28"/>
  <c r="CR19" i="1"/>
  <c r="CS19" i="1" s="1"/>
  <c r="G14" i="26"/>
  <c r="E19" i="28"/>
  <c r="AE19" i="28"/>
  <c r="CR20" i="1"/>
  <c r="CT20" i="1" l="1"/>
  <c r="F16" i="9"/>
  <c r="E9" i="26"/>
  <c r="CS20" i="1"/>
  <c r="CT19" i="1"/>
  <c r="G15" i="26"/>
  <c r="E20" i="28"/>
  <c r="AE20" i="28"/>
  <c r="CR21" i="1"/>
  <c r="CT21" i="1" s="1"/>
  <c r="CS21" i="1" l="1"/>
  <c r="J12" i="9" l="1"/>
  <c r="O12" i="9"/>
  <c r="U12" i="9" s="1"/>
  <c r="J14" i="9"/>
  <c r="O14" i="9"/>
  <c r="U14" i="9" s="1"/>
  <c r="J16" i="9"/>
  <c r="O16" i="9"/>
  <c r="U16" i="9" s="1"/>
  <c r="X18" i="9"/>
  <c r="J18" i="9"/>
  <c r="O18" i="9"/>
  <c r="U18" i="9"/>
  <c r="F20" i="9"/>
  <c r="J20" i="9"/>
  <c r="O20" i="9"/>
  <c r="U20" i="9" s="1"/>
  <c r="X22" i="9"/>
  <c r="J22" i="9"/>
  <c r="O22" i="9"/>
  <c r="U22" i="9" s="1"/>
  <c r="J24" i="9"/>
  <c r="O24" i="9"/>
  <c r="U24" i="9" s="1"/>
  <c r="X26" i="9"/>
  <c r="J26" i="9"/>
  <c r="O26" i="9"/>
  <c r="U26" i="9"/>
  <c r="X28" i="9"/>
  <c r="J28" i="9"/>
  <c r="O28" i="9"/>
  <c r="U28" i="9"/>
  <c r="X30" i="9"/>
  <c r="J30" i="9"/>
  <c r="O30" i="9"/>
  <c r="U30" i="9" s="1"/>
  <c r="F32" i="9"/>
  <c r="J32" i="9"/>
  <c r="O32" i="9"/>
  <c r="U32" i="9" s="1"/>
  <c r="F34" i="9"/>
  <c r="J34" i="9"/>
  <c r="O34" i="9"/>
  <c r="U34" i="9" s="1"/>
  <c r="F36" i="9"/>
  <c r="J36" i="9"/>
  <c r="O36" i="9"/>
  <c r="U36" i="9" s="1"/>
  <c r="J38" i="9"/>
  <c r="O38" i="9"/>
  <c r="U38" i="9" s="1"/>
  <c r="X40" i="9"/>
  <c r="J40" i="9"/>
  <c r="O40" i="9"/>
  <c r="U40" i="9"/>
  <c r="J42" i="9"/>
  <c r="O42" i="9"/>
  <c r="U42" i="9" s="1"/>
  <c r="F44" i="9"/>
  <c r="J44" i="9"/>
  <c r="O44" i="9"/>
  <c r="U44" i="9"/>
  <c r="F46" i="9"/>
  <c r="J46" i="9"/>
  <c r="O46" i="9"/>
  <c r="U46" i="9" s="1"/>
  <c r="F48" i="9"/>
  <c r="J48" i="9"/>
  <c r="O48" i="9"/>
  <c r="U48" i="9" s="1"/>
  <c r="F50" i="9"/>
  <c r="J50" i="9"/>
  <c r="O50" i="9"/>
  <c r="U50" i="9" s="1"/>
  <c r="X52" i="9"/>
  <c r="J52" i="9"/>
  <c r="O52" i="9"/>
  <c r="U52" i="9"/>
  <c r="J54" i="9"/>
  <c r="O54" i="9"/>
  <c r="U54" i="9" s="1"/>
  <c r="X56" i="9"/>
  <c r="J56" i="9"/>
  <c r="O56" i="9"/>
  <c r="U56" i="9" s="1"/>
  <c r="F58" i="9"/>
  <c r="J58" i="9"/>
  <c r="O58" i="9"/>
  <c r="U58" i="9"/>
  <c r="F60" i="9"/>
  <c r="J60" i="9"/>
  <c r="O60" i="9"/>
  <c r="U60" i="9" s="1"/>
  <c r="X62" i="9"/>
  <c r="J62" i="9"/>
  <c r="O62" i="9"/>
  <c r="U62" i="9" s="1"/>
  <c r="F64" i="9"/>
  <c r="J64" i="9"/>
  <c r="O64" i="9"/>
  <c r="U64" i="9" s="1"/>
  <c r="F66" i="9"/>
  <c r="J66" i="9"/>
  <c r="O66" i="9"/>
  <c r="U66" i="9" s="1"/>
  <c r="X68" i="9"/>
  <c r="J68" i="9"/>
  <c r="O68" i="9"/>
  <c r="U68" i="9"/>
  <c r="X70" i="9"/>
  <c r="J70" i="9"/>
  <c r="L70" i="9"/>
  <c r="O70" i="9" s="1"/>
  <c r="U70" i="9" s="1"/>
  <c r="X60" i="9" l="1"/>
  <c r="X48" i="9"/>
  <c r="X58" i="9"/>
  <c r="X50" i="9"/>
  <c r="X36" i="9"/>
  <c r="X32" i="9"/>
  <c r="X66" i="9"/>
  <c r="F62" i="9"/>
  <c r="F22" i="9"/>
  <c r="F68" i="9"/>
  <c r="F26" i="9"/>
  <c r="X44" i="9"/>
  <c r="F28" i="9"/>
  <c r="X34" i="9"/>
  <c r="F40" i="9"/>
  <c r="X42" i="9"/>
  <c r="F42" i="9"/>
  <c r="X54" i="9"/>
  <c r="F54" i="9"/>
  <c r="X64" i="9"/>
  <c r="F38" i="9"/>
  <c r="F24" i="9"/>
  <c r="F52" i="9"/>
  <c r="X46" i="9"/>
  <c r="X20" i="9"/>
  <c r="F18" i="9"/>
  <c r="F56" i="9"/>
  <c r="F70" i="9"/>
  <c r="F30" i="9"/>
  <c r="X38" i="9"/>
  <c r="X24" i="9"/>
  <c r="I12" i="11" l="1"/>
  <c r="P12" i="11"/>
  <c r="T12" i="11"/>
  <c r="AA12" i="11"/>
  <c r="I14" i="11"/>
  <c r="J14" i="11"/>
  <c r="P14" i="11"/>
  <c r="T14" i="11"/>
  <c r="Z14" i="11"/>
  <c r="AA14" i="11"/>
  <c r="I16" i="11"/>
  <c r="J16" i="11"/>
  <c r="P16" i="11"/>
  <c r="T16" i="11"/>
  <c r="Z16" i="11"/>
  <c r="AA16" i="11"/>
  <c r="I18" i="11"/>
  <c r="J18" i="11"/>
  <c r="P18" i="11"/>
  <c r="T18" i="11"/>
  <c r="AA18" i="11" s="1"/>
  <c r="Z18" i="11"/>
  <c r="I20" i="11"/>
  <c r="P20" i="11"/>
  <c r="T20" i="11"/>
  <c r="AA20" i="11" s="1"/>
  <c r="Z20" i="11"/>
  <c r="I22" i="11"/>
  <c r="J22" i="11" s="1"/>
  <c r="P22" i="11"/>
  <c r="T22" i="11"/>
  <c r="AA22" i="11" s="1"/>
  <c r="Z22" i="11"/>
  <c r="I24" i="11"/>
  <c r="J24" i="11"/>
  <c r="P24" i="11"/>
  <c r="T24" i="11"/>
  <c r="AA24" i="11" s="1"/>
  <c r="Z24" i="11"/>
  <c r="I26" i="11"/>
  <c r="J26" i="11"/>
  <c r="P26" i="11"/>
  <c r="T26" i="11"/>
  <c r="Z26" i="11"/>
  <c r="AA26" i="11"/>
  <c r="I28" i="11"/>
  <c r="J28" i="11"/>
  <c r="P28" i="11"/>
  <c r="T28" i="11"/>
  <c r="Z28" i="11"/>
  <c r="AA28" i="11"/>
  <c r="I30" i="11"/>
  <c r="J30" i="11"/>
  <c r="P30" i="11"/>
  <c r="T30" i="11"/>
  <c r="AA30" i="11" s="1"/>
  <c r="Z30" i="11"/>
  <c r="I32" i="11"/>
  <c r="J32" i="11" s="1"/>
  <c r="P32" i="11"/>
  <c r="T32" i="11"/>
  <c r="AA32" i="11" s="1"/>
  <c r="Z32" i="11"/>
  <c r="I34" i="11"/>
  <c r="J34" i="11"/>
  <c r="P34" i="11"/>
  <c r="T34" i="11"/>
  <c r="Z34" i="11"/>
  <c r="AA34" i="11"/>
  <c r="I36" i="11"/>
  <c r="J36" i="11" s="1"/>
  <c r="P36" i="11"/>
  <c r="T36" i="11"/>
  <c r="AA36" i="11" s="1"/>
  <c r="Z36" i="11"/>
  <c r="I38" i="11"/>
  <c r="J38" i="11" s="1"/>
  <c r="P38" i="11"/>
  <c r="T38" i="11"/>
  <c r="Z38" i="11"/>
  <c r="AA38" i="11"/>
  <c r="I40" i="11"/>
  <c r="J40" i="11"/>
  <c r="P40" i="11"/>
  <c r="T40" i="11"/>
  <c r="Z40" i="11"/>
  <c r="AA40" i="11"/>
  <c r="I42" i="11"/>
  <c r="P42" i="11"/>
  <c r="T42" i="11"/>
  <c r="Z42" i="11"/>
  <c r="AA42" i="11"/>
  <c r="I44" i="11"/>
  <c r="J44" i="11"/>
  <c r="P44" i="11"/>
  <c r="T44" i="11"/>
  <c r="AA44" i="11" s="1"/>
  <c r="Z44" i="11"/>
  <c r="I46" i="11"/>
  <c r="J46" i="11" s="1"/>
  <c r="P46" i="11"/>
  <c r="T46" i="11"/>
  <c r="Z46" i="11"/>
  <c r="AA46" i="11"/>
  <c r="I48" i="11"/>
  <c r="J48" i="11"/>
  <c r="P48" i="11"/>
  <c r="T48" i="11"/>
  <c r="Z48" i="11"/>
  <c r="AA48" i="11"/>
  <c r="I50" i="11"/>
  <c r="J50" i="11"/>
  <c r="P50" i="11"/>
  <c r="T50" i="11"/>
  <c r="AA50" i="11" s="1"/>
  <c r="Z50" i="11"/>
  <c r="I52" i="11"/>
  <c r="J52" i="11" s="1"/>
  <c r="P52" i="11"/>
  <c r="T52" i="11"/>
  <c r="AA52" i="11" s="1"/>
  <c r="Z52" i="11"/>
  <c r="I54" i="11"/>
  <c r="J54" i="11"/>
  <c r="P54" i="11"/>
  <c r="T54" i="11"/>
  <c r="Z54" i="11"/>
  <c r="AA54" i="11"/>
  <c r="I56" i="11"/>
  <c r="J56" i="11" s="1"/>
  <c r="P56" i="11"/>
  <c r="T56" i="11"/>
  <c r="AA56" i="11" s="1"/>
  <c r="Z56" i="11"/>
  <c r="I58" i="11"/>
  <c r="J58" i="11"/>
  <c r="P58" i="11"/>
  <c r="T58" i="11"/>
  <c r="AA58" i="11" s="1"/>
  <c r="Z58" i="11"/>
  <c r="I60" i="11"/>
  <c r="J60" i="11" s="1"/>
  <c r="P60" i="11"/>
  <c r="T60" i="11"/>
  <c r="Z60" i="11"/>
  <c r="AA60" i="11"/>
  <c r="I62" i="11"/>
  <c r="P62" i="11"/>
  <c r="T62" i="11"/>
  <c r="Z62" i="11"/>
  <c r="AA62" i="11"/>
  <c r="I64" i="11"/>
  <c r="J64" i="11" s="1"/>
  <c r="P64" i="11"/>
  <c r="T64" i="11"/>
  <c r="Z64" i="11"/>
  <c r="AA64" i="11"/>
  <c r="I66" i="11"/>
  <c r="J66" i="11"/>
  <c r="P66" i="11"/>
  <c r="T66" i="11"/>
  <c r="Z66" i="11"/>
  <c r="AA66" i="11"/>
  <c r="I68" i="11"/>
  <c r="J68" i="11"/>
  <c r="P68" i="11"/>
  <c r="T68" i="11"/>
  <c r="AA68" i="11" s="1"/>
  <c r="Z68" i="11"/>
  <c r="G70" i="11"/>
  <c r="I70" i="11"/>
  <c r="J70" i="11"/>
  <c r="P70" i="11"/>
  <c r="T70" i="11"/>
  <c r="Z70" i="11"/>
  <c r="AA70" i="11"/>
  <c r="AE70" i="11"/>
  <c r="J42" i="11" l="1"/>
  <c r="J62" i="11"/>
  <c r="J20" i="11"/>
  <c r="E70" i="11"/>
  <c r="J12" i="11"/>
  <c r="G16" i="26" l="1"/>
  <c r="E21" i="28"/>
  <c r="AE21" i="28"/>
  <c r="CR22" i="1"/>
  <c r="CT22" i="1" l="1"/>
  <c r="CS22" i="1"/>
  <c r="F71" i="9" l="1"/>
  <c r="X71" i="9"/>
  <c r="H71" i="9"/>
  <c r="H70" i="9" s="1"/>
  <c r="J71" i="9"/>
  <c r="L71" i="9"/>
  <c r="O71" i="9" s="1"/>
  <c r="U71" i="9" s="1"/>
  <c r="BQ43" i="1"/>
  <c r="BS43" i="1" s="1"/>
  <c r="BZ43" i="1"/>
  <c r="CA43" i="1"/>
  <c r="K71" i="9" l="1"/>
  <c r="I71" i="9"/>
  <c r="I70" i="9"/>
  <c r="K70" i="9"/>
  <c r="CE43" i="1"/>
  <c r="BT43" i="1"/>
  <c r="BX43" i="1"/>
  <c r="CD43" i="1"/>
  <c r="BU43" i="1"/>
  <c r="N71" i="9"/>
  <c r="N70" i="9"/>
  <c r="G32" i="26"/>
  <c r="E37" i="28"/>
  <c r="AE37" i="28"/>
  <c r="CR38" i="1"/>
  <c r="G17" i="26"/>
  <c r="E22" i="28"/>
  <c r="AE22" i="28"/>
  <c r="CR23" i="1"/>
  <c r="CS23" i="1" l="1"/>
  <c r="CT23" i="1"/>
  <c r="E42" i="28" l="1"/>
  <c r="H42" i="28"/>
  <c r="H41" i="28" s="1"/>
  <c r="AE42" i="28"/>
  <c r="CK43" i="1"/>
  <c r="I41" i="28" l="1"/>
  <c r="CK42" i="1"/>
  <c r="I42" i="28"/>
  <c r="H40" i="28"/>
  <c r="I40" i="28" l="1"/>
  <c r="H39" i="28"/>
  <c r="CK41" i="1"/>
  <c r="H38" i="28" l="1"/>
  <c r="I39" i="28"/>
  <c r="CK40" i="1"/>
  <c r="I38" i="28" l="1"/>
  <c r="H37" i="28"/>
  <c r="CK39" i="1"/>
  <c r="I37" i="28" l="1"/>
  <c r="CK38" i="1"/>
  <c r="G18" i="26" l="1"/>
  <c r="E23" i="28"/>
  <c r="AE23" i="28"/>
  <c r="CR24" i="1"/>
  <c r="CT24" i="1" s="1"/>
  <c r="CS24" i="1" l="1"/>
  <c r="G19" i="26"/>
  <c r="E24" i="28"/>
  <c r="AE24" i="28"/>
  <c r="CR25" i="1"/>
  <c r="CS25" i="1" s="1"/>
  <c r="CT25" i="1" l="1"/>
  <c r="G31" i="26"/>
  <c r="E36" i="28"/>
  <c r="H36" i="28"/>
  <c r="I36" i="28" s="1"/>
  <c r="AE36" i="28"/>
  <c r="CK37" i="1"/>
  <c r="CR37" i="1"/>
  <c r="F11" i="10" l="1"/>
  <c r="K11" i="10"/>
  <c r="C12" i="10"/>
  <c r="D12" i="10"/>
  <c r="F12" i="10"/>
  <c r="I12" i="10"/>
  <c r="J12" i="10"/>
  <c r="K12" i="10"/>
  <c r="F13" i="10"/>
  <c r="I13" i="10"/>
  <c r="K13" i="10"/>
  <c r="F14" i="10"/>
  <c r="I14" i="10"/>
  <c r="K14" i="10"/>
  <c r="F15" i="10"/>
  <c r="I15" i="10"/>
  <c r="K15" i="10"/>
  <c r="F16" i="10"/>
  <c r="I16" i="10"/>
  <c r="K16" i="10"/>
  <c r="F17" i="10"/>
  <c r="I17" i="10"/>
  <c r="K17" i="10"/>
  <c r="C18" i="10"/>
  <c r="D18" i="10"/>
  <c r="F18" i="10"/>
  <c r="I18" i="10"/>
  <c r="J18" i="10"/>
  <c r="K18" i="10"/>
  <c r="F19" i="10"/>
  <c r="I19" i="10"/>
  <c r="K19" i="10"/>
  <c r="F20" i="10"/>
  <c r="I20" i="10"/>
  <c r="K20" i="10"/>
  <c r="F21" i="10"/>
  <c r="I21" i="10"/>
  <c r="K21" i="10"/>
  <c r="F22" i="10"/>
  <c r="I22" i="10"/>
  <c r="K22" i="10"/>
  <c r="F23" i="10"/>
  <c r="I23" i="10"/>
  <c r="K23" i="10"/>
  <c r="C24" i="10"/>
  <c r="D24" i="10"/>
  <c r="F24" i="10"/>
  <c r="I24" i="10"/>
  <c r="J24" i="10"/>
  <c r="K24" i="10"/>
  <c r="F25" i="10"/>
  <c r="I25" i="10"/>
  <c r="K25" i="10"/>
  <c r="F26" i="10"/>
  <c r="I26" i="10"/>
  <c r="K26" i="10"/>
  <c r="F27" i="10"/>
  <c r="I27" i="10"/>
  <c r="K27" i="10"/>
  <c r="F28" i="10"/>
  <c r="I28" i="10"/>
  <c r="K28" i="10"/>
  <c r="F29" i="10"/>
  <c r="I29" i="10"/>
  <c r="K29" i="10"/>
  <c r="C30" i="10"/>
  <c r="D30" i="10"/>
  <c r="F30" i="10"/>
  <c r="I30" i="10"/>
  <c r="J30" i="10"/>
  <c r="K30" i="10"/>
  <c r="F31" i="10"/>
  <c r="I31" i="10"/>
  <c r="K31" i="10"/>
  <c r="F32" i="10"/>
  <c r="I32" i="10"/>
  <c r="K32" i="10"/>
  <c r="F33" i="10"/>
  <c r="I33" i="10"/>
  <c r="K33" i="10"/>
  <c r="F34" i="10"/>
  <c r="I34" i="10"/>
  <c r="K34" i="10"/>
  <c r="F35" i="10"/>
  <c r="I35" i="10"/>
  <c r="K35" i="10"/>
  <c r="C36" i="10"/>
  <c r="D36" i="10"/>
  <c r="F36" i="10"/>
  <c r="I36" i="10"/>
  <c r="J36" i="10"/>
  <c r="K36" i="10"/>
  <c r="F37" i="10"/>
  <c r="I37" i="10"/>
  <c r="K37" i="10"/>
  <c r="F38" i="10"/>
  <c r="I38" i="10"/>
  <c r="K38" i="10"/>
  <c r="F39" i="10"/>
  <c r="I39" i="10"/>
  <c r="K39" i="10"/>
  <c r="F40" i="10"/>
  <c r="I40" i="10"/>
  <c r="K40" i="10"/>
  <c r="F41" i="10"/>
  <c r="I41" i="10"/>
  <c r="K41" i="10"/>
  <c r="C42" i="10"/>
  <c r="D42" i="10"/>
  <c r="F42" i="10"/>
  <c r="I42" i="10"/>
  <c r="J42" i="10"/>
  <c r="K42" i="10"/>
  <c r="C98" i="10"/>
  <c r="D4" i="29"/>
  <c r="F7" i="26"/>
  <c r="F8" i="26"/>
  <c r="F9" i="26"/>
  <c r="E10" i="26"/>
  <c r="F10" i="26"/>
  <c r="E11" i="26"/>
  <c r="F11" i="26"/>
  <c r="E12" i="26"/>
  <c r="F12" i="26"/>
  <c r="E13" i="26"/>
  <c r="F13" i="26"/>
  <c r="E14" i="26"/>
  <c r="F14" i="26"/>
  <c r="E15" i="26"/>
  <c r="F15" i="26"/>
  <c r="E16" i="26"/>
  <c r="F16" i="26"/>
  <c r="E17" i="26"/>
  <c r="F17" i="26"/>
  <c r="E18" i="26"/>
  <c r="F18" i="26"/>
  <c r="E19" i="26"/>
  <c r="F19" i="26"/>
  <c r="E20" i="26"/>
  <c r="F20" i="26"/>
  <c r="G20" i="26"/>
  <c r="E21" i="26"/>
  <c r="F21" i="26"/>
  <c r="G21" i="26"/>
  <c r="E22" i="26"/>
  <c r="F22" i="26"/>
  <c r="G22" i="26"/>
  <c r="E23" i="26"/>
  <c r="F23" i="26"/>
  <c r="G23" i="26"/>
  <c r="E24" i="26"/>
  <c r="F24" i="26"/>
  <c r="G24" i="26"/>
  <c r="E25" i="26"/>
  <c r="F25" i="26"/>
  <c r="G25" i="26"/>
  <c r="E26" i="26"/>
  <c r="F26" i="26"/>
  <c r="G26" i="26"/>
  <c r="E27" i="26"/>
  <c r="F27" i="26"/>
  <c r="G27" i="26"/>
  <c r="E28" i="26"/>
  <c r="F28" i="26"/>
  <c r="G28" i="26"/>
  <c r="E29" i="26"/>
  <c r="F29" i="26"/>
  <c r="G29" i="26"/>
  <c r="E30" i="26"/>
  <c r="F30" i="26"/>
  <c r="G30" i="26"/>
  <c r="E31" i="26"/>
  <c r="F31" i="26"/>
  <c r="E32" i="26"/>
  <c r="F32" i="26"/>
  <c r="E33" i="26"/>
  <c r="F33" i="26"/>
  <c r="E34" i="26"/>
  <c r="F34" i="26"/>
  <c r="E35" i="26"/>
  <c r="F35" i="26"/>
  <c r="E36" i="26"/>
  <c r="F36" i="26"/>
  <c r="E44" i="26"/>
  <c r="F44" i="26"/>
  <c r="G44" i="26"/>
  <c r="C8" i="31"/>
  <c r="D8" i="31"/>
  <c r="C11" i="31"/>
  <c r="D11" i="31"/>
  <c r="E12" i="31"/>
  <c r="E13" i="31"/>
  <c r="E14" i="31"/>
  <c r="E15" i="31"/>
  <c r="E16" i="31"/>
  <c r="C17" i="31"/>
  <c r="E18" i="31"/>
  <c r="E19" i="31"/>
  <c r="E20" i="31"/>
  <c r="E21" i="31"/>
  <c r="E22" i="31"/>
  <c r="E23" i="31"/>
  <c r="C25" i="31"/>
  <c r="E25" i="31"/>
  <c r="C27" i="31"/>
  <c r="C45" i="6"/>
  <c r="C47" i="6"/>
  <c r="C4" i="5"/>
  <c r="D4" i="16"/>
  <c r="S4" i="16"/>
  <c r="AW4" i="16"/>
  <c r="CD4" i="16"/>
  <c r="CS4" i="16"/>
  <c r="A4" i="9"/>
  <c r="H11" i="9"/>
  <c r="I11" i="9"/>
  <c r="J11" i="9"/>
  <c r="K11" i="9"/>
  <c r="M11" i="9"/>
  <c r="N11" i="9"/>
  <c r="O11" i="9"/>
  <c r="P11" i="9"/>
  <c r="AE11" i="9"/>
  <c r="AJ11" i="9"/>
  <c r="H12" i="9"/>
  <c r="I12" i="9"/>
  <c r="K12" i="9"/>
  <c r="M12" i="9"/>
  <c r="N12" i="9"/>
  <c r="P12" i="9"/>
  <c r="H13" i="9"/>
  <c r="I13" i="9"/>
  <c r="J13" i="9"/>
  <c r="K13" i="9"/>
  <c r="M13" i="9"/>
  <c r="N13" i="9"/>
  <c r="O13" i="9"/>
  <c r="P13" i="9"/>
  <c r="U13" i="9"/>
  <c r="AC13" i="9"/>
  <c r="AE13" i="9"/>
  <c r="AH13" i="9"/>
  <c r="AJ13" i="9"/>
  <c r="H14" i="9"/>
  <c r="I14" i="9"/>
  <c r="K14" i="9"/>
  <c r="M14" i="9"/>
  <c r="N14" i="9"/>
  <c r="P14" i="9"/>
  <c r="AC14" i="9"/>
  <c r="AE14" i="9"/>
  <c r="AH14" i="9"/>
  <c r="AJ14" i="9"/>
  <c r="H15" i="9"/>
  <c r="I15" i="9"/>
  <c r="J15" i="9"/>
  <c r="K15" i="9"/>
  <c r="M15" i="9"/>
  <c r="N15" i="9"/>
  <c r="O15" i="9"/>
  <c r="P15" i="9"/>
  <c r="U15" i="9"/>
  <c r="AB15" i="9"/>
  <c r="AC15" i="9"/>
  <c r="AE15" i="9"/>
  <c r="AG15" i="9"/>
  <c r="AH15" i="9"/>
  <c r="AJ15" i="9"/>
  <c r="H16" i="9"/>
  <c r="I16" i="9"/>
  <c r="K16" i="9"/>
  <c r="M16" i="9"/>
  <c r="N16" i="9"/>
  <c r="P16" i="9"/>
  <c r="AB16" i="9"/>
  <c r="AC16" i="9"/>
  <c r="AE16" i="9"/>
  <c r="AG16" i="9"/>
  <c r="AH16" i="9"/>
  <c r="AJ16" i="9"/>
  <c r="F17" i="9"/>
  <c r="G17" i="9"/>
  <c r="H17" i="9"/>
  <c r="I17" i="9"/>
  <c r="J17" i="9"/>
  <c r="K17" i="9"/>
  <c r="M17" i="9"/>
  <c r="N17" i="9"/>
  <c r="O17" i="9"/>
  <c r="P17" i="9"/>
  <c r="U17" i="9"/>
  <c r="X17" i="9"/>
  <c r="AB17" i="9"/>
  <c r="AC17" i="9"/>
  <c r="AE17" i="9"/>
  <c r="AG17" i="9"/>
  <c r="AH17" i="9"/>
  <c r="AJ17" i="9"/>
  <c r="H18" i="9"/>
  <c r="I18" i="9"/>
  <c r="K18" i="9"/>
  <c r="M18" i="9"/>
  <c r="N18" i="9"/>
  <c r="P18" i="9"/>
  <c r="AB18" i="9"/>
  <c r="AC18" i="9"/>
  <c r="AE18" i="9"/>
  <c r="AG18" i="9"/>
  <c r="AH18" i="9"/>
  <c r="AJ18" i="9"/>
  <c r="F19" i="9"/>
  <c r="G19" i="9"/>
  <c r="H19" i="9"/>
  <c r="I19" i="9"/>
  <c r="J19" i="9"/>
  <c r="K19" i="9"/>
  <c r="M19" i="9"/>
  <c r="N19" i="9"/>
  <c r="O19" i="9"/>
  <c r="P19" i="9"/>
  <c r="U19" i="9"/>
  <c r="X19" i="9"/>
  <c r="AB19" i="9"/>
  <c r="AC19" i="9"/>
  <c r="AE19" i="9"/>
  <c r="AG19" i="9"/>
  <c r="AH19" i="9"/>
  <c r="AJ19" i="9"/>
  <c r="H20" i="9"/>
  <c r="I20" i="9"/>
  <c r="K20" i="9"/>
  <c r="M20" i="9"/>
  <c r="N20" i="9"/>
  <c r="P20" i="9"/>
  <c r="AB20" i="9"/>
  <c r="AC20" i="9"/>
  <c r="AE20" i="9"/>
  <c r="AG20" i="9"/>
  <c r="AH20" i="9"/>
  <c r="AJ20" i="9"/>
  <c r="F21" i="9"/>
  <c r="G21" i="9"/>
  <c r="H21" i="9"/>
  <c r="I21" i="9"/>
  <c r="J21" i="9"/>
  <c r="K21" i="9"/>
  <c r="M21" i="9"/>
  <c r="N21" i="9"/>
  <c r="O21" i="9"/>
  <c r="P21" i="9"/>
  <c r="U21" i="9"/>
  <c r="X21" i="9"/>
  <c r="AB21" i="9"/>
  <c r="AC21" i="9"/>
  <c r="AE21" i="9"/>
  <c r="AG21" i="9"/>
  <c r="AH21" i="9"/>
  <c r="AJ21" i="9"/>
  <c r="H22" i="9"/>
  <c r="I22" i="9"/>
  <c r="K22" i="9"/>
  <c r="M22" i="9"/>
  <c r="N22" i="9"/>
  <c r="P22" i="9"/>
  <c r="AB22" i="9"/>
  <c r="AC22" i="9"/>
  <c r="AE22" i="9"/>
  <c r="AG22" i="9"/>
  <c r="AH22" i="9"/>
  <c r="AJ22" i="9"/>
  <c r="F23" i="9"/>
  <c r="G23" i="9"/>
  <c r="H23" i="9"/>
  <c r="I23" i="9"/>
  <c r="J23" i="9"/>
  <c r="K23" i="9"/>
  <c r="M23" i="9"/>
  <c r="N23" i="9"/>
  <c r="O23" i="9"/>
  <c r="P23" i="9"/>
  <c r="U23" i="9"/>
  <c r="X23" i="9"/>
  <c r="H24" i="9"/>
  <c r="I24" i="9"/>
  <c r="K24" i="9"/>
  <c r="M24" i="9"/>
  <c r="N24" i="9"/>
  <c r="P24" i="9"/>
  <c r="F25" i="9"/>
  <c r="G25" i="9"/>
  <c r="H25" i="9"/>
  <c r="I25" i="9"/>
  <c r="J25" i="9"/>
  <c r="K25" i="9"/>
  <c r="M25" i="9"/>
  <c r="N25" i="9"/>
  <c r="O25" i="9"/>
  <c r="P25" i="9"/>
  <c r="U25" i="9"/>
  <c r="X25" i="9"/>
  <c r="H26" i="9"/>
  <c r="I26" i="9"/>
  <c r="K26" i="9"/>
  <c r="M26" i="9"/>
  <c r="N26" i="9"/>
  <c r="P26" i="9"/>
  <c r="AD26" i="9"/>
  <c r="F27" i="9"/>
  <c r="G27" i="9"/>
  <c r="H27" i="9"/>
  <c r="I27" i="9"/>
  <c r="J27" i="9"/>
  <c r="K27" i="9"/>
  <c r="M27" i="9"/>
  <c r="N27" i="9"/>
  <c r="O27" i="9"/>
  <c r="P27" i="9"/>
  <c r="U27" i="9"/>
  <c r="X27" i="9"/>
  <c r="H28" i="9"/>
  <c r="I28" i="9"/>
  <c r="K28" i="9"/>
  <c r="M28" i="9"/>
  <c r="N28" i="9"/>
  <c r="P28" i="9"/>
  <c r="F29" i="9"/>
  <c r="G29" i="9"/>
  <c r="H29" i="9"/>
  <c r="I29" i="9"/>
  <c r="J29" i="9"/>
  <c r="K29" i="9"/>
  <c r="M29" i="9"/>
  <c r="N29" i="9"/>
  <c r="O29" i="9"/>
  <c r="P29" i="9"/>
  <c r="U29" i="9"/>
  <c r="X29" i="9"/>
  <c r="H30" i="9"/>
  <c r="I30" i="9"/>
  <c r="K30" i="9"/>
  <c r="M30" i="9"/>
  <c r="N30" i="9"/>
  <c r="P30" i="9"/>
  <c r="F31" i="9"/>
  <c r="G31" i="9"/>
  <c r="H31" i="9"/>
  <c r="I31" i="9"/>
  <c r="J31" i="9"/>
  <c r="K31" i="9"/>
  <c r="M31" i="9"/>
  <c r="N31" i="9"/>
  <c r="O31" i="9"/>
  <c r="P31" i="9"/>
  <c r="U31" i="9"/>
  <c r="X31" i="9"/>
  <c r="H32" i="9"/>
  <c r="I32" i="9"/>
  <c r="K32" i="9"/>
  <c r="M32" i="9"/>
  <c r="N32" i="9"/>
  <c r="P32" i="9"/>
  <c r="F33" i="9"/>
  <c r="G33" i="9"/>
  <c r="H33" i="9"/>
  <c r="I33" i="9"/>
  <c r="J33" i="9"/>
  <c r="K33" i="9"/>
  <c r="M33" i="9"/>
  <c r="N33" i="9"/>
  <c r="O33" i="9"/>
  <c r="P33" i="9"/>
  <c r="U33" i="9"/>
  <c r="X33" i="9"/>
  <c r="H34" i="9"/>
  <c r="I34" i="9"/>
  <c r="K34" i="9"/>
  <c r="M34" i="9"/>
  <c r="N34" i="9"/>
  <c r="P34" i="9"/>
  <c r="F35" i="9"/>
  <c r="G35" i="9"/>
  <c r="H35" i="9"/>
  <c r="I35" i="9"/>
  <c r="J35" i="9"/>
  <c r="K35" i="9"/>
  <c r="M35" i="9"/>
  <c r="N35" i="9"/>
  <c r="O35" i="9"/>
  <c r="P35" i="9"/>
  <c r="U35" i="9"/>
  <c r="X35" i="9"/>
  <c r="H36" i="9"/>
  <c r="I36" i="9"/>
  <c r="K36" i="9"/>
  <c r="M36" i="9"/>
  <c r="N36" i="9"/>
  <c r="P36" i="9"/>
  <c r="F37" i="9"/>
  <c r="G37" i="9"/>
  <c r="H37" i="9"/>
  <c r="I37" i="9"/>
  <c r="J37" i="9"/>
  <c r="K37" i="9"/>
  <c r="M37" i="9"/>
  <c r="N37" i="9"/>
  <c r="O37" i="9"/>
  <c r="P37" i="9"/>
  <c r="U37" i="9"/>
  <c r="X37" i="9"/>
  <c r="H38" i="9"/>
  <c r="I38" i="9"/>
  <c r="K38" i="9"/>
  <c r="M38" i="9"/>
  <c r="N38" i="9"/>
  <c r="P38" i="9"/>
  <c r="F39" i="9"/>
  <c r="G39" i="9"/>
  <c r="H39" i="9"/>
  <c r="I39" i="9"/>
  <c r="J39" i="9"/>
  <c r="K39" i="9"/>
  <c r="M39" i="9"/>
  <c r="N39" i="9"/>
  <c r="O39" i="9"/>
  <c r="P39" i="9"/>
  <c r="U39" i="9"/>
  <c r="X39" i="9"/>
  <c r="H40" i="9"/>
  <c r="I40" i="9"/>
  <c r="K40" i="9"/>
  <c r="M40" i="9"/>
  <c r="N40" i="9"/>
  <c r="P40" i="9"/>
  <c r="F41" i="9"/>
  <c r="G41" i="9"/>
  <c r="H41" i="9"/>
  <c r="I41" i="9"/>
  <c r="J41" i="9"/>
  <c r="K41" i="9"/>
  <c r="M41" i="9"/>
  <c r="N41" i="9"/>
  <c r="O41" i="9"/>
  <c r="P41" i="9"/>
  <c r="U41" i="9"/>
  <c r="X41" i="9"/>
  <c r="H42" i="9"/>
  <c r="I42" i="9"/>
  <c r="K42" i="9"/>
  <c r="M42" i="9"/>
  <c r="N42" i="9"/>
  <c r="P42" i="9"/>
  <c r="F43" i="9"/>
  <c r="G43" i="9"/>
  <c r="H43" i="9"/>
  <c r="I43" i="9"/>
  <c r="J43" i="9"/>
  <c r="K43" i="9"/>
  <c r="M43" i="9"/>
  <c r="N43" i="9"/>
  <c r="O43" i="9"/>
  <c r="P43" i="9"/>
  <c r="U43" i="9"/>
  <c r="X43" i="9"/>
  <c r="H44" i="9"/>
  <c r="I44" i="9"/>
  <c r="K44" i="9"/>
  <c r="M44" i="9"/>
  <c r="N44" i="9"/>
  <c r="P44" i="9"/>
  <c r="F45" i="9"/>
  <c r="G45" i="9"/>
  <c r="H45" i="9"/>
  <c r="I45" i="9"/>
  <c r="J45" i="9"/>
  <c r="K45" i="9"/>
  <c r="M45" i="9"/>
  <c r="N45" i="9"/>
  <c r="O45" i="9"/>
  <c r="P45" i="9"/>
  <c r="U45" i="9"/>
  <c r="X45" i="9"/>
  <c r="H46" i="9"/>
  <c r="I46" i="9"/>
  <c r="K46" i="9"/>
  <c r="M46" i="9"/>
  <c r="N46" i="9"/>
  <c r="P46" i="9"/>
  <c r="F47" i="9"/>
  <c r="G47" i="9"/>
  <c r="H47" i="9"/>
  <c r="I47" i="9"/>
  <c r="J47" i="9"/>
  <c r="K47" i="9"/>
  <c r="M47" i="9"/>
  <c r="N47" i="9"/>
  <c r="O47" i="9"/>
  <c r="P47" i="9"/>
  <c r="U47" i="9"/>
  <c r="X47" i="9"/>
  <c r="H48" i="9"/>
  <c r="I48" i="9"/>
  <c r="K48" i="9"/>
  <c r="M48" i="9"/>
  <c r="N48" i="9"/>
  <c r="P48" i="9"/>
  <c r="F49" i="9"/>
  <c r="G49" i="9"/>
  <c r="H49" i="9"/>
  <c r="I49" i="9"/>
  <c r="J49" i="9"/>
  <c r="K49" i="9"/>
  <c r="M49" i="9"/>
  <c r="N49" i="9"/>
  <c r="O49" i="9"/>
  <c r="P49" i="9"/>
  <c r="U49" i="9"/>
  <c r="X49" i="9"/>
  <c r="H50" i="9"/>
  <c r="I50" i="9"/>
  <c r="K50" i="9"/>
  <c r="M50" i="9"/>
  <c r="N50" i="9"/>
  <c r="P50" i="9"/>
  <c r="F51" i="9"/>
  <c r="G51" i="9"/>
  <c r="H51" i="9"/>
  <c r="I51" i="9"/>
  <c r="J51" i="9"/>
  <c r="K51" i="9"/>
  <c r="M51" i="9"/>
  <c r="N51" i="9"/>
  <c r="O51" i="9"/>
  <c r="P51" i="9"/>
  <c r="U51" i="9"/>
  <c r="X51" i="9"/>
  <c r="H52" i="9"/>
  <c r="I52" i="9"/>
  <c r="K52" i="9"/>
  <c r="M52" i="9"/>
  <c r="N52" i="9"/>
  <c r="P52" i="9"/>
  <c r="F53" i="9"/>
  <c r="G53" i="9"/>
  <c r="H53" i="9"/>
  <c r="I53" i="9"/>
  <c r="J53" i="9"/>
  <c r="K53" i="9"/>
  <c r="M53" i="9"/>
  <c r="N53" i="9"/>
  <c r="O53" i="9"/>
  <c r="P53" i="9"/>
  <c r="U53" i="9"/>
  <c r="X53" i="9"/>
  <c r="H54" i="9"/>
  <c r="I54" i="9"/>
  <c r="K54" i="9"/>
  <c r="M54" i="9"/>
  <c r="N54" i="9"/>
  <c r="P54" i="9"/>
  <c r="F55" i="9"/>
  <c r="G55" i="9"/>
  <c r="H55" i="9"/>
  <c r="I55" i="9"/>
  <c r="J55" i="9"/>
  <c r="K55" i="9"/>
  <c r="M55" i="9"/>
  <c r="N55" i="9"/>
  <c r="O55" i="9"/>
  <c r="P55" i="9"/>
  <c r="U55" i="9"/>
  <c r="X55" i="9"/>
  <c r="H56" i="9"/>
  <c r="I56" i="9"/>
  <c r="K56" i="9"/>
  <c r="M56" i="9"/>
  <c r="N56" i="9"/>
  <c r="P56" i="9"/>
  <c r="F57" i="9"/>
  <c r="G57" i="9"/>
  <c r="H57" i="9"/>
  <c r="I57" i="9"/>
  <c r="J57" i="9"/>
  <c r="K57" i="9"/>
  <c r="M57" i="9"/>
  <c r="N57" i="9"/>
  <c r="O57" i="9"/>
  <c r="P57" i="9"/>
  <c r="U57" i="9"/>
  <c r="X57" i="9"/>
  <c r="H58" i="9"/>
  <c r="I58" i="9"/>
  <c r="K58" i="9"/>
  <c r="M58" i="9"/>
  <c r="N58" i="9"/>
  <c r="P58" i="9"/>
  <c r="F59" i="9"/>
  <c r="G59" i="9"/>
  <c r="H59" i="9"/>
  <c r="I59" i="9"/>
  <c r="J59" i="9"/>
  <c r="K59" i="9"/>
  <c r="M59" i="9"/>
  <c r="N59" i="9"/>
  <c r="O59" i="9"/>
  <c r="P59" i="9"/>
  <c r="U59" i="9"/>
  <c r="X59" i="9"/>
  <c r="H60" i="9"/>
  <c r="I60" i="9"/>
  <c r="K60" i="9"/>
  <c r="M60" i="9"/>
  <c r="N60" i="9"/>
  <c r="P60" i="9"/>
  <c r="F61" i="9"/>
  <c r="G61" i="9"/>
  <c r="H61" i="9"/>
  <c r="I61" i="9"/>
  <c r="J61" i="9"/>
  <c r="K61" i="9"/>
  <c r="M61" i="9"/>
  <c r="N61" i="9"/>
  <c r="O61" i="9"/>
  <c r="P61" i="9"/>
  <c r="U61" i="9"/>
  <c r="X61" i="9"/>
  <c r="H62" i="9"/>
  <c r="I62" i="9"/>
  <c r="K62" i="9"/>
  <c r="M62" i="9"/>
  <c r="N62" i="9"/>
  <c r="P62" i="9"/>
  <c r="F63" i="9"/>
  <c r="G63" i="9"/>
  <c r="H63" i="9"/>
  <c r="I63" i="9"/>
  <c r="J63" i="9"/>
  <c r="K63" i="9"/>
  <c r="M63" i="9"/>
  <c r="N63" i="9"/>
  <c r="O63" i="9"/>
  <c r="P63" i="9"/>
  <c r="U63" i="9"/>
  <c r="X63" i="9"/>
  <c r="H64" i="9"/>
  <c r="I64" i="9"/>
  <c r="K64" i="9"/>
  <c r="M64" i="9"/>
  <c r="N64" i="9"/>
  <c r="P64" i="9"/>
  <c r="F65" i="9"/>
  <c r="G65" i="9"/>
  <c r="H65" i="9"/>
  <c r="I65" i="9"/>
  <c r="J65" i="9"/>
  <c r="K65" i="9"/>
  <c r="M65" i="9"/>
  <c r="N65" i="9"/>
  <c r="O65" i="9"/>
  <c r="P65" i="9"/>
  <c r="U65" i="9"/>
  <c r="X65" i="9"/>
  <c r="H66" i="9"/>
  <c r="I66" i="9"/>
  <c r="K66" i="9"/>
  <c r="M66" i="9"/>
  <c r="N66" i="9"/>
  <c r="P66" i="9"/>
  <c r="F67" i="9"/>
  <c r="G67" i="9"/>
  <c r="H67" i="9"/>
  <c r="I67" i="9"/>
  <c r="J67" i="9"/>
  <c r="K67" i="9"/>
  <c r="M67" i="9"/>
  <c r="N67" i="9"/>
  <c r="O67" i="9"/>
  <c r="P67" i="9"/>
  <c r="U67" i="9"/>
  <c r="X67" i="9"/>
  <c r="H68" i="9"/>
  <c r="I68" i="9"/>
  <c r="K68" i="9"/>
  <c r="M68" i="9"/>
  <c r="N68" i="9"/>
  <c r="P68" i="9"/>
  <c r="F69" i="9"/>
  <c r="G69" i="9"/>
  <c r="H69" i="9"/>
  <c r="I69" i="9"/>
  <c r="J69" i="9"/>
  <c r="K69" i="9"/>
  <c r="L69" i="9"/>
  <c r="M69" i="9"/>
  <c r="N69" i="9"/>
  <c r="O69" i="9"/>
  <c r="P69" i="9"/>
  <c r="U69" i="9"/>
  <c r="X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F96" i="9"/>
  <c r="G96" i="9"/>
  <c r="H96" i="9"/>
  <c r="I96" i="9"/>
  <c r="J96" i="9"/>
  <c r="K96" i="9"/>
  <c r="L96" i="9"/>
  <c r="M96" i="9"/>
  <c r="N96" i="9"/>
  <c r="O96" i="9"/>
  <c r="X96" i="9"/>
  <c r="AJ11" i="24"/>
  <c r="AJ13" i="24"/>
  <c r="AJ14" i="24"/>
  <c r="AB15" i="24"/>
  <c r="AC15" i="24"/>
  <c r="AG15" i="24"/>
  <c r="AH15" i="24"/>
  <c r="AJ15" i="24"/>
  <c r="AB16" i="24"/>
  <c r="AC16" i="24"/>
  <c r="AG16" i="24"/>
  <c r="AH16" i="24"/>
  <c r="AJ16" i="24"/>
  <c r="AB17" i="24"/>
  <c r="AC17" i="24"/>
  <c r="AG17" i="24"/>
  <c r="AH17" i="24"/>
  <c r="AJ17" i="24"/>
  <c r="AB18" i="24"/>
  <c r="AC18" i="24"/>
  <c r="AG18" i="24"/>
  <c r="AH18" i="24"/>
  <c r="AJ18" i="24"/>
  <c r="AB19" i="24"/>
  <c r="AC19" i="24"/>
  <c r="AG19" i="24"/>
  <c r="AH19" i="24"/>
  <c r="AJ19" i="24"/>
  <c r="AB20" i="24"/>
  <c r="AC20" i="24"/>
  <c r="AG20" i="24"/>
  <c r="AH20" i="24"/>
  <c r="AJ20" i="24"/>
  <c r="AB21" i="24"/>
  <c r="AC21" i="24"/>
  <c r="AG21" i="24"/>
  <c r="AH21" i="24"/>
  <c r="AJ21" i="24"/>
  <c r="AB22" i="24"/>
  <c r="AC22" i="24"/>
  <c r="AG22" i="24"/>
  <c r="AH22" i="24"/>
  <c r="AJ22" i="24"/>
  <c r="A4" i="8"/>
  <c r="B12" i="8"/>
  <c r="D12" i="8"/>
  <c r="F12" i="8"/>
  <c r="B13" i="8"/>
  <c r="F13" i="8"/>
  <c r="B17" i="8"/>
  <c r="D17" i="8"/>
  <c r="F17" i="8"/>
  <c r="B24" i="8"/>
  <c r="D24" i="8"/>
  <c r="F24" i="8"/>
  <c r="B25" i="8"/>
  <c r="F25" i="8"/>
  <c r="B26" i="8"/>
  <c r="F26" i="8"/>
  <c r="B27" i="8"/>
  <c r="D27" i="8"/>
  <c r="F27" i="8"/>
  <c r="B28" i="8"/>
  <c r="F28" i="8"/>
  <c r="B30" i="8"/>
  <c r="D30" i="8"/>
  <c r="F30" i="8"/>
  <c r="D37" i="8"/>
  <c r="D38" i="8"/>
  <c r="F43" i="8"/>
  <c r="B44" i="8"/>
  <c r="B49" i="8"/>
  <c r="D49" i="8"/>
  <c r="B51" i="8"/>
  <c r="D51" i="8"/>
  <c r="B52" i="8"/>
  <c r="D52" i="8"/>
  <c r="B53" i="8"/>
  <c r="D53" i="8"/>
  <c r="B54" i="8"/>
  <c r="D54" i="8"/>
  <c r="A4" i="23"/>
  <c r="B13" i="23"/>
  <c r="F13" i="23"/>
  <c r="B15" i="23"/>
  <c r="F15" i="23"/>
  <c r="B18" i="23"/>
  <c r="F18" i="23"/>
  <c r="B25" i="23"/>
  <c r="F25" i="23"/>
  <c r="B26" i="23"/>
  <c r="F26" i="23"/>
  <c r="B32" i="23"/>
  <c r="F32" i="23"/>
  <c r="D39" i="23"/>
  <c r="D40" i="23"/>
  <c r="F44" i="23"/>
  <c r="D50" i="23"/>
  <c r="B52" i="23"/>
  <c r="D52" i="23"/>
  <c r="B53" i="23"/>
  <c r="D53" i="23"/>
  <c r="D54" i="23"/>
  <c r="D55" i="23"/>
  <c r="A4" i="28"/>
  <c r="H11" i="28"/>
  <c r="I11" i="28"/>
  <c r="J11" i="28"/>
  <c r="K11" i="28"/>
  <c r="L11" i="28"/>
  <c r="M11" i="28"/>
  <c r="N11" i="28"/>
  <c r="O11" i="28"/>
  <c r="P11" i="28"/>
  <c r="S11" i="28"/>
  <c r="T11" i="28"/>
  <c r="U11" i="28"/>
  <c r="AF11" i="28"/>
  <c r="AL11" i="28"/>
  <c r="AQ11" i="28"/>
  <c r="H12" i="28"/>
  <c r="I12" i="28"/>
  <c r="J12" i="28"/>
  <c r="K12" i="28"/>
  <c r="L12" i="28"/>
  <c r="M12" i="28"/>
  <c r="N12" i="28"/>
  <c r="O12" i="28"/>
  <c r="P12" i="28"/>
  <c r="S12" i="28"/>
  <c r="T12" i="28"/>
  <c r="U12" i="28"/>
  <c r="AA12" i="28"/>
  <c r="AC12" i="28"/>
  <c r="AF12" i="28"/>
  <c r="H13" i="28"/>
  <c r="I13" i="28"/>
  <c r="J13" i="28"/>
  <c r="K13" i="28"/>
  <c r="L13" i="28"/>
  <c r="M13" i="28"/>
  <c r="N13" i="28"/>
  <c r="O13" i="28"/>
  <c r="P13" i="28"/>
  <c r="S13" i="28"/>
  <c r="T13" i="28"/>
  <c r="U13" i="28"/>
  <c r="Z13" i="28"/>
  <c r="AA13" i="28"/>
  <c r="AC13" i="28"/>
  <c r="AF13" i="28"/>
  <c r="AJ13" i="28"/>
  <c r="AL13" i="28"/>
  <c r="AO13" i="28"/>
  <c r="AQ13" i="28"/>
  <c r="H14" i="28"/>
  <c r="I14" i="28"/>
  <c r="J14" i="28"/>
  <c r="K14" i="28"/>
  <c r="L14" i="28"/>
  <c r="M14" i="28"/>
  <c r="N14" i="28"/>
  <c r="O14" i="28"/>
  <c r="P14" i="28"/>
  <c r="S14" i="28"/>
  <c r="T14" i="28"/>
  <c r="U14" i="28"/>
  <c r="Z14" i="28"/>
  <c r="AA14" i="28"/>
  <c r="AC14" i="28"/>
  <c r="AF14" i="28"/>
  <c r="AJ14" i="28"/>
  <c r="AL14" i="28"/>
  <c r="AO14" i="28"/>
  <c r="AQ14" i="28"/>
  <c r="H15" i="28"/>
  <c r="I15" i="28"/>
  <c r="J15" i="28"/>
  <c r="K15" i="28"/>
  <c r="L15" i="28"/>
  <c r="M15" i="28"/>
  <c r="N15" i="28"/>
  <c r="O15" i="28"/>
  <c r="P15" i="28"/>
  <c r="S15" i="28"/>
  <c r="T15" i="28"/>
  <c r="U15" i="28"/>
  <c r="Z15" i="28"/>
  <c r="AA15" i="28"/>
  <c r="AC15" i="28"/>
  <c r="AF15" i="28"/>
  <c r="AI15" i="28"/>
  <c r="AJ15" i="28"/>
  <c r="AL15" i="28"/>
  <c r="AN15" i="28"/>
  <c r="AO15" i="28"/>
  <c r="AQ15" i="28"/>
  <c r="H16" i="28"/>
  <c r="I16" i="28"/>
  <c r="J16" i="28"/>
  <c r="K16" i="28"/>
  <c r="L16" i="28"/>
  <c r="M16" i="28"/>
  <c r="N16" i="28"/>
  <c r="O16" i="28"/>
  <c r="P16" i="28"/>
  <c r="S16" i="28"/>
  <c r="T16" i="28"/>
  <c r="U16" i="28"/>
  <c r="Z16" i="28"/>
  <c r="AA16" i="28"/>
  <c r="AC16" i="28"/>
  <c r="AF16" i="28"/>
  <c r="AI16" i="28"/>
  <c r="AJ16" i="28"/>
  <c r="AL16" i="28"/>
  <c r="AN16" i="28"/>
  <c r="AO16" i="28"/>
  <c r="AQ16" i="28"/>
  <c r="H17" i="28"/>
  <c r="I17" i="28"/>
  <c r="J17" i="28"/>
  <c r="K17" i="28"/>
  <c r="L17" i="28"/>
  <c r="M17" i="28"/>
  <c r="N17" i="28"/>
  <c r="O17" i="28"/>
  <c r="P17" i="28"/>
  <c r="S17" i="28"/>
  <c r="T17" i="28"/>
  <c r="U17" i="28"/>
  <c r="Z17" i="28"/>
  <c r="AA17" i="28"/>
  <c r="AC17" i="28"/>
  <c r="AF17" i="28"/>
  <c r="AI17" i="28"/>
  <c r="AJ17" i="28"/>
  <c r="AL17" i="28"/>
  <c r="AN17" i="28"/>
  <c r="AO17" i="28"/>
  <c r="AQ17" i="28"/>
  <c r="H18" i="28"/>
  <c r="I18" i="28"/>
  <c r="J18" i="28"/>
  <c r="K18" i="28"/>
  <c r="L18" i="28"/>
  <c r="M18" i="28"/>
  <c r="N18" i="28"/>
  <c r="O18" i="28"/>
  <c r="P18" i="28"/>
  <c r="S18" i="28"/>
  <c r="T18" i="28"/>
  <c r="U18" i="28"/>
  <c r="Z18" i="28"/>
  <c r="AA18" i="28"/>
  <c r="AC18" i="28"/>
  <c r="AF18" i="28"/>
  <c r="AI18" i="28"/>
  <c r="AJ18" i="28"/>
  <c r="AL18" i="28"/>
  <c r="AN18" i="28"/>
  <c r="AO18" i="28"/>
  <c r="AQ18" i="28"/>
  <c r="H19" i="28"/>
  <c r="I19" i="28"/>
  <c r="J19" i="28"/>
  <c r="K19" i="28"/>
  <c r="L19" i="28"/>
  <c r="M19" i="28"/>
  <c r="N19" i="28"/>
  <c r="O19" i="28"/>
  <c r="P19" i="28"/>
  <c r="S19" i="28"/>
  <c r="T19" i="28"/>
  <c r="U19" i="28"/>
  <c r="Z19" i="28"/>
  <c r="AA19" i="28"/>
  <c r="AC19" i="28"/>
  <c r="AF19" i="28"/>
  <c r="AI19" i="28"/>
  <c r="AJ19" i="28"/>
  <c r="AL19" i="28"/>
  <c r="AN19" i="28"/>
  <c r="AO19" i="28"/>
  <c r="AQ19" i="28"/>
  <c r="H20" i="28"/>
  <c r="I20" i="28"/>
  <c r="J20" i="28"/>
  <c r="K20" i="28"/>
  <c r="L20" i="28"/>
  <c r="M20" i="28"/>
  <c r="N20" i="28"/>
  <c r="O20" i="28"/>
  <c r="P20" i="28"/>
  <c r="S20" i="28"/>
  <c r="T20" i="28"/>
  <c r="U20" i="28"/>
  <c r="Z20" i="28"/>
  <c r="AA20" i="28"/>
  <c r="AC20" i="28"/>
  <c r="AF20" i="28"/>
  <c r="AI20" i="28"/>
  <c r="AJ20" i="28"/>
  <c r="AL20" i="28"/>
  <c r="AN20" i="28"/>
  <c r="AO20" i="28"/>
  <c r="AQ20" i="28"/>
  <c r="H21" i="28"/>
  <c r="I21" i="28"/>
  <c r="J21" i="28"/>
  <c r="K21" i="28"/>
  <c r="L21" i="28"/>
  <c r="M21" i="28"/>
  <c r="N21" i="28"/>
  <c r="O21" i="28"/>
  <c r="P21" i="28"/>
  <c r="S21" i="28"/>
  <c r="T21" i="28"/>
  <c r="U21" i="28"/>
  <c r="Z21" i="28"/>
  <c r="AA21" i="28"/>
  <c r="AC21" i="28"/>
  <c r="AF21" i="28"/>
  <c r="AI21" i="28"/>
  <c r="AJ21" i="28"/>
  <c r="AL21" i="28"/>
  <c r="AN21" i="28"/>
  <c r="AO21" i="28"/>
  <c r="AQ21" i="28"/>
  <c r="H22" i="28"/>
  <c r="I22" i="28"/>
  <c r="J22" i="28"/>
  <c r="K22" i="28"/>
  <c r="L22" i="28"/>
  <c r="M22" i="28"/>
  <c r="N22" i="28"/>
  <c r="O22" i="28"/>
  <c r="P22" i="28"/>
  <c r="S22" i="28"/>
  <c r="T22" i="28"/>
  <c r="U22" i="28"/>
  <c r="Z22" i="28"/>
  <c r="AA22" i="28"/>
  <c r="AC22" i="28"/>
  <c r="AF22" i="28"/>
  <c r="AI22" i="28"/>
  <c r="AJ22" i="28"/>
  <c r="AL22" i="28"/>
  <c r="AN22" i="28"/>
  <c r="AO22" i="28"/>
  <c r="AQ22" i="28"/>
  <c r="H23" i="28"/>
  <c r="I23" i="28"/>
  <c r="J23" i="28"/>
  <c r="K23" i="28"/>
  <c r="L23" i="28"/>
  <c r="M23" i="28"/>
  <c r="N23" i="28"/>
  <c r="O23" i="28"/>
  <c r="P23" i="28"/>
  <c r="S23" i="28"/>
  <c r="T23" i="28"/>
  <c r="U23" i="28"/>
  <c r="Z23" i="28"/>
  <c r="AA23" i="28"/>
  <c r="AC23" i="28"/>
  <c r="AF23" i="28"/>
  <c r="H24" i="28"/>
  <c r="I24" i="28"/>
  <c r="J24" i="28"/>
  <c r="K24" i="28"/>
  <c r="L24" i="28"/>
  <c r="M24" i="28"/>
  <c r="N24" i="28"/>
  <c r="O24" i="28"/>
  <c r="P24" i="28"/>
  <c r="S24" i="28"/>
  <c r="T24" i="28"/>
  <c r="U24" i="28"/>
  <c r="Z24" i="28"/>
  <c r="AA24" i="28"/>
  <c r="AC24" i="28"/>
  <c r="AF24" i="28"/>
  <c r="E25" i="28"/>
  <c r="G25" i="28"/>
  <c r="H25" i="28"/>
  <c r="I25" i="28"/>
  <c r="J25" i="28"/>
  <c r="K25" i="28"/>
  <c r="L25" i="28"/>
  <c r="M25" i="28"/>
  <c r="N25" i="28"/>
  <c r="O25" i="28"/>
  <c r="P25" i="28"/>
  <c r="S25" i="28"/>
  <c r="T25" i="28"/>
  <c r="U25" i="28"/>
  <c r="Z25" i="28"/>
  <c r="AA25" i="28"/>
  <c r="AC25" i="28"/>
  <c r="AE25" i="28"/>
  <c r="AF25" i="28"/>
  <c r="E26" i="28"/>
  <c r="G26" i="28"/>
  <c r="H26" i="28"/>
  <c r="I26" i="28"/>
  <c r="J26" i="28"/>
  <c r="K26" i="28"/>
  <c r="L26" i="28"/>
  <c r="M26" i="28"/>
  <c r="N26" i="28"/>
  <c r="O26" i="28"/>
  <c r="P26" i="28"/>
  <c r="S26" i="28"/>
  <c r="T26" i="28"/>
  <c r="U26" i="28"/>
  <c r="Z26" i="28"/>
  <c r="AA26" i="28"/>
  <c r="AC26" i="28"/>
  <c r="AE26" i="28"/>
  <c r="AF26" i="28"/>
  <c r="E27" i="28"/>
  <c r="G27" i="28"/>
  <c r="H27" i="28"/>
  <c r="I27" i="28"/>
  <c r="J27" i="28"/>
  <c r="K27" i="28"/>
  <c r="L27" i="28"/>
  <c r="M27" i="28"/>
  <c r="N27" i="28"/>
  <c r="O27" i="28"/>
  <c r="P27" i="28"/>
  <c r="S27" i="28"/>
  <c r="T27" i="28"/>
  <c r="U27" i="28"/>
  <c r="Z27" i="28"/>
  <c r="AA27" i="28"/>
  <c r="AC27" i="28"/>
  <c r="AE27" i="28"/>
  <c r="AF27" i="28"/>
  <c r="E28" i="28"/>
  <c r="G28" i="28"/>
  <c r="H28" i="28"/>
  <c r="I28" i="28"/>
  <c r="J28" i="28"/>
  <c r="K28" i="28"/>
  <c r="L28" i="28"/>
  <c r="M28" i="28"/>
  <c r="N28" i="28"/>
  <c r="O28" i="28"/>
  <c r="P28" i="28"/>
  <c r="S28" i="28"/>
  <c r="T28" i="28"/>
  <c r="U28" i="28"/>
  <c r="Z28" i="28"/>
  <c r="AA28" i="28"/>
  <c r="AC28" i="28"/>
  <c r="AE28" i="28"/>
  <c r="AF28" i="28"/>
  <c r="E29" i="28"/>
  <c r="G29" i="28"/>
  <c r="H29" i="28"/>
  <c r="I29" i="28"/>
  <c r="J29" i="28"/>
  <c r="K29" i="28"/>
  <c r="L29" i="28"/>
  <c r="M29" i="28"/>
  <c r="N29" i="28"/>
  <c r="O29" i="28"/>
  <c r="P29" i="28"/>
  <c r="S29" i="28"/>
  <c r="T29" i="28"/>
  <c r="U29" i="28"/>
  <c r="Z29" i="28"/>
  <c r="AA29" i="28"/>
  <c r="AC29" i="28"/>
  <c r="AE29" i="28"/>
  <c r="AF29" i="28"/>
  <c r="E30" i="28"/>
  <c r="G30" i="28"/>
  <c r="H30" i="28"/>
  <c r="I30" i="28"/>
  <c r="J30" i="28"/>
  <c r="K30" i="28"/>
  <c r="L30" i="28"/>
  <c r="M30" i="28"/>
  <c r="N30" i="28"/>
  <c r="O30" i="28"/>
  <c r="P30" i="28"/>
  <c r="S30" i="28"/>
  <c r="T30" i="28"/>
  <c r="U30" i="28"/>
  <c r="Z30" i="28"/>
  <c r="AA30" i="28"/>
  <c r="AC30" i="28"/>
  <c r="AE30" i="28"/>
  <c r="AF30" i="28"/>
  <c r="E31" i="28"/>
  <c r="G31" i="28"/>
  <c r="H31" i="28"/>
  <c r="I31" i="28"/>
  <c r="J31" i="28"/>
  <c r="K31" i="28"/>
  <c r="L31" i="28"/>
  <c r="M31" i="28"/>
  <c r="N31" i="28"/>
  <c r="O31" i="28"/>
  <c r="P31" i="28"/>
  <c r="S31" i="28"/>
  <c r="T31" i="28"/>
  <c r="U31" i="28"/>
  <c r="Z31" i="28"/>
  <c r="AA31" i="28"/>
  <c r="AC31" i="28"/>
  <c r="AE31" i="28"/>
  <c r="AF31" i="28"/>
  <c r="E32" i="28"/>
  <c r="G32" i="28"/>
  <c r="H32" i="28"/>
  <c r="I32" i="28"/>
  <c r="J32" i="28"/>
  <c r="K32" i="28"/>
  <c r="L32" i="28"/>
  <c r="M32" i="28"/>
  <c r="N32" i="28"/>
  <c r="O32" i="28"/>
  <c r="P32" i="28"/>
  <c r="S32" i="28"/>
  <c r="T32" i="28"/>
  <c r="U32" i="28"/>
  <c r="Z32" i="28"/>
  <c r="AA32" i="28"/>
  <c r="AC32" i="28"/>
  <c r="AE32" i="28"/>
  <c r="AF32" i="28"/>
  <c r="E33" i="28"/>
  <c r="G33" i="28"/>
  <c r="H33" i="28"/>
  <c r="I33" i="28"/>
  <c r="J33" i="28"/>
  <c r="K33" i="28"/>
  <c r="L33" i="28"/>
  <c r="M33" i="28"/>
  <c r="N33" i="28"/>
  <c r="O33" i="28"/>
  <c r="P33" i="28"/>
  <c r="S33" i="28"/>
  <c r="T33" i="28"/>
  <c r="U33" i="28"/>
  <c r="Z33" i="28"/>
  <c r="AA33" i="28"/>
  <c r="AC33" i="28"/>
  <c r="AE33" i="28"/>
  <c r="AF33" i="28"/>
  <c r="E34" i="28"/>
  <c r="G34" i="28"/>
  <c r="H34" i="28"/>
  <c r="I34" i="28"/>
  <c r="J34" i="28"/>
  <c r="K34" i="28"/>
  <c r="L34" i="28"/>
  <c r="M34" i="28"/>
  <c r="N34" i="28"/>
  <c r="O34" i="28"/>
  <c r="P34" i="28"/>
  <c r="S34" i="28"/>
  <c r="T34" i="28"/>
  <c r="U34" i="28"/>
  <c r="Z34" i="28"/>
  <c r="AA34" i="28"/>
  <c r="AC34" i="28"/>
  <c r="AE34" i="28"/>
  <c r="AF34" i="28"/>
  <c r="E35" i="28"/>
  <c r="G35" i="28"/>
  <c r="H35" i="28"/>
  <c r="I35" i="28"/>
  <c r="J35" i="28"/>
  <c r="K35" i="28"/>
  <c r="L35" i="28"/>
  <c r="M35" i="28"/>
  <c r="N35" i="28"/>
  <c r="O35" i="28"/>
  <c r="P35" i="28"/>
  <c r="S35" i="28"/>
  <c r="T35" i="28"/>
  <c r="U35" i="28"/>
  <c r="Z35" i="28"/>
  <c r="AA35" i="28"/>
  <c r="AC35" i="28"/>
  <c r="AE35" i="28"/>
  <c r="AF35" i="28"/>
  <c r="J36" i="28"/>
  <c r="K36" i="28"/>
  <c r="L36" i="28"/>
  <c r="M36" i="28"/>
  <c r="N36" i="28"/>
  <c r="O36" i="28"/>
  <c r="P36" i="28"/>
  <c r="S36" i="28"/>
  <c r="T36" i="28"/>
  <c r="U36" i="28"/>
  <c r="Z36" i="28"/>
  <c r="AA36" i="28"/>
  <c r="AC36" i="28"/>
  <c r="AF36" i="28"/>
  <c r="J37" i="28"/>
  <c r="K37" i="28"/>
  <c r="L37" i="28"/>
  <c r="M37" i="28"/>
  <c r="N37" i="28"/>
  <c r="O37" i="28"/>
  <c r="P37" i="28"/>
  <c r="S37" i="28"/>
  <c r="T37" i="28"/>
  <c r="U37" i="28"/>
  <c r="Z37" i="28"/>
  <c r="AA37" i="28"/>
  <c r="AC37" i="28"/>
  <c r="AF37" i="28"/>
  <c r="J38" i="28"/>
  <c r="K38" i="28"/>
  <c r="L38" i="28"/>
  <c r="M38" i="28"/>
  <c r="N38" i="28"/>
  <c r="O38" i="28"/>
  <c r="P38" i="28"/>
  <c r="S38" i="28"/>
  <c r="T38" i="28"/>
  <c r="U38" i="28"/>
  <c r="Z38" i="28"/>
  <c r="AA38" i="28"/>
  <c r="AC38" i="28"/>
  <c r="AF38" i="28"/>
  <c r="J39" i="28"/>
  <c r="K39" i="28"/>
  <c r="L39" i="28"/>
  <c r="M39" i="28"/>
  <c r="N39" i="28"/>
  <c r="O39" i="28"/>
  <c r="P39" i="28"/>
  <c r="S39" i="28"/>
  <c r="T39" i="28"/>
  <c r="U39" i="28"/>
  <c r="Z39" i="28"/>
  <c r="AA39" i="28"/>
  <c r="AC39" i="28"/>
  <c r="AF39" i="28"/>
  <c r="J40" i="28"/>
  <c r="K40" i="28"/>
  <c r="L40" i="28"/>
  <c r="M40" i="28"/>
  <c r="N40" i="28"/>
  <c r="O40" i="28"/>
  <c r="P40" i="28"/>
  <c r="S40" i="28"/>
  <c r="T40" i="28"/>
  <c r="U40" i="28"/>
  <c r="Z40" i="28"/>
  <c r="AA40" i="28"/>
  <c r="AC40" i="28"/>
  <c r="AF40" i="28"/>
  <c r="J41" i="28"/>
  <c r="K41" i="28"/>
  <c r="L41" i="28"/>
  <c r="M41" i="28"/>
  <c r="N41" i="28"/>
  <c r="O41" i="28"/>
  <c r="P41" i="28"/>
  <c r="S41" i="28"/>
  <c r="T41" i="28"/>
  <c r="U41" i="28"/>
  <c r="Z41" i="28"/>
  <c r="AA41" i="28"/>
  <c r="AC41" i="28"/>
  <c r="AF41" i="28"/>
  <c r="J42" i="28"/>
  <c r="K42" i="28"/>
  <c r="L42" i="28"/>
  <c r="M42" i="28"/>
  <c r="N42" i="28"/>
  <c r="O42" i="28"/>
  <c r="P42" i="28"/>
  <c r="S42" i="28"/>
  <c r="T42" i="28"/>
  <c r="U42" i="28"/>
  <c r="Z42" i="28"/>
  <c r="AA42" i="28"/>
  <c r="AC42" i="28"/>
  <c r="AF42" i="28"/>
  <c r="K43" i="28"/>
  <c r="L43" i="28"/>
  <c r="M43" i="28"/>
  <c r="N43" i="28"/>
  <c r="O43" i="28"/>
  <c r="P43" i="28"/>
  <c r="S43" i="28"/>
  <c r="T43" i="28"/>
  <c r="U43" i="28"/>
  <c r="AA43" i="28"/>
  <c r="AC43" i="28"/>
  <c r="AF43" i="28"/>
  <c r="K44" i="28"/>
  <c r="L44" i="28"/>
  <c r="M44" i="28"/>
  <c r="N44" i="28"/>
  <c r="O44" i="28"/>
  <c r="P44" i="28"/>
  <c r="S44" i="28"/>
  <c r="T44" i="28"/>
  <c r="U44" i="28"/>
  <c r="AA44" i="28"/>
  <c r="AC44" i="28"/>
  <c r="AF44" i="28"/>
  <c r="K45" i="28"/>
  <c r="L45" i="28"/>
  <c r="M45" i="28"/>
  <c r="N45" i="28"/>
  <c r="O45" i="28"/>
  <c r="P45" i="28"/>
  <c r="S45" i="28"/>
  <c r="T45" i="28"/>
  <c r="U45" i="28"/>
  <c r="AA45" i="28"/>
  <c r="AC45" i="28"/>
  <c r="AF45" i="28"/>
  <c r="K46" i="28"/>
  <c r="L46" i="28"/>
  <c r="M46" i="28"/>
  <c r="N46" i="28"/>
  <c r="O46" i="28"/>
  <c r="P46" i="28"/>
  <c r="S46" i="28"/>
  <c r="T46" i="28"/>
  <c r="U46" i="28"/>
  <c r="AA46" i="28"/>
  <c r="AC46" i="28"/>
  <c r="AF46" i="28"/>
  <c r="K47" i="28"/>
  <c r="L47" i="28"/>
  <c r="M47" i="28"/>
  <c r="N47" i="28"/>
  <c r="O47" i="28"/>
  <c r="P47" i="28"/>
  <c r="S47" i="28"/>
  <c r="T47" i="28"/>
  <c r="U47" i="28"/>
  <c r="AA47" i="28"/>
  <c r="AC47" i="28"/>
  <c r="AF47" i="28"/>
  <c r="K48" i="28"/>
  <c r="L48" i="28"/>
  <c r="M48" i="28"/>
  <c r="N48" i="28"/>
  <c r="O48" i="28"/>
  <c r="P48" i="28"/>
  <c r="S48" i="28"/>
  <c r="T48" i="28"/>
  <c r="U48" i="28"/>
  <c r="AA48" i="28"/>
  <c r="AC48" i="28"/>
  <c r="AF48" i="28"/>
  <c r="K49" i="28"/>
  <c r="L49" i="28"/>
  <c r="M49" i="28"/>
  <c r="N49" i="28"/>
  <c r="O49" i="28"/>
  <c r="P49" i="28"/>
  <c r="S49" i="28"/>
  <c r="T49" i="28"/>
  <c r="U49" i="28"/>
  <c r="AA49" i="28"/>
  <c r="AC49" i="28"/>
  <c r="AF49" i="28"/>
  <c r="K50" i="28"/>
  <c r="L50" i="28"/>
  <c r="M50" i="28"/>
  <c r="N50" i="28"/>
  <c r="O50" i="28"/>
  <c r="P50" i="28"/>
  <c r="S50" i="28"/>
  <c r="T50" i="28"/>
  <c r="U50" i="28"/>
  <c r="AA50" i="28"/>
  <c r="AC50" i="28"/>
  <c r="AF50" i="28"/>
  <c r="K51" i="28"/>
  <c r="L51" i="28"/>
  <c r="M51" i="28"/>
  <c r="N51" i="28"/>
  <c r="O51" i="28"/>
  <c r="P51" i="28"/>
  <c r="S51" i="28"/>
  <c r="T51" i="28"/>
  <c r="U51" i="28"/>
  <c r="AA51" i="28"/>
  <c r="AC51" i="28"/>
  <c r="AF51" i="28"/>
  <c r="K52" i="28"/>
  <c r="L52" i="28"/>
  <c r="M52" i="28"/>
  <c r="N52" i="28"/>
  <c r="O52" i="28"/>
  <c r="P52" i="28"/>
  <c r="S52" i="28"/>
  <c r="T52" i="28"/>
  <c r="U52" i="28"/>
  <c r="AA52" i="28"/>
  <c r="AC52" i="28"/>
  <c r="AF52" i="28"/>
  <c r="K53" i="28"/>
  <c r="L53" i="28"/>
  <c r="M53" i="28"/>
  <c r="N53" i="28"/>
  <c r="O53" i="28"/>
  <c r="P53" i="28"/>
  <c r="S53" i="28"/>
  <c r="T53" i="28"/>
  <c r="U53" i="28"/>
  <c r="AA53" i="28"/>
  <c r="AC53" i="28"/>
  <c r="AF53" i="28"/>
  <c r="K54" i="28"/>
  <c r="L54" i="28"/>
  <c r="M54" i="28"/>
  <c r="N54" i="28"/>
  <c r="O54" i="28"/>
  <c r="P54" i="28"/>
  <c r="S54" i="28"/>
  <c r="T54" i="28"/>
  <c r="U54" i="28"/>
  <c r="AA54" i="28"/>
  <c r="AC54" i="28"/>
  <c r="AF54" i="28"/>
  <c r="K55" i="28"/>
  <c r="L55" i="28"/>
  <c r="M55" i="28"/>
  <c r="N55" i="28"/>
  <c r="O55" i="28"/>
  <c r="P55" i="28"/>
  <c r="S55" i="28"/>
  <c r="T55" i="28"/>
  <c r="U55" i="28"/>
  <c r="AA55" i="28"/>
  <c r="AC55" i="28"/>
  <c r="AF55" i="28"/>
  <c r="K56" i="28"/>
  <c r="L56" i="28"/>
  <c r="M56" i="28"/>
  <c r="N56" i="28"/>
  <c r="O56" i="28"/>
  <c r="P56" i="28"/>
  <c r="S56" i="28"/>
  <c r="T56" i="28"/>
  <c r="U56" i="28"/>
  <c r="AA56" i="28"/>
  <c r="AC56" i="28"/>
  <c r="AF56" i="28"/>
  <c r="K57" i="28"/>
  <c r="L57" i="28"/>
  <c r="M57" i="28"/>
  <c r="N57" i="28"/>
  <c r="O57" i="28"/>
  <c r="P57" i="28"/>
  <c r="S57" i="28"/>
  <c r="T57" i="28"/>
  <c r="U57" i="28"/>
  <c r="AA57" i="28"/>
  <c r="AC57" i="28"/>
  <c r="AF57" i="28"/>
  <c r="K58" i="28"/>
  <c r="L58" i="28"/>
  <c r="M58" i="28"/>
  <c r="N58" i="28"/>
  <c r="O58" i="28"/>
  <c r="P58" i="28"/>
  <c r="S58" i="28"/>
  <c r="T58" i="28"/>
  <c r="U58" i="28"/>
  <c r="AA58" i="28"/>
  <c r="AC58" i="28"/>
  <c r="AF58" i="28"/>
  <c r="K59" i="28"/>
  <c r="L59" i="28"/>
  <c r="M59" i="28"/>
  <c r="N59" i="28"/>
  <c r="O59" i="28"/>
  <c r="P59" i="28"/>
  <c r="S59" i="28"/>
  <c r="T59" i="28"/>
  <c r="U59" i="28"/>
  <c r="AA59" i="28"/>
  <c r="AC59" i="28"/>
  <c r="AF59" i="28"/>
  <c r="K60" i="28"/>
  <c r="L60" i="28"/>
  <c r="M60" i="28"/>
  <c r="N60" i="28"/>
  <c r="O60" i="28"/>
  <c r="P60" i="28"/>
  <c r="S60" i="28"/>
  <c r="T60" i="28"/>
  <c r="U60" i="28"/>
  <c r="AA60" i="28"/>
  <c r="AC60" i="28"/>
  <c r="AF60" i="28"/>
  <c r="K61" i="28"/>
  <c r="L61" i="28"/>
  <c r="M61" i="28"/>
  <c r="N61" i="28"/>
  <c r="O61" i="28"/>
  <c r="P61" i="28"/>
  <c r="S61" i="28"/>
  <c r="T61" i="28"/>
  <c r="U61" i="28"/>
  <c r="AA61" i="28"/>
  <c r="AC61" i="28"/>
  <c r="AF61" i="28"/>
  <c r="K62" i="28"/>
  <c r="L62" i="28"/>
  <c r="M62" i="28"/>
  <c r="N62" i="28"/>
  <c r="O62" i="28"/>
  <c r="P62" i="28"/>
  <c r="S62" i="28"/>
  <c r="T62" i="28"/>
  <c r="U62" i="28"/>
  <c r="AA62" i="28"/>
  <c r="AC62" i="28"/>
  <c r="AF62" i="28"/>
  <c r="K63" i="28"/>
  <c r="L63" i="28"/>
  <c r="M63" i="28"/>
  <c r="N63" i="28"/>
  <c r="O63" i="28"/>
  <c r="P63" i="28"/>
  <c r="S63" i="28"/>
  <c r="T63" i="28"/>
  <c r="U63" i="28"/>
  <c r="AA63" i="28"/>
  <c r="AC63" i="28"/>
  <c r="AF63" i="28"/>
  <c r="K64" i="28"/>
  <c r="L64" i="28"/>
  <c r="M64" i="28"/>
  <c r="N64" i="28"/>
  <c r="O64" i="28"/>
  <c r="P64" i="28"/>
  <c r="S64" i="28"/>
  <c r="T64" i="28"/>
  <c r="U64" i="28"/>
  <c r="AA64" i="28"/>
  <c r="AC64" i="28"/>
  <c r="AF64" i="28"/>
  <c r="K65" i="28"/>
  <c r="L65" i="28"/>
  <c r="M65" i="28"/>
  <c r="N65" i="28"/>
  <c r="O65" i="28"/>
  <c r="P65" i="28"/>
  <c r="S65" i="28"/>
  <c r="T65" i="28"/>
  <c r="U65" i="28"/>
  <c r="AA65" i="28"/>
  <c r="AC65" i="28"/>
  <c r="AF65" i="28"/>
  <c r="K66" i="28"/>
  <c r="L66" i="28"/>
  <c r="M66" i="28"/>
  <c r="N66" i="28"/>
  <c r="O66" i="28"/>
  <c r="P66" i="28"/>
  <c r="S66" i="28"/>
  <c r="T66" i="28"/>
  <c r="U66" i="28"/>
  <c r="AA66" i="28"/>
  <c r="AC66" i="28"/>
  <c r="AF66" i="28"/>
  <c r="K67" i="28"/>
  <c r="L67" i="28"/>
  <c r="M67" i="28"/>
  <c r="N67" i="28"/>
  <c r="O67" i="28"/>
  <c r="P67" i="28"/>
  <c r="S67" i="28"/>
  <c r="T67" i="28"/>
  <c r="U67" i="28"/>
  <c r="AA67" i="28"/>
  <c r="AC67" i="28"/>
  <c r="AF67" i="28"/>
  <c r="K68" i="28"/>
  <c r="L68" i="28"/>
  <c r="M68" i="28"/>
  <c r="N68" i="28"/>
  <c r="O68" i="28"/>
  <c r="P68" i="28"/>
  <c r="S68" i="28"/>
  <c r="T68" i="28"/>
  <c r="U68" i="28"/>
  <c r="AA68" i="28"/>
  <c r="AC68" i="28"/>
  <c r="AF68" i="28"/>
  <c r="K69" i="28"/>
  <c r="L69" i="28"/>
  <c r="M69" i="28"/>
  <c r="N69" i="28"/>
  <c r="O69" i="28"/>
  <c r="P69" i="28"/>
  <c r="S69" i="28"/>
  <c r="T69" i="28"/>
  <c r="U69" i="28"/>
  <c r="AA69" i="28"/>
  <c r="AC69" i="28"/>
  <c r="AF69" i="28"/>
  <c r="K70" i="28"/>
  <c r="L70" i="28"/>
  <c r="M70" i="28"/>
  <c r="N70" i="28"/>
  <c r="O70" i="28"/>
  <c r="P70" i="28"/>
  <c r="S70" i="28"/>
  <c r="T70" i="28"/>
  <c r="U70" i="28"/>
  <c r="AA70" i="28"/>
  <c r="AC70" i="28"/>
  <c r="AF70" i="28"/>
  <c r="K71" i="28"/>
  <c r="L71" i="28"/>
  <c r="M71" i="28"/>
  <c r="N71" i="28"/>
  <c r="O71" i="28"/>
  <c r="P71" i="28"/>
  <c r="S71" i="28"/>
  <c r="T71" i="28"/>
  <c r="U71" i="28"/>
  <c r="AA71" i="28"/>
  <c r="AC71" i="28"/>
  <c r="AF71" i="28"/>
  <c r="K72" i="28"/>
  <c r="L72" i="28"/>
  <c r="M72" i="28"/>
  <c r="N72" i="28"/>
  <c r="O72" i="28"/>
  <c r="P72" i="28"/>
  <c r="S72" i="28"/>
  <c r="T72" i="28"/>
  <c r="U72" i="28"/>
  <c r="AA72" i="28"/>
  <c r="AC72" i="28"/>
  <c r="AF72" i="28"/>
  <c r="K73" i="28"/>
  <c r="L73" i="28"/>
  <c r="M73" i="28"/>
  <c r="N73" i="28"/>
  <c r="O73" i="28"/>
  <c r="P73" i="28"/>
  <c r="S73" i="28"/>
  <c r="T73" i="28"/>
  <c r="U73" i="28"/>
  <c r="AA73" i="28"/>
  <c r="AC73" i="28"/>
  <c r="AF73" i="28"/>
  <c r="K74" i="28"/>
  <c r="L74" i="28"/>
  <c r="M74" i="28"/>
  <c r="N74" i="28"/>
  <c r="O74" i="28"/>
  <c r="P74" i="28"/>
  <c r="S74" i="28"/>
  <c r="T74" i="28"/>
  <c r="U74" i="28"/>
  <c r="AA74" i="28"/>
  <c r="AC74" i="28"/>
  <c r="AF74" i="28"/>
  <c r="K75" i="28"/>
  <c r="L75" i="28"/>
  <c r="M75" i="28"/>
  <c r="N75" i="28"/>
  <c r="O75" i="28"/>
  <c r="P75" i="28"/>
  <c r="S75" i="28"/>
  <c r="T75" i="28"/>
  <c r="U75" i="28"/>
  <c r="AA75" i="28"/>
  <c r="AC75" i="28"/>
  <c r="AF75" i="28"/>
  <c r="K76" i="28"/>
  <c r="L76" i="28"/>
  <c r="M76" i="28"/>
  <c r="N76" i="28"/>
  <c r="O76" i="28"/>
  <c r="P76" i="28"/>
  <c r="S76" i="28"/>
  <c r="T76" i="28"/>
  <c r="U76" i="28"/>
  <c r="AA76" i="28"/>
  <c r="AC76" i="28"/>
  <c r="AF76" i="28"/>
  <c r="K77" i="28"/>
  <c r="L77" i="28"/>
  <c r="M77" i="28"/>
  <c r="N77" i="28"/>
  <c r="O77" i="28"/>
  <c r="P77" i="28"/>
  <c r="S77" i="28"/>
  <c r="T77" i="28"/>
  <c r="U77" i="28"/>
  <c r="AA77" i="28"/>
  <c r="AC77" i="28"/>
  <c r="AF77" i="28"/>
  <c r="K78" i="28"/>
  <c r="L78" i="28"/>
  <c r="M78" i="28"/>
  <c r="N78" i="28"/>
  <c r="O78" i="28"/>
  <c r="P78" i="28"/>
  <c r="S78" i="28"/>
  <c r="T78" i="28"/>
  <c r="U78" i="28"/>
  <c r="AA78" i="28"/>
  <c r="AC78" i="28"/>
  <c r="AF78" i="28"/>
  <c r="K79" i="28"/>
  <c r="L79" i="28"/>
  <c r="M79" i="28"/>
  <c r="N79" i="28"/>
  <c r="O79" i="28"/>
  <c r="P79" i="28"/>
  <c r="S79" i="28"/>
  <c r="T79" i="28"/>
  <c r="U79" i="28"/>
  <c r="AA79" i="28"/>
  <c r="AC79" i="28"/>
  <c r="AF79" i="28"/>
  <c r="K80" i="28"/>
  <c r="L80" i="28"/>
  <c r="M80" i="28"/>
  <c r="N80" i="28"/>
  <c r="O80" i="28"/>
  <c r="P80" i="28"/>
  <c r="S80" i="28"/>
  <c r="T80" i="28"/>
  <c r="U80" i="28"/>
  <c r="AA80" i="28"/>
  <c r="AC80" i="28"/>
  <c r="AF80" i="28"/>
  <c r="K81" i="28"/>
  <c r="L81" i="28"/>
  <c r="M81" i="28"/>
  <c r="N81" i="28"/>
  <c r="O81" i="28"/>
  <c r="P81" i="28"/>
  <c r="S81" i="28"/>
  <c r="T81" i="28"/>
  <c r="U81" i="28"/>
  <c r="AA81" i="28"/>
  <c r="AC81" i="28"/>
  <c r="AF81" i="28"/>
  <c r="K82" i="28"/>
  <c r="L82" i="28"/>
  <c r="M82" i="28"/>
  <c r="N82" i="28"/>
  <c r="O82" i="28"/>
  <c r="P82" i="28"/>
  <c r="S82" i="28"/>
  <c r="T82" i="28"/>
  <c r="U82" i="28"/>
  <c r="AA82" i="28"/>
  <c r="AC82" i="28"/>
  <c r="AF82" i="28"/>
  <c r="K83" i="28"/>
  <c r="L83" i="28"/>
  <c r="M83" i="28"/>
  <c r="N83" i="28"/>
  <c r="O83" i="28"/>
  <c r="P83" i="28"/>
  <c r="S83" i="28"/>
  <c r="T83" i="28"/>
  <c r="U83" i="28"/>
  <c r="AA83" i="28"/>
  <c r="AC83" i="28"/>
  <c r="AF83" i="28"/>
  <c r="K84" i="28"/>
  <c r="L84" i="28"/>
  <c r="M84" i="28"/>
  <c r="N84" i="28"/>
  <c r="O84" i="28"/>
  <c r="P84" i="28"/>
  <c r="S84" i="28"/>
  <c r="T84" i="28"/>
  <c r="U84" i="28"/>
  <c r="AA84" i="28"/>
  <c r="AC84" i="28"/>
  <c r="AF84" i="28"/>
  <c r="K85" i="28"/>
  <c r="L85" i="28"/>
  <c r="M85" i="28"/>
  <c r="N85" i="28"/>
  <c r="O85" i="28"/>
  <c r="P85" i="28"/>
  <c r="S85" i="28"/>
  <c r="T85" i="28"/>
  <c r="U85" i="28"/>
  <c r="AA85" i="28"/>
  <c r="AC85" i="28"/>
  <c r="AF85" i="28"/>
  <c r="K86" i="28"/>
  <c r="L86" i="28"/>
  <c r="M86" i="28"/>
  <c r="N86" i="28"/>
  <c r="O86" i="28"/>
  <c r="P86" i="28"/>
  <c r="S86" i="28"/>
  <c r="T86" i="28"/>
  <c r="U86" i="28"/>
  <c r="AA86" i="28"/>
  <c r="AC86" i="28"/>
  <c r="AF86" i="28"/>
  <c r="K87" i="28"/>
  <c r="L87" i="28"/>
  <c r="M87" i="28"/>
  <c r="N87" i="28"/>
  <c r="O87" i="28"/>
  <c r="P87" i="28"/>
  <c r="S87" i="28"/>
  <c r="T87" i="28"/>
  <c r="U87" i="28"/>
  <c r="AA87" i="28"/>
  <c r="AC87" i="28"/>
  <c r="AF87" i="28"/>
  <c r="K88" i="28"/>
  <c r="L88" i="28"/>
  <c r="M88" i="28"/>
  <c r="N88" i="28"/>
  <c r="O88" i="28"/>
  <c r="P88" i="28"/>
  <c r="S88" i="28"/>
  <c r="T88" i="28"/>
  <c r="U88" i="28"/>
  <c r="AA88" i="28"/>
  <c r="AC88" i="28"/>
  <c r="AF88" i="28"/>
  <c r="K89" i="28"/>
  <c r="L89" i="28"/>
  <c r="M89" i="28"/>
  <c r="N89" i="28"/>
  <c r="O89" i="28"/>
  <c r="P89" i="28"/>
  <c r="S89" i="28"/>
  <c r="T89" i="28"/>
  <c r="U89" i="28"/>
  <c r="AA89" i="28"/>
  <c r="AC89" i="28"/>
  <c r="AF89" i="28"/>
  <c r="K90" i="28"/>
  <c r="L90" i="28"/>
  <c r="M90" i="28"/>
  <c r="N90" i="28"/>
  <c r="O90" i="28"/>
  <c r="P90" i="28"/>
  <c r="S90" i="28"/>
  <c r="T90" i="28"/>
  <c r="U90" i="28"/>
  <c r="AA90" i="28"/>
  <c r="AC90" i="28"/>
  <c r="AF90" i="28"/>
  <c r="K91" i="28"/>
  <c r="L91" i="28"/>
  <c r="M91" i="28"/>
  <c r="N91" i="28"/>
  <c r="O91" i="28"/>
  <c r="P91" i="28"/>
  <c r="S91" i="28"/>
  <c r="T91" i="28"/>
  <c r="U91" i="28"/>
  <c r="AA91" i="28"/>
  <c r="AC91" i="28"/>
  <c r="AF91" i="28"/>
  <c r="K92" i="28"/>
  <c r="L92" i="28"/>
  <c r="M92" i="28"/>
  <c r="N92" i="28"/>
  <c r="O92" i="28"/>
  <c r="P92" i="28"/>
  <c r="S92" i="28"/>
  <c r="T92" i="28"/>
  <c r="U92" i="28"/>
  <c r="AA92" i="28"/>
  <c r="AC92" i="28"/>
  <c r="AF92" i="28"/>
  <c r="K93" i="28"/>
  <c r="L93" i="28"/>
  <c r="M93" i="28"/>
  <c r="N93" i="28"/>
  <c r="O93" i="28"/>
  <c r="P93" i="28"/>
  <c r="S93" i="28"/>
  <c r="T93" i="28"/>
  <c r="U93" i="28"/>
  <c r="AC93" i="28"/>
  <c r="K94" i="28"/>
  <c r="L94" i="28"/>
  <c r="M94" i="28"/>
  <c r="N94" i="28"/>
  <c r="O94" i="28"/>
  <c r="P94" i="28"/>
  <c r="U94" i="28"/>
  <c r="AC94" i="28"/>
  <c r="K95" i="28"/>
  <c r="L95" i="28"/>
  <c r="M95" i="28"/>
  <c r="N95" i="28"/>
  <c r="O95" i="28"/>
  <c r="P95" i="28"/>
  <c r="G97" i="28"/>
  <c r="H97" i="28"/>
  <c r="I97" i="28"/>
  <c r="J97" i="28"/>
  <c r="K97" i="28"/>
  <c r="L97" i="28"/>
  <c r="N97" i="28"/>
  <c r="O97" i="28"/>
  <c r="P97" i="28"/>
  <c r="S97" i="28"/>
  <c r="T97" i="28"/>
  <c r="Z97" i="28"/>
  <c r="AE97" i="28"/>
  <c r="AF97" i="28"/>
  <c r="A4" i="11"/>
  <c r="H11" i="11"/>
  <c r="I11" i="11"/>
  <c r="J11" i="11"/>
  <c r="K11" i="11"/>
  <c r="L11" i="11"/>
  <c r="M11" i="11"/>
  <c r="N11" i="11"/>
  <c r="O11" i="11"/>
  <c r="P11" i="11"/>
  <c r="S11" i="11"/>
  <c r="T11" i="11"/>
  <c r="U11" i="11"/>
  <c r="AF11" i="11"/>
  <c r="AL11" i="11"/>
  <c r="AQ11" i="11"/>
  <c r="H12" i="11"/>
  <c r="K12" i="11"/>
  <c r="L12" i="11"/>
  <c r="M12" i="11"/>
  <c r="N12" i="11"/>
  <c r="O12" i="11"/>
  <c r="S12" i="11"/>
  <c r="U12" i="11"/>
  <c r="AF12" i="11"/>
  <c r="H13" i="11"/>
  <c r="I13" i="11"/>
  <c r="J13" i="11"/>
  <c r="K13" i="11"/>
  <c r="L13" i="11"/>
  <c r="M13" i="11"/>
  <c r="N13" i="11"/>
  <c r="O13" i="11"/>
  <c r="P13" i="11"/>
  <c r="S13" i="11"/>
  <c r="T13" i="11"/>
  <c r="U13" i="11"/>
  <c r="Z13" i="11"/>
  <c r="AA13" i="11"/>
  <c r="AC13" i="11"/>
  <c r="AF13" i="11"/>
  <c r="AJ13" i="11"/>
  <c r="AL13" i="11"/>
  <c r="AO13" i="11"/>
  <c r="AQ13" i="11"/>
  <c r="H14" i="11"/>
  <c r="K14" i="11"/>
  <c r="L14" i="11"/>
  <c r="M14" i="11"/>
  <c r="N14" i="11"/>
  <c r="O14" i="11"/>
  <c r="S14" i="11"/>
  <c r="U14" i="11"/>
  <c r="AC14" i="11"/>
  <c r="AF14" i="11"/>
  <c r="AJ14" i="11"/>
  <c r="AL14" i="11"/>
  <c r="AO14" i="11"/>
  <c r="AQ14" i="11"/>
  <c r="H15" i="11"/>
  <c r="I15" i="11"/>
  <c r="J15" i="11"/>
  <c r="K15" i="11"/>
  <c r="L15" i="11"/>
  <c r="M15" i="11"/>
  <c r="N15" i="11"/>
  <c r="O15" i="11"/>
  <c r="P15" i="11"/>
  <c r="S15" i="11"/>
  <c r="T15" i="11"/>
  <c r="U15" i="11"/>
  <c r="Z15" i="11"/>
  <c r="AA15" i="11"/>
  <c r="AC15" i="11"/>
  <c r="AF15" i="11"/>
  <c r="AI15" i="11"/>
  <c r="AJ15" i="11"/>
  <c r="AL15" i="11"/>
  <c r="AN15" i="11"/>
  <c r="AO15" i="11"/>
  <c r="AQ15" i="11"/>
  <c r="H16" i="11"/>
  <c r="K16" i="11"/>
  <c r="L16" i="11"/>
  <c r="M16" i="11"/>
  <c r="N16" i="11"/>
  <c r="O16" i="11"/>
  <c r="S16" i="11"/>
  <c r="U16" i="11"/>
  <c r="AC16" i="11"/>
  <c r="AF16" i="11"/>
  <c r="AI16" i="11"/>
  <c r="AJ16" i="11"/>
  <c r="AL16" i="11"/>
  <c r="AN16" i="11"/>
  <c r="AO16" i="11"/>
  <c r="AQ16" i="11"/>
  <c r="H17" i="11"/>
  <c r="I17" i="11"/>
  <c r="J17" i="11"/>
  <c r="K17" i="11"/>
  <c r="L17" i="11"/>
  <c r="M17" i="11"/>
  <c r="N17" i="11"/>
  <c r="O17" i="11"/>
  <c r="P17" i="11"/>
  <c r="S17" i="11"/>
  <c r="T17" i="11"/>
  <c r="U17" i="11"/>
  <c r="Z17" i="11"/>
  <c r="AA17" i="11"/>
  <c r="AC17" i="11"/>
  <c r="AF17" i="11"/>
  <c r="AI17" i="11"/>
  <c r="AJ17" i="11"/>
  <c r="AL17" i="11"/>
  <c r="AN17" i="11"/>
  <c r="AO17" i="11"/>
  <c r="AQ17" i="11"/>
  <c r="H18" i="11"/>
  <c r="K18" i="11"/>
  <c r="L18" i="11"/>
  <c r="M18" i="11"/>
  <c r="N18" i="11"/>
  <c r="O18" i="11"/>
  <c r="S18" i="11"/>
  <c r="U18" i="11"/>
  <c r="AC18" i="11"/>
  <c r="AF18" i="11"/>
  <c r="AI18" i="11"/>
  <c r="AJ18" i="11"/>
  <c r="AL18" i="11"/>
  <c r="AN18" i="11"/>
  <c r="AO18" i="11"/>
  <c r="AQ18" i="11"/>
  <c r="H19" i="11"/>
  <c r="I19" i="11"/>
  <c r="J19" i="11"/>
  <c r="K19" i="11"/>
  <c r="L19" i="11"/>
  <c r="M19" i="11"/>
  <c r="N19" i="11"/>
  <c r="O19" i="11"/>
  <c r="P19" i="11"/>
  <c r="S19" i="11"/>
  <c r="T19" i="11"/>
  <c r="U19" i="11"/>
  <c r="Z19" i="11"/>
  <c r="AA19" i="11"/>
  <c r="AC19" i="11"/>
  <c r="AF19" i="11"/>
  <c r="AI19" i="11"/>
  <c r="AJ19" i="11"/>
  <c r="AL19" i="11"/>
  <c r="AN19" i="11"/>
  <c r="AO19" i="11"/>
  <c r="AQ19" i="11"/>
  <c r="H20" i="11"/>
  <c r="K20" i="11"/>
  <c r="L20" i="11"/>
  <c r="M20" i="11"/>
  <c r="N20" i="11"/>
  <c r="O20" i="11"/>
  <c r="S20" i="11"/>
  <c r="U20" i="11"/>
  <c r="AC20" i="11"/>
  <c r="AF20" i="11"/>
  <c r="AI20" i="11"/>
  <c r="AJ20" i="11"/>
  <c r="AL20" i="11"/>
  <c r="AN20" i="11"/>
  <c r="AO20" i="11"/>
  <c r="AQ20" i="11"/>
  <c r="H21" i="11"/>
  <c r="I21" i="11"/>
  <c r="J21" i="11"/>
  <c r="K21" i="11"/>
  <c r="L21" i="11"/>
  <c r="M21" i="11"/>
  <c r="N21" i="11"/>
  <c r="O21" i="11"/>
  <c r="P21" i="11"/>
  <c r="S21" i="11"/>
  <c r="T21" i="11"/>
  <c r="U21" i="11"/>
  <c r="Z21" i="11"/>
  <c r="AA21" i="11"/>
  <c r="AC21" i="11"/>
  <c r="AF21" i="11"/>
  <c r="AI21" i="11"/>
  <c r="AJ21" i="11"/>
  <c r="AL21" i="11"/>
  <c r="AN21" i="11"/>
  <c r="AO21" i="11"/>
  <c r="AQ21" i="11"/>
  <c r="H22" i="11"/>
  <c r="K22" i="11"/>
  <c r="L22" i="11"/>
  <c r="M22" i="11"/>
  <c r="N22" i="11"/>
  <c r="O22" i="11"/>
  <c r="S22" i="11"/>
  <c r="U22" i="11"/>
  <c r="AC22" i="11"/>
  <c r="AF22" i="11"/>
  <c r="AI22" i="11"/>
  <c r="AJ22" i="11"/>
  <c r="AL22" i="11"/>
  <c r="AN22" i="11"/>
  <c r="AO22" i="11"/>
  <c r="AQ22" i="11"/>
  <c r="H23" i="11"/>
  <c r="I23" i="11"/>
  <c r="J23" i="11"/>
  <c r="K23" i="11"/>
  <c r="L23" i="11"/>
  <c r="M23" i="11"/>
  <c r="N23" i="11"/>
  <c r="O23" i="11"/>
  <c r="P23" i="11"/>
  <c r="S23" i="11"/>
  <c r="T23" i="11"/>
  <c r="U23" i="11"/>
  <c r="Z23" i="11"/>
  <c r="AA23" i="11"/>
  <c r="AC23" i="11"/>
  <c r="AF23" i="11"/>
  <c r="H24" i="11"/>
  <c r="K24" i="11"/>
  <c r="L24" i="11"/>
  <c r="M24" i="11"/>
  <c r="N24" i="11"/>
  <c r="O24" i="11"/>
  <c r="S24" i="11"/>
  <c r="U24" i="11"/>
  <c r="AC24" i="11"/>
  <c r="AF24" i="11"/>
  <c r="H25" i="11"/>
  <c r="I25" i="11"/>
  <c r="J25" i="11"/>
  <c r="K25" i="11"/>
  <c r="L25" i="11"/>
  <c r="M25" i="11"/>
  <c r="N25" i="11"/>
  <c r="O25" i="11"/>
  <c r="P25" i="11"/>
  <c r="S25" i="11"/>
  <c r="T25" i="11"/>
  <c r="U25" i="11"/>
  <c r="Z25" i="11"/>
  <c r="AA25" i="11"/>
  <c r="AC25" i="11"/>
  <c r="AF25" i="11"/>
  <c r="H26" i="11"/>
  <c r="K26" i="11"/>
  <c r="L26" i="11"/>
  <c r="M26" i="11"/>
  <c r="N26" i="11"/>
  <c r="O26" i="11"/>
  <c r="S26" i="11"/>
  <c r="U26" i="11"/>
  <c r="AC26" i="11"/>
  <c r="AF26" i="11"/>
  <c r="H27" i="11"/>
  <c r="I27" i="11"/>
  <c r="J27" i="11"/>
  <c r="K27" i="11"/>
  <c r="L27" i="11"/>
  <c r="M27" i="11"/>
  <c r="N27" i="11"/>
  <c r="O27" i="11"/>
  <c r="P27" i="11"/>
  <c r="S27" i="11"/>
  <c r="T27" i="11"/>
  <c r="U27" i="11"/>
  <c r="Z27" i="11"/>
  <c r="AA27" i="11"/>
  <c r="AC27" i="11"/>
  <c r="AF27" i="11"/>
  <c r="H28" i="11"/>
  <c r="K28" i="11"/>
  <c r="L28" i="11"/>
  <c r="M28" i="11"/>
  <c r="N28" i="11"/>
  <c r="O28" i="11"/>
  <c r="S28" i="11"/>
  <c r="U28" i="11"/>
  <c r="AC28" i="11"/>
  <c r="AF28" i="11"/>
  <c r="H29" i="11"/>
  <c r="I29" i="11"/>
  <c r="J29" i="11"/>
  <c r="K29" i="11"/>
  <c r="L29" i="11"/>
  <c r="M29" i="11"/>
  <c r="N29" i="11"/>
  <c r="O29" i="11"/>
  <c r="P29" i="11"/>
  <c r="S29" i="11"/>
  <c r="T29" i="11"/>
  <c r="U29" i="11"/>
  <c r="Z29" i="11"/>
  <c r="AA29" i="11"/>
  <c r="AC29" i="11"/>
  <c r="AF29" i="11"/>
  <c r="H30" i="11"/>
  <c r="K30" i="11"/>
  <c r="L30" i="11"/>
  <c r="M30" i="11"/>
  <c r="N30" i="11"/>
  <c r="O30" i="11"/>
  <c r="S30" i="11"/>
  <c r="U30" i="11"/>
  <c r="AC30" i="11"/>
  <c r="AF30" i="11"/>
  <c r="H31" i="11"/>
  <c r="I31" i="11"/>
  <c r="J31" i="11"/>
  <c r="K31" i="11"/>
  <c r="L31" i="11"/>
  <c r="M31" i="11"/>
  <c r="N31" i="11"/>
  <c r="O31" i="11"/>
  <c r="P31" i="11"/>
  <c r="S31" i="11"/>
  <c r="T31" i="11"/>
  <c r="U31" i="11"/>
  <c r="Z31" i="11"/>
  <c r="AA31" i="11"/>
  <c r="AC31" i="11"/>
  <c r="AF31" i="11"/>
  <c r="H32" i="11"/>
  <c r="K32" i="11"/>
  <c r="L32" i="11"/>
  <c r="M32" i="11"/>
  <c r="N32" i="11"/>
  <c r="O32" i="11"/>
  <c r="S32" i="11"/>
  <c r="U32" i="11"/>
  <c r="AC32" i="11"/>
  <c r="AF32" i="11"/>
  <c r="H33" i="11"/>
  <c r="I33" i="11"/>
  <c r="J33" i="11"/>
  <c r="K33" i="11"/>
  <c r="L33" i="11"/>
  <c r="M33" i="11"/>
  <c r="N33" i="11"/>
  <c r="O33" i="11"/>
  <c r="P33" i="11"/>
  <c r="S33" i="11"/>
  <c r="T33" i="11"/>
  <c r="U33" i="11"/>
  <c r="Z33" i="11"/>
  <c r="AA33" i="11"/>
  <c r="AC33" i="11"/>
  <c r="AF33" i="11"/>
  <c r="H34" i="11"/>
  <c r="K34" i="11"/>
  <c r="L34" i="11"/>
  <c r="M34" i="11"/>
  <c r="N34" i="11"/>
  <c r="O34" i="11"/>
  <c r="S34" i="11"/>
  <c r="U34" i="11"/>
  <c r="AC34" i="11"/>
  <c r="AF34" i="11"/>
  <c r="H35" i="11"/>
  <c r="I35" i="11"/>
  <c r="J35" i="11"/>
  <c r="K35" i="11"/>
  <c r="L35" i="11"/>
  <c r="M35" i="11"/>
  <c r="N35" i="11"/>
  <c r="O35" i="11"/>
  <c r="P35" i="11"/>
  <c r="S35" i="11"/>
  <c r="T35" i="11"/>
  <c r="U35" i="11"/>
  <c r="Z35" i="11"/>
  <c r="AA35" i="11"/>
  <c r="AC35" i="11"/>
  <c r="AF35" i="11"/>
  <c r="H36" i="11"/>
  <c r="K36" i="11"/>
  <c r="L36" i="11"/>
  <c r="M36" i="11"/>
  <c r="N36" i="11"/>
  <c r="O36" i="11"/>
  <c r="S36" i="11"/>
  <c r="U36" i="11"/>
  <c r="AC36" i="11"/>
  <c r="AF36" i="11"/>
  <c r="H37" i="11"/>
  <c r="I37" i="11"/>
  <c r="J37" i="11"/>
  <c r="K37" i="11"/>
  <c r="L37" i="11"/>
  <c r="M37" i="11"/>
  <c r="N37" i="11"/>
  <c r="O37" i="11"/>
  <c r="P37" i="11"/>
  <c r="S37" i="11"/>
  <c r="T37" i="11"/>
  <c r="U37" i="11"/>
  <c r="Z37" i="11"/>
  <c r="AA37" i="11"/>
  <c r="AC37" i="11"/>
  <c r="AF37" i="11"/>
  <c r="H38" i="11"/>
  <c r="K38" i="11"/>
  <c r="L38" i="11"/>
  <c r="M38" i="11"/>
  <c r="N38" i="11"/>
  <c r="O38" i="11"/>
  <c r="S38" i="11"/>
  <c r="U38" i="11"/>
  <c r="AC38" i="11"/>
  <c r="AF38" i="11"/>
  <c r="H39" i="11"/>
  <c r="I39" i="11"/>
  <c r="J39" i="11"/>
  <c r="K39" i="11"/>
  <c r="L39" i="11"/>
  <c r="M39" i="11"/>
  <c r="N39" i="11"/>
  <c r="O39" i="11"/>
  <c r="P39" i="11"/>
  <c r="S39" i="11"/>
  <c r="T39" i="11"/>
  <c r="U39" i="11"/>
  <c r="Z39" i="11"/>
  <c r="AA39" i="11"/>
  <c r="AC39" i="11"/>
  <c r="AF39" i="11"/>
  <c r="H40" i="11"/>
  <c r="K40" i="11"/>
  <c r="L40" i="11"/>
  <c r="M40" i="11"/>
  <c r="N40" i="11"/>
  <c r="O40" i="11"/>
  <c r="S40" i="11"/>
  <c r="U40" i="11"/>
  <c r="AC40" i="11"/>
  <c r="AF40" i="11"/>
  <c r="H41" i="11"/>
  <c r="I41" i="11"/>
  <c r="J41" i="11"/>
  <c r="K41" i="11"/>
  <c r="L41" i="11"/>
  <c r="M41" i="11"/>
  <c r="N41" i="11"/>
  <c r="O41" i="11"/>
  <c r="P41" i="11"/>
  <c r="S41" i="11"/>
  <c r="T41" i="11"/>
  <c r="U41" i="11"/>
  <c r="Z41" i="11"/>
  <c r="AA41" i="11"/>
  <c r="AC41" i="11"/>
  <c r="AF41" i="11"/>
  <c r="H42" i="11"/>
  <c r="K42" i="11"/>
  <c r="L42" i="11"/>
  <c r="M42" i="11"/>
  <c r="N42" i="11"/>
  <c r="O42" i="11"/>
  <c r="S42" i="11"/>
  <c r="U42" i="11"/>
  <c r="AC42" i="11"/>
  <c r="AF42" i="11"/>
  <c r="H43" i="11"/>
  <c r="I43" i="11"/>
  <c r="J43" i="11"/>
  <c r="K43" i="11"/>
  <c r="L43" i="11"/>
  <c r="M43" i="11"/>
  <c r="N43" i="11"/>
  <c r="O43" i="11"/>
  <c r="P43" i="11"/>
  <c r="S43" i="11"/>
  <c r="T43" i="11"/>
  <c r="U43" i="11"/>
  <c r="Z43" i="11"/>
  <c r="AA43" i="11"/>
  <c r="AC43" i="11"/>
  <c r="AF43" i="11"/>
  <c r="H44" i="11"/>
  <c r="K44" i="11"/>
  <c r="L44" i="11"/>
  <c r="M44" i="11"/>
  <c r="N44" i="11"/>
  <c r="O44" i="11"/>
  <c r="S44" i="11"/>
  <c r="U44" i="11"/>
  <c r="AC44" i="11"/>
  <c r="AF44" i="11"/>
  <c r="H45" i="11"/>
  <c r="I45" i="11"/>
  <c r="J45" i="11"/>
  <c r="K45" i="11"/>
  <c r="L45" i="11"/>
  <c r="M45" i="11"/>
  <c r="N45" i="11"/>
  <c r="O45" i="11"/>
  <c r="P45" i="11"/>
  <c r="S45" i="11"/>
  <c r="T45" i="11"/>
  <c r="U45" i="11"/>
  <c r="Z45" i="11"/>
  <c r="AA45" i="11"/>
  <c r="AC45" i="11"/>
  <c r="AF45" i="11"/>
  <c r="H46" i="11"/>
  <c r="K46" i="11"/>
  <c r="L46" i="11"/>
  <c r="M46" i="11"/>
  <c r="N46" i="11"/>
  <c r="O46" i="11"/>
  <c r="S46" i="11"/>
  <c r="U46" i="11"/>
  <c r="AC46" i="11"/>
  <c r="AF46" i="11"/>
  <c r="H47" i="11"/>
  <c r="I47" i="11"/>
  <c r="J47" i="11"/>
  <c r="K47" i="11"/>
  <c r="L47" i="11"/>
  <c r="M47" i="11"/>
  <c r="N47" i="11"/>
  <c r="O47" i="11"/>
  <c r="P47" i="11"/>
  <c r="S47" i="11"/>
  <c r="T47" i="11"/>
  <c r="U47" i="11"/>
  <c r="Z47" i="11"/>
  <c r="AA47" i="11"/>
  <c r="AC47" i="11"/>
  <c r="AF47" i="11"/>
  <c r="H48" i="11"/>
  <c r="K48" i="11"/>
  <c r="L48" i="11"/>
  <c r="M48" i="11"/>
  <c r="N48" i="11"/>
  <c r="O48" i="11"/>
  <c r="S48" i="11"/>
  <c r="U48" i="11"/>
  <c r="AC48" i="11"/>
  <c r="AF48" i="11"/>
  <c r="H49" i="11"/>
  <c r="I49" i="11"/>
  <c r="J49" i="11"/>
  <c r="K49" i="11"/>
  <c r="L49" i="11"/>
  <c r="M49" i="11"/>
  <c r="N49" i="11"/>
  <c r="O49" i="11"/>
  <c r="P49" i="11"/>
  <c r="S49" i="11"/>
  <c r="T49" i="11"/>
  <c r="U49" i="11"/>
  <c r="Z49" i="11"/>
  <c r="AA49" i="11"/>
  <c r="AC49" i="11"/>
  <c r="AF49" i="11"/>
  <c r="H50" i="11"/>
  <c r="K50" i="11"/>
  <c r="L50" i="11"/>
  <c r="M50" i="11"/>
  <c r="N50" i="11"/>
  <c r="O50" i="11"/>
  <c r="S50" i="11"/>
  <c r="U50" i="11"/>
  <c r="AC50" i="11"/>
  <c r="AF50" i="11"/>
  <c r="H51" i="11"/>
  <c r="I51" i="11"/>
  <c r="J51" i="11"/>
  <c r="K51" i="11"/>
  <c r="L51" i="11"/>
  <c r="M51" i="11"/>
  <c r="N51" i="11"/>
  <c r="O51" i="11"/>
  <c r="P51" i="11"/>
  <c r="S51" i="11"/>
  <c r="T51" i="11"/>
  <c r="U51" i="11"/>
  <c r="Z51" i="11"/>
  <c r="AA51" i="11"/>
  <c r="AC51" i="11"/>
  <c r="AF51" i="11"/>
  <c r="H52" i="11"/>
  <c r="K52" i="11"/>
  <c r="L52" i="11"/>
  <c r="M52" i="11"/>
  <c r="N52" i="11"/>
  <c r="O52" i="11"/>
  <c r="S52" i="11"/>
  <c r="U52" i="11"/>
  <c r="AC52" i="11"/>
  <c r="AF52" i="11"/>
  <c r="H53" i="11"/>
  <c r="I53" i="11"/>
  <c r="J53" i="11"/>
  <c r="K53" i="11"/>
  <c r="L53" i="11"/>
  <c r="M53" i="11"/>
  <c r="N53" i="11"/>
  <c r="O53" i="11"/>
  <c r="P53" i="11"/>
  <c r="S53" i="11"/>
  <c r="T53" i="11"/>
  <c r="U53" i="11"/>
  <c r="Z53" i="11"/>
  <c r="AA53" i="11"/>
  <c r="AC53" i="11"/>
  <c r="AF53" i="11"/>
  <c r="H54" i="11"/>
  <c r="K54" i="11"/>
  <c r="L54" i="11"/>
  <c r="M54" i="11"/>
  <c r="N54" i="11"/>
  <c r="O54" i="11"/>
  <c r="S54" i="11"/>
  <c r="U54" i="11"/>
  <c r="AC54" i="11"/>
  <c r="AF54" i="11"/>
  <c r="H55" i="11"/>
  <c r="I55" i="11"/>
  <c r="J55" i="11"/>
  <c r="K55" i="11"/>
  <c r="L55" i="11"/>
  <c r="M55" i="11"/>
  <c r="N55" i="11"/>
  <c r="O55" i="11"/>
  <c r="P55" i="11"/>
  <c r="S55" i="11"/>
  <c r="T55" i="11"/>
  <c r="U55" i="11"/>
  <c r="Z55" i="11"/>
  <c r="AA55" i="11"/>
  <c r="AC55" i="11"/>
  <c r="AF55" i="11"/>
  <c r="H56" i="11"/>
  <c r="K56" i="11"/>
  <c r="L56" i="11"/>
  <c r="M56" i="11"/>
  <c r="N56" i="11"/>
  <c r="O56" i="11"/>
  <c r="S56" i="11"/>
  <c r="U56" i="11"/>
  <c r="AC56" i="11"/>
  <c r="AF56" i="11"/>
  <c r="H57" i="11"/>
  <c r="I57" i="11"/>
  <c r="J57" i="11"/>
  <c r="K57" i="11"/>
  <c r="L57" i="11"/>
  <c r="M57" i="11"/>
  <c r="N57" i="11"/>
  <c r="O57" i="11"/>
  <c r="P57" i="11"/>
  <c r="S57" i="11"/>
  <c r="T57" i="11"/>
  <c r="U57" i="11"/>
  <c r="Z57" i="11"/>
  <c r="AA57" i="11"/>
  <c r="AC57" i="11"/>
  <c r="AF57" i="11"/>
  <c r="H58" i="11"/>
  <c r="K58" i="11"/>
  <c r="L58" i="11"/>
  <c r="M58" i="11"/>
  <c r="N58" i="11"/>
  <c r="O58" i="11"/>
  <c r="S58" i="11"/>
  <c r="U58" i="11"/>
  <c r="AC58" i="11"/>
  <c r="AF58" i="11"/>
  <c r="H59" i="11"/>
  <c r="I59" i="11"/>
  <c r="J59" i="11"/>
  <c r="K59" i="11"/>
  <c r="L59" i="11"/>
  <c r="M59" i="11"/>
  <c r="N59" i="11"/>
  <c r="O59" i="11"/>
  <c r="P59" i="11"/>
  <c r="S59" i="11"/>
  <c r="T59" i="11"/>
  <c r="U59" i="11"/>
  <c r="Z59" i="11"/>
  <c r="AA59" i="11"/>
  <c r="AC59" i="11"/>
  <c r="AF59" i="11"/>
  <c r="H60" i="11"/>
  <c r="K60" i="11"/>
  <c r="L60" i="11"/>
  <c r="M60" i="11"/>
  <c r="N60" i="11"/>
  <c r="O60" i="11"/>
  <c r="S60" i="11"/>
  <c r="U60" i="11"/>
  <c r="AC60" i="11"/>
  <c r="AF60" i="11"/>
  <c r="H61" i="11"/>
  <c r="I61" i="11"/>
  <c r="J61" i="11"/>
  <c r="K61" i="11"/>
  <c r="L61" i="11"/>
  <c r="M61" i="11"/>
  <c r="N61" i="11"/>
  <c r="O61" i="11"/>
  <c r="P61" i="11"/>
  <c r="S61" i="11"/>
  <c r="T61" i="11"/>
  <c r="U61" i="11"/>
  <c r="Z61" i="11"/>
  <c r="AA61" i="11"/>
  <c r="AC61" i="11"/>
  <c r="AF61" i="11"/>
  <c r="H62" i="11"/>
  <c r="K62" i="11"/>
  <c r="L62" i="11"/>
  <c r="M62" i="11"/>
  <c r="N62" i="11"/>
  <c r="O62" i="11"/>
  <c r="S62" i="11"/>
  <c r="U62" i="11"/>
  <c r="AC62" i="11"/>
  <c r="AF62" i="11"/>
  <c r="H63" i="11"/>
  <c r="I63" i="11"/>
  <c r="J63" i="11"/>
  <c r="K63" i="11"/>
  <c r="L63" i="11"/>
  <c r="M63" i="11"/>
  <c r="N63" i="11"/>
  <c r="O63" i="11"/>
  <c r="P63" i="11"/>
  <c r="S63" i="11"/>
  <c r="T63" i="11"/>
  <c r="U63" i="11"/>
  <c r="Z63" i="11"/>
  <c r="AA63" i="11"/>
  <c r="AC63" i="11"/>
  <c r="AF63" i="11"/>
  <c r="H64" i="11"/>
  <c r="K64" i="11"/>
  <c r="L64" i="11"/>
  <c r="M64" i="11"/>
  <c r="N64" i="11"/>
  <c r="O64" i="11"/>
  <c r="S64" i="11"/>
  <c r="U64" i="11"/>
  <c r="AC64" i="11"/>
  <c r="AF64" i="11"/>
  <c r="H65" i="11"/>
  <c r="I65" i="11"/>
  <c r="J65" i="11"/>
  <c r="K65" i="11"/>
  <c r="L65" i="11"/>
  <c r="M65" i="11"/>
  <c r="N65" i="11"/>
  <c r="O65" i="11"/>
  <c r="P65" i="11"/>
  <c r="S65" i="11"/>
  <c r="T65" i="11"/>
  <c r="U65" i="11"/>
  <c r="Z65" i="11"/>
  <c r="AA65" i="11"/>
  <c r="AC65" i="11"/>
  <c r="AF65" i="11"/>
  <c r="H66" i="11"/>
  <c r="K66" i="11"/>
  <c r="L66" i="11"/>
  <c r="M66" i="11"/>
  <c r="N66" i="11"/>
  <c r="O66" i="11"/>
  <c r="S66" i="11"/>
  <c r="U66" i="11"/>
  <c r="AC66" i="11"/>
  <c r="AF66" i="11"/>
  <c r="H67" i="11"/>
  <c r="I67" i="11"/>
  <c r="J67" i="11"/>
  <c r="K67" i="11"/>
  <c r="L67" i="11"/>
  <c r="M67" i="11"/>
  <c r="N67" i="11"/>
  <c r="O67" i="11"/>
  <c r="P67" i="11"/>
  <c r="S67" i="11"/>
  <c r="T67" i="11"/>
  <c r="U67" i="11"/>
  <c r="Z67" i="11"/>
  <c r="AA67" i="11"/>
  <c r="AC67" i="11"/>
  <c r="AF67" i="11"/>
  <c r="H68" i="11"/>
  <c r="K68" i="11"/>
  <c r="L68" i="11"/>
  <c r="M68" i="11"/>
  <c r="N68" i="11"/>
  <c r="O68" i="11"/>
  <c r="S68" i="11"/>
  <c r="U68" i="11"/>
  <c r="AC68" i="11"/>
  <c r="AF68" i="11"/>
  <c r="E69" i="11"/>
  <c r="G69" i="11"/>
  <c r="H69" i="11"/>
  <c r="I69" i="11"/>
  <c r="J69" i="11"/>
  <c r="K69" i="11"/>
  <c r="L69" i="11"/>
  <c r="M69" i="11"/>
  <c r="N69" i="11"/>
  <c r="O69" i="11"/>
  <c r="P69" i="11"/>
  <c r="S69" i="11"/>
  <c r="T69" i="11"/>
  <c r="U69" i="11"/>
  <c r="Z69" i="11"/>
  <c r="AA69" i="11"/>
  <c r="AC69" i="11"/>
  <c r="AE69" i="11"/>
  <c r="AF69" i="11"/>
  <c r="H70" i="11"/>
  <c r="K70" i="11"/>
  <c r="L70" i="11"/>
  <c r="M70" i="11"/>
  <c r="N70" i="11"/>
  <c r="O70" i="11"/>
  <c r="S70" i="11"/>
  <c r="U70" i="11"/>
  <c r="AC70" i="11"/>
  <c r="AF70" i="11"/>
  <c r="E71" i="11"/>
  <c r="G71" i="11"/>
  <c r="H71" i="11"/>
  <c r="I71" i="11"/>
  <c r="J71" i="11"/>
  <c r="K71" i="11"/>
  <c r="L71" i="11"/>
  <c r="M71" i="11"/>
  <c r="N71" i="11"/>
  <c r="O71" i="11"/>
  <c r="P71" i="11"/>
  <c r="S71" i="11"/>
  <c r="T71" i="11"/>
  <c r="U71" i="11"/>
  <c r="Z71" i="11"/>
  <c r="AA71" i="11"/>
  <c r="AC71" i="11"/>
  <c r="AE71" i="11"/>
  <c r="AF71" i="11"/>
  <c r="K72" i="11"/>
  <c r="L72" i="11"/>
  <c r="M72" i="11"/>
  <c r="N72" i="11"/>
  <c r="O72" i="11"/>
  <c r="S72" i="11"/>
  <c r="U72" i="11"/>
  <c r="AC72" i="11"/>
  <c r="AF72" i="11"/>
  <c r="K73" i="11"/>
  <c r="L73" i="11"/>
  <c r="M73" i="11"/>
  <c r="N73" i="11"/>
  <c r="O73" i="11"/>
  <c r="S73" i="11"/>
  <c r="U73" i="11"/>
  <c r="AC73" i="11"/>
  <c r="AF73" i="11"/>
  <c r="K74" i="11"/>
  <c r="L74" i="11"/>
  <c r="M74" i="11"/>
  <c r="N74" i="11"/>
  <c r="O74" i="11"/>
  <c r="S74" i="11"/>
  <c r="U74" i="11"/>
  <c r="AC74" i="11"/>
  <c r="AF74" i="11"/>
  <c r="K75" i="11"/>
  <c r="L75" i="11"/>
  <c r="M75" i="11"/>
  <c r="N75" i="11"/>
  <c r="O75" i="11"/>
  <c r="S75" i="11"/>
  <c r="U75" i="11"/>
  <c r="AC75" i="11"/>
  <c r="AF75" i="11"/>
  <c r="K76" i="11"/>
  <c r="L76" i="11"/>
  <c r="M76" i="11"/>
  <c r="N76" i="11"/>
  <c r="O76" i="11"/>
  <c r="S76" i="11"/>
  <c r="U76" i="11"/>
  <c r="AC76" i="11"/>
  <c r="AF76" i="11"/>
  <c r="K77" i="11"/>
  <c r="L77" i="11"/>
  <c r="M77" i="11"/>
  <c r="N77" i="11"/>
  <c r="O77" i="11"/>
  <c r="S77" i="11"/>
  <c r="U77" i="11"/>
  <c r="AC77" i="11"/>
  <c r="AF77" i="11"/>
  <c r="K78" i="11"/>
  <c r="L78" i="11"/>
  <c r="M78" i="11"/>
  <c r="N78" i="11"/>
  <c r="O78" i="11"/>
  <c r="S78" i="11"/>
  <c r="U78" i="11"/>
  <c r="AC78" i="11"/>
  <c r="AF78" i="11"/>
  <c r="K79" i="11"/>
  <c r="L79" i="11"/>
  <c r="M79" i="11"/>
  <c r="N79" i="11"/>
  <c r="O79" i="11"/>
  <c r="S79" i="11"/>
  <c r="U79" i="11"/>
  <c r="AC79" i="11"/>
  <c r="AF79" i="11"/>
  <c r="K80" i="11"/>
  <c r="L80" i="11"/>
  <c r="M80" i="11"/>
  <c r="N80" i="11"/>
  <c r="O80" i="11"/>
  <c r="S80" i="11"/>
  <c r="U80" i="11"/>
  <c r="AC80" i="11"/>
  <c r="AF80" i="11"/>
  <c r="K81" i="11"/>
  <c r="L81" i="11"/>
  <c r="M81" i="11"/>
  <c r="N81" i="11"/>
  <c r="O81" i="11"/>
  <c r="S81" i="11"/>
  <c r="U81" i="11"/>
  <c r="AC81" i="11"/>
  <c r="AF81" i="11"/>
  <c r="K82" i="11"/>
  <c r="L82" i="11"/>
  <c r="M82" i="11"/>
  <c r="N82" i="11"/>
  <c r="O82" i="11"/>
  <c r="S82" i="11"/>
  <c r="U82" i="11"/>
  <c r="AC82" i="11"/>
  <c r="AF82" i="11"/>
  <c r="K83" i="11"/>
  <c r="L83" i="11"/>
  <c r="M83" i="11"/>
  <c r="N83" i="11"/>
  <c r="O83" i="11"/>
  <c r="S83" i="11"/>
  <c r="U83" i="11"/>
  <c r="AC83" i="11"/>
  <c r="AF83" i="11"/>
  <c r="K84" i="11"/>
  <c r="L84" i="11"/>
  <c r="M84" i="11"/>
  <c r="N84" i="11"/>
  <c r="O84" i="11"/>
  <c r="S84" i="11"/>
  <c r="U84" i="11"/>
  <c r="AC84" i="11"/>
  <c r="AF84" i="11"/>
  <c r="K85" i="11"/>
  <c r="L85" i="11"/>
  <c r="M85" i="11"/>
  <c r="N85" i="11"/>
  <c r="O85" i="11"/>
  <c r="S85" i="11"/>
  <c r="U85" i="11"/>
  <c r="AC85" i="11"/>
  <c r="AF85" i="11"/>
  <c r="K86" i="11"/>
  <c r="L86" i="11"/>
  <c r="M86" i="11"/>
  <c r="N86" i="11"/>
  <c r="O86" i="11"/>
  <c r="S86" i="11"/>
  <c r="U86" i="11"/>
  <c r="AC86" i="11"/>
  <c r="AF86" i="11"/>
  <c r="K87" i="11"/>
  <c r="L87" i="11"/>
  <c r="M87" i="11"/>
  <c r="N87" i="11"/>
  <c r="O87" i="11"/>
  <c r="S87" i="11"/>
  <c r="U87" i="11"/>
  <c r="AC87" i="11"/>
  <c r="AF87" i="11"/>
  <c r="K88" i="11"/>
  <c r="L88" i="11"/>
  <c r="M88" i="11"/>
  <c r="N88" i="11"/>
  <c r="O88" i="11"/>
  <c r="S88" i="11"/>
  <c r="U88" i="11"/>
  <c r="AC88" i="11"/>
  <c r="AF88" i="11"/>
  <c r="K89" i="11"/>
  <c r="L89" i="11"/>
  <c r="M89" i="11"/>
  <c r="N89" i="11"/>
  <c r="O89" i="11"/>
  <c r="S89" i="11"/>
  <c r="U89" i="11"/>
  <c r="AC89" i="11"/>
  <c r="AF89" i="11"/>
  <c r="K90" i="11"/>
  <c r="L90" i="11"/>
  <c r="M90" i="11"/>
  <c r="N90" i="11"/>
  <c r="O90" i="11"/>
  <c r="S90" i="11"/>
  <c r="U90" i="11"/>
  <c r="AC90" i="11"/>
  <c r="AF90" i="11"/>
  <c r="K91" i="11"/>
  <c r="L91" i="11"/>
  <c r="M91" i="11"/>
  <c r="N91" i="11"/>
  <c r="O91" i="11"/>
  <c r="S91" i="11"/>
  <c r="U91" i="11"/>
  <c r="AC91" i="11"/>
  <c r="AF91" i="11"/>
  <c r="K92" i="11"/>
  <c r="L92" i="11"/>
  <c r="M92" i="11"/>
  <c r="N92" i="11"/>
  <c r="O92" i="11"/>
  <c r="S92" i="11"/>
  <c r="U92" i="11"/>
  <c r="AC92" i="11"/>
  <c r="AF92" i="11"/>
  <c r="K93" i="11"/>
  <c r="L93" i="11"/>
  <c r="M93" i="11"/>
  <c r="N93" i="11"/>
  <c r="O93" i="11"/>
  <c r="S93" i="11"/>
  <c r="U93" i="11"/>
  <c r="AC93" i="11"/>
  <c r="K94" i="11"/>
  <c r="L94" i="11"/>
  <c r="M94" i="11"/>
  <c r="N94" i="11"/>
  <c r="O94" i="11"/>
  <c r="U94" i="11"/>
  <c r="AC94" i="11"/>
  <c r="K95" i="11"/>
  <c r="L95" i="11"/>
  <c r="M95" i="11"/>
  <c r="N95" i="11"/>
  <c r="O95" i="11"/>
  <c r="G97" i="11"/>
  <c r="H97" i="11"/>
  <c r="I97" i="11"/>
  <c r="J97" i="11"/>
  <c r="K97" i="11"/>
  <c r="L97" i="11"/>
  <c r="N97" i="11"/>
  <c r="O97" i="11"/>
  <c r="P97" i="11"/>
  <c r="S97" i="11"/>
  <c r="T97" i="11"/>
  <c r="Z97" i="11"/>
  <c r="AE97" i="11"/>
  <c r="AF97" i="11"/>
  <c r="E4" i="1"/>
  <c r="H4" i="1"/>
  <c r="AG4" i="1"/>
  <c r="AZ4" i="1"/>
  <c r="BQ4" i="1"/>
  <c r="CH4" i="1"/>
  <c r="BQ10" i="1"/>
  <c r="BQ13" i="1"/>
  <c r="BS13" i="1"/>
  <c r="BT13" i="1"/>
  <c r="CA13" i="1"/>
  <c r="CD13" i="1"/>
  <c r="CK13" i="1"/>
  <c r="CM13" i="1"/>
  <c r="CO13" i="1"/>
  <c r="BQ14" i="1"/>
  <c r="BS14" i="1"/>
  <c r="BT14" i="1"/>
  <c r="BU14" i="1"/>
  <c r="BX14" i="1"/>
  <c r="BY14" i="1"/>
  <c r="BZ14" i="1"/>
  <c r="CA14" i="1"/>
  <c r="CB14" i="1"/>
  <c r="CC14" i="1"/>
  <c r="CD14" i="1"/>
  <c r="CE14" i="1"/>
  <c r="CH14" i="1"/>
  <c r="CJ14" i="1"/>
  <c r="CK14" i="1"/>
  <c r="CL14" i="1"/>
  <c r="CM14" i="1"/>
  <c r="CN14" i="1"/>
  <c r="CO14" i="1"/>
  <c r="CU14" i="1"/>
  <c r="CV14" i="1"/>
  <c r="CW14" i="1"/>
  <c r="CX14" i="1"/>
  <c r="CY14" i="1"/>
  <c r="BQ15" i="1"/>
  <c r="BS15" i="1"/>
  <c r="BT15" i="1"/>
  <c r="BU15" i="1"/>
  <c r="BX15" i="1"/>
  <c r="BY15" i="1"/>
  <c r="BZ15" i="1"/>
  <c r="CA15" i="1"/>
  <c r="CB15" i="1"/>
  <c r="CC15" i="1"/>
  <c r="CD15" i="1"/>
  <c r="CE15" i="1"/>
  <c r="CH15" i="1"/>
  <c r="CJ15" i="1"/>
  <c r="CK15" i="1"/>
  <c r="CL15" i="1"/>
  <c r="CM15" i="1"/>
  <c r="CN15" i="1"/>
  <c r="CO15" i="1"/>
  <c r="CU15" i="1"/>
  <c r="CV15" i="1"/>
  <c r="CW15" i="1"/>
  <c r="CX15" i="1"/>
  <c r="CY15" i="1"/>
  <c r="BQ16" i="1"/>
  <c r="BS16" i="1"/>
  <c r="BT16" i="1"/>
  <c r="BU16" i="1"/>
  <c r="BX16" i="1"/>
  <c r="BY16" i="1"/>
  <c r="BZ16" i="1"/>
  <c r="CA16" i="1"/>
  <c r="CB16" i="1"/>
  <c r="CC16" i="1"/>
  <c r="CD16" i="1"/>
  <c r="CE16" i="1"/>
  <c r="CH16" i="1"/>
  <c r="CJ16" i="1"/>
  <c r="CK16" i="1"/>
  <c r="CL16" i="1"/>
  <c r="CM16" i="1"/>
  <c r="CN16" i="1"/>
  <c r="CO16" i="1"/>
  <c r="CU16" i="1"/>
  <c r="CV16" i="1"/>
  <c r="CW16" i="1"/>
  <c r="CX16" i="1"/>
  <c r="CY16" i="1"/>
  <c r="BQ17" i="1"/>
  <c r="BS17" i="1"/>
  <c r="BT17" i="1"/>
  <c r="BU17" i="1"/>
  <c r="BX17" i="1"/>
  <c r="BY17" i="1"/>
  <c r="BZ17" i="1"/>
  <c r="CA17" i="1"/>
  <c r="CB17" i="1"/>
  <c r="CC17" i="1"/>
  <c r="CD17" i="1"/>
  <c r="CE17" i="1"/>
  <c r="CH17" i="1"/>
  <c r="CJ17" i="1"/>
  <c r="CK17" i="1"/>
  <c r="CL17" i="1"/>
  <c r="CM17" i="1"/>
  <c r="CN17" i="1"/>
  <c r="CO17" i="1"/>
  <c r="CU17" i="1"/>
  <c r="CV17" i="1"/>
  <c r="CW17" i="1"/>
  <c r="CX17" i="1"/>
  <c r="CY17" i="1"/>
  <c r="BQ18" i="1"/>
  <c r="BS18" i="1"/>
  <c r="BT18" i="1"/>
  <c r="BU18" i="1"/>
  <c r="BX18" i="1"/>
  <c r="BY18" i="1"/>
  <c r="BZ18" i="1"/>
  <c r="CA18" i="1"/>
  <c r="CB18" i="1"/>
  <c r="CC18" i="1"/>
  <c r="CD18" i="1"/>
  <c r="CE18" i="1"/>
  <c r="CH18" i="1"/>
  <c r="CJ18" i="1"/>
  <c r="CK18" i="1"/>
  <c r="CL18" i="1"/>
  <c r="CM18" i="1"/>
  <c r="CN18" i="1"/>
  <c r="CO18" i="1"/>
  <c r="CU18" i="1"/>
  <c r="CV18" i="1"/>
  <c r="CW18" i="1"/>
  <c r="CX18" i="1"/>
  <c r="CY18" i="1"/>
  <c r="BQ19" i="1"/>
  <c r="BS19" i="1"/>
  <c r="BT19" i="1"/>
  <c r="BU19" i="1"/>
  <c r="BX19" i="1"/>
  <c r="BY19" i="1"/>
  <c r="BZ19" i="1"/>
  <c r="CA19" i="1"/>
  <c r="CB19" i="1"/>
  <c r="CC19" i="1"/>
  <c r="CD19" i="1"/>
  <c r="CE19" i="1"/>
  <c r="CH19" i="1"/>
  <c r="CJ19" i="1"/>
  <c r="CK19" i="1"/>
  <c r="CL19" i="1"/>
  <c r="CM19" i="1"/>
  <c r="CN19" i="1"/>
  <c r="CO19" i="1"/>
  <c r="CU19" i="1"/>
  <c r="CV19" i="1"/>
  <c r="CW19" i="1"/>
  <c r="CX19" i="1"/>
  <c r="CY19" i="1"/>
  <c r="BQ20" i="1"/>
  <c r="BS20" i="1"/>
  <c r="BT20" i="1"/>
  <c r="BU20" i="1"/>
  <c r="BX20" i="1"/>
  <c r="BY20" i="1"/>
  <c r="BZ20" i="1"/>
  <c r="CA20" i="1"/>
  <c r="CB20" i="1"/>
  <c r="CC20" i="1"/>
  <c r="CD20" i="1"/>
  <c r="CE20" i="1"/>
  <c r="CH20" i="1"/>
  <c r="CJ20" i="1"/>
  <c r="CK20" i="1"/>
  <c r="CL20" i="1"/>
  <c r="CM20" i="1"/>
  <c r="CN20" i="1"/>
  <c r="CO20" i="1"/>
  <c r="CU20" i="1"/>
  <c r="CV20" i="1"/>
  <c r="CW20" i="1"/>
  <c r="CX20" i="1"/>
  <c r="CY20" i="1"/>
  <c r="BQ21" i="1"/>
  <c r="BS21" i="1"/>
  <c r="BT21" i="1"/>
  <c r="BU21" i="1"/>
  <c r="BX21" i="1"/>
  <c r="BY21" i="1"/>
  <c r="BZ21" i="1"/>
  <c r="CA21" i="1"/>
  <c r="CB21" i="1"/>
  <c r="CC21" i="1"/>
  <c r="CD21" i="1"/>
  <c r="CE21" i="1"/>
  <c r="CH21" i="1"/>
  <c r="CJ21" i="1"/>
  <c r="CK21" i="1"/>
  <c r="CL21" i="1"/>
  <c r="CM21" i="1"/>
  <c r="CN21" i="1"/>
  <c r="CO21" i="1"/>
  <c r="CU21" i="1"/>
  <c r="CV21" i="1"/>
  <c r="CW21" i="1"/>
  <c r="CX21" i="1"/>
  <c r="CY21" i="1"/>
  <c r="BQ22" i="1"/>
  <c r="BS22" i="1"/>
  <c r="BT22" i="1"/>
  <c r="BU22" i="1"/>
  <c r="BX22" i="1"/>
  <c r="BY22" i="1"/>
  <c r="BZ22" i="1"/>
  <c r="CA22" i="1"/>
  <c r="CB22" i="1"/>
  <c r="CC22" i="1"/>
  <c r="CD22" i="1"/>
  <c r="CE22" i="1"/>
  <c r="CH22" i="1"/>
  <c r="CJ22" i="1"/>
  <c r="CK22" i="1"/>
  <c r="CL22" i="1"/>
  <c r="CM22" i="1"/>
  <c r="CN22" i="1"/>
  <c r="CO22" i="1"/>
  <c r="CU22" i="1"/>
  <c r="CV22" i="1"/>
  <c r="CW22" i="1"/>
  <c r="CX22" i="1"/>
  <c r="CY22" i="1"/>
  <c r="BQ23" i="1"/>
  <c r="BS23" i="1"/>
  <c r="BT23" i="1"/>
  <c r="BU23" i="1"/>
  <c r="BX23" i="1"/>
  <c r="BY23" i="1"/>
  <c r="BZ23" i="1"/>
  <c r="CA23" i="1"/>
  <c r="CB23" i="1"/>
  <c r="CC23" i="1"/>
  <c r="CD23" i="1"/>
  <c r="CE23" i="1"/>
  <c r="CH23" i="1"/>
  <c r="CJ23" i="1"/>
  <c r="CK23" i="1"/>
  <c r="CL23" i="1"/>
  <c r="CM23" i="1"/>
  <c r="CN23" i="1"/>
  <c r="CO23" i="1"/>
  <c r="CU23" i="1"/>
  <c r="CV23" i="1"/>
  <c r="CW23" i="1"/>
  <c r="CX23" i="1"/>
  <c r="CY23" i="1"/>
  <c r="BQ24" i="1"/>
  <c r="BS24" i="1"/>
  <c r="BT24" i="1"/>
  <c r="BU24" i="1"/>
  <c r="BX24" i="1"/>
  <c r="BY24" i="1"/>
  <c r="BZ24" i="1"/>
  <c r="CA24" i="1"/>
  <c r="CB24" i="1"/>
  <c r="CC24" i="1"/>
  <c r="CD24" i="1"/>
  <c r="CE24" i="1"/>
  <c r="CH24" i="1"/>
  <c r="CJ24" i="1"/>
  <c r="CK24" i="1"/>
  <c r="CL24" i="1"/>
  <c r="CM24" i="1"/>
  <c r="CN24" i="1"/>
  <c r="CO24" i="1"/>
  <c r="CU24" i="1"/>
  <c r="CV24" i="1"/>
  <c r="CW24" i="1"/>
  <c r="CX24" i="1"/>
  <c r="CY24" i="1"/>
  <c r="BQ25" i="1"/>
  <c r="BS25" i="1"/>
  <c r="BT25" i="1"/>
  <c r="BU25" i="1"/>
  <c r="BX25" i="1"/>
  <c r="BY25" i="1"/>
  <c r="BZ25" i="1"/>
  <c r="CA25" i="1"/>
  <c r="CB25" i="1"/>
  <c r="CC25" i="1"/>
  <c r="CD25" i="1"/>
  <c r="CE25" i="1"/>
  <c r="CH25" i="1"/>
  <c r="CJ25" i="1"/>
  <c r="CK25" i="1"/>
  <c r="CL25" i="1"/>
  <c r="CM25" i="1"/>
  <c r="CN25" i="1"/>
  <c r="CO25" i="1"/>
  <c r="CU25" i="1"/>
  <c r="CV25" i="1"/>
  <c r="CW25" i="1"/>
  <c r="CX25" i="1"/>
  <c r="CY25" i="1"/>
  <c r="BQ26" i="1"/>
  <c r="BS26" i="1"/>
  <c r="BT26" i="1"/>
  <c r="BU26" i="1"/>
  <c r="BX26" i="1"/>
  <c r="BY26" i="1"/>
  <c r="BZ26" i="1"/>
  <c r="CA26" i="1"/>
  <c r="CB26" i="1"/>
  <c r="CC26" i="1"/>
  <c r="CD26" i="1"/>
  <c r="CE26" i="1"/>
  <c r="CH26" i="1"/>
  <c r="CJ26" i="1"/>
  <c r="CK26" i="1"/>
  <c r="CL26" i="1"/>
  <c r="CM26" i="1"/>
  <c r="CN26" i="1"/>
  <c r="CO26" i="1"/>
  <c r="CR26" i="1"/>
  <c r="CS26" i="1"/>
  <c r="CT26" i="1"/>
  <c r="CU26" i="1"/>
  <c r="CV26" i="1"/>
  <c r="CW26" i="1"/>
  <c r="CX26" i="1"/>
  <c r="CY26" i="1"/>
  <c r="BQ27" i="1"/>
  <c r="BS27" i="1"/>
  <c r="BT27" i="1"/>
  <c r="BU27" i="1"/>
  <c r="BX27" i="1"/>
  <c r="BY27" i="1"/>
  <c r="BZ27" i="1"/>
  <c r="CA27" i="1"/>
  <c r="CB27" i="1"/>
  <c r="CC27" i="1"/>
  <c r="CD27" i="1"/>
  <c r="CE27" i="1"/>
  <c r="CH27" i="1"/>
  <c r="CJ27" i="1"/>
  <c r="CK27" i="1"/>
  <c r="CL27" i="1"/>
  <c r="CM27" i="1"/>
  <c r="CN27" i="1"/>
  <c r="CO27" i="1"/>
  <c r="CR27" i="1"/>
  <c r="CS27" i="1"/>
  <c r="CT27" i="1"/>
  <c r="CU27" i="1"/>
  <c r="CV27" i="1"/>
  <c r="CW27" i="1"/>
  <c r="CX27" i="1"/>
  <c r="CY27" i="1"/>
  <c r="BQ28" i="1"/>
  <c r="BS28" i="1"/>
  <c r="BT28" i="1"/>
  <c r="BU28" i="1"/>
  <c r="BX28" i="1"/>
  <c r="BY28" i="1"/>
  <c r="BZ28" i="1"/>
  <c r="CA28" i="1"/>
  <c r="CB28" i="1"/>
  <c r="CC28" i="1"/>
  <c r="CD28" i="1"/>
  <c r="CE28" i="1"/>
  <c r="CH28" i="1"/>
  <c r="CJ28" i="1"/>
  <c r="CK28" i="1"/>
  <c r="CL28" i="1"/>
  <c r="CM28" i="1"/>
  <c r="CN28" i="1"/>
  <c r="CO28" i="1"/>
  <c r="CR28" i="1"/>
  <c r="CS28" i="1"/>
  <c r="CT28" i="1"/>
  <c r="CU28" i="1"/>
  <c r="CV28" i="1"/>
  <c r="CW28" i="1"/>
  <c r="CX28" i="1"/>
  <c r="CY28" i="1"/>
  <c r="BQ29" i="1"/>
  <c r="BS29" i="1"/>
  <c r="BT29" i="1"/>
  <c r="BU29" i="1"/>
  <c r="BX29" i="1"/>
  <c r="BY29" i="1"/>
  <c r="BZ29" i="1"/>
  <c r="CA29" i="1"/>
  <c r="CB29" i="1"/>
  <c r="CC29" i="1"/>
  <c r="CD29" i="1"/>
  <c r="CE29" i="1"/>
  <c r="CH29" i="1"/>
  <c r="CJ29" i="1"/>
  <c r="CK29" i="1"/>
  <c r="CL29" i="1"/>
  <c r="CM29" i="1"/>
  <c r="CN29" i="1"/>
  <c r="CO29" i="1"/>
  <c r="CR29" i="1"/>
  <c r="CS29" i="1"/>
  <c r="CT29" i="1"/>
  <c r="CU29" i="1"/>
  <c r="CV29" i="1"/>
  <c r="CW29" i="1"/>
  <c r="CX29" i="1"/>
  <c r="CY29" i="1"/>
  <c r="BQ30" i="1"/>
  <c r="BS30" i="1"/>
  <c r="BT30" i="1"/>
  <c r="BU30" i="1"/>
  <c r="BX30" i="1"/>
  <c r="BY30" i="1"/>
  <c r="BZ30" i="1"/>
  <c r="CA30" i="1"/>
  <c r="CB30" i="1"/>
  <c r="CC30" i="1"/>
  <c r="CD30" i="1"/>
  <c r="CE30" i="1"/>
  <c r="CH30" i="1"/>
  <c r="CJ30" i="1"/>
  <c r="CK30" i="1"/>
  <c r="CL30" i="1"/>
  <c r="CM30" i="1"/>
  <c r="CN30" i="1"/>
  <c r="CO30" i="1"/>
  <c r="CR30" i="1"/>
  <c r="CS30" i="1"/>
  <c r="CT30" i="1"/>
  <c r="CU30" i="1"/>
  <c r="CV30" i="1"/>
  <c r="CW30" i="1"/>
  <c r="CX30" i="1"/>
  <c r="CY30" i="1"/>
  <c r="BQ31" i="1"/>
  <c r="BS31" i="1"/>
  <c r="BT31" i="1"/>
  <c r="BU31" i="1"/>
  <c r="BX31" i="1"/>
  <c r="BY31" i="1"/>
  <c r="BZ31" i="1"/>
  <c r="CA31" i="1"/>
  <c r="CB31" i="1"/>
  <c r="CC31" i="1"/>
  <c r="CD31" i="1"/>
  <c r="CE31" i="1"/>
  <c r="CH31" i="1"/>
  <c r="CJ31" i="1"/>
  <c r="CK31" i="1"/>
  <c r="CL31" i="1"/>
  <c r="CM31" i="1"/>
  <c r="CN31" i="1"/>
  <c r="CO31" i="1"/>
  <c r="CR31" i="1"/>
  <c r="CS31" i="1"/>
  <c r="CT31" i="1"/>
  <c r="CU31" i="1"/>
  <c r="CV31" i="1"/>
  <c r="CW31" i="1"/>
  <c r="CX31" i="1"/>
  <c r="CY31" i="1"/>
  <c r="BQ32" i="1"/>
  <c r="BS32" i="1"/>
  <c r="BT32" i="1"/>
  <c r="BU32" i="1"/>
  <c r="BX32" i="1"/>
  <c r="BY32" i="1"/>
  <c r="BZ32" i="1"/>
  <c r="CA32" i="1"/>
  <c r="CB32" i="1"/>
  <c r="CC32" i="1"/>
  <c r="CD32" i="1"/>
  <c r="CE32" i="1"/>
  <c r="CH32" i="1"/>
  <c r="CJ32" i="1"/>
  <c r="CK32" i="1"/>
  <c r="CL32" i="1"/>
  <c r="CM32" i="1"/>
  <c r="CN32" i="1"/>
  <c r="CO32" i="1"/>
  <c r="CR32" i="1"/>
  <c r="CS32" i="1"/>
  <c r="CT32" i="1"/>
  <c r="CU32" i="1"/>
  <c r="CV32" i="1"/>
  <c r="CW32" i="1"/>
  <c r="CX32" i="1"/>
  <c r="CY32" i="1"/>
  <c r="BQ33" i="1"/>
  <c r="BS33" i="1"/>
  <c r="BT33" i="1"/>
  <c r="BU33" i="1"/>
  <c r="BX33" i="1"/>
  <c r="BY33" i="1"/>
  <c r="BZ33" i="1"/>
  <c r="CA33" i="1"/>
  <c r="CB33" i="1"/>
  <c r="CC33" i="1"/>
  <c r="CD33" i="1"/>
  <c r="CE33" i="1"/>
  <c r="CH33" i="1"/>
  <c r="CJ33" i="1"/>
  <c r="CK33" i="1"/>
  <c r="CL33" i="1"/>
  <c r="CM33" i="1"/>
  <c r="CN33" i="1"/>
  <c r="CO33" i="1"/>
  <c r="CR33" i="1"/>
  <c r="CS33" i="1"/>
  <c r="CT33" i="1"/>
  <c r="CU33" i="1"/>
  <c r="CV33" i="1"/>
  <c r="CW33" i="1"/>
  <c r="CX33" i="1"/>
  <c r="CY33" i="1"/>
  <c r="BQ34" i="1"/>
  <c r="BS34" i="1"/>
  <c r="BT34" i="1"/>
  <c r="BU34" i="1"/>
  <c r="BX34" i="1"/>
  <c r="BY34" i="1"/>
  <c r="BZ34" i="1"/>
  <c r="CA34" i="1"/>
  <c r="CB34" i="1"/>
  <c r="CC34" i="1"/>
  <c r="CD34" i="1"/>
  <c r="CE34" i="1"/>
  <c r="CH34" i="1"/>
  <c r="CJ34" i="1"/>
  <c r="CK34" i="1"/>
  <c r="CL34" i="1"/>
  <c r="CM34" i="1"/>
  <c r="CN34" i="1"/>
  <c r="CO34" i="1"/>
  <c r="CR34" i="1"/>
  <c r="CS34" i="1"/>
  <c r="CT34" i="1"/>
  <c r="CU34" i="1"/>
  <c r="CV34" i="1"/>
  <c r="CW34" i="1"/>
  <c r="CX34" i="1"/>
  <c r="CY34" i="1"/>
  <c r="BQ35" i="1"/>
  <c r="BS35" i="1"/>
  <c r="BT35" i="1"/>
  <c r="BU35" i="1"/>
  <c r="BX35" i="1"/>
  <c r="BY35" i="1"/>
  <c r="BZ35" i="1"/>
  <c r="CA35" i="1"/>
  <c r="CB35" i="1"/>
  <c r="CC35" i="1"/>
  <c r="CD35" i="1"/>
  <c r="CE35" i="1"/>
  <c r="CH35" i="1"/>
  <c r="CJ35" i="1"/>
  <c r="CK35" i="1"/>
  <c r="CL35" i="1"/>
  <c r="CM35" i="1"/>
  <c r="CN35" i="1"/>
  <c r="CO35" i="1"/>
  <c r="CR35" i="1"/>
  <c r="CS35" i="1"/>
  <c r="CT35" i="1"/>
  <c r="CU35" i="1"/>
  <c r="CV35" i="1"/>
  <c r="CW35" i="1"/>
  <c r="CX35" i="1"/>
  <c r="CY35" i="1"/>
  <c r="BQ36" i="1"/>
  <c r="BS36" i="1"/>
  <c r="BT36" i="1"/>
  <c r="BU36" i="1"/>
  <c r="BX36" i="1"/>
  <c r="BY36" i="1"/>
  <c r="BZ36" i="1"/>
  <c r="CA36" i="1"/>
  <c r="CB36" i="1"/>
  <c r="CC36" i="1"/>
  <c r="CD36" i="1"/>
  <c r="CE36" i="1"/>
  <c r="CH36" i="1"/>
  <c r="CJ36" i="1"/>
  <c r="CK36" i="1"/>
  <c r="CL36" i="1"/>
  <c r="CM36" i="1"/>
  <c r="CN36" i="1"/>
  <c r="CO36" i="1"/>
  <c r="CR36" i="1"/>
  <c r="CS36" i="1"/>
  <c r="CT36" i="1"/>
  <c r="CU36" i="1"/>
  <c r="CV36" i="1"/>
  <c r="CW36" i="1"/>
  <c r="CX36" i="1"/>
  <c r="CY36" i="1"/>
  <c r="BQ37" i="1"/>
  <c r="BS37" i="1"/>
  <c r="BT37" i="1"/>
  <c r="BU37" i="1"/>
  <c r="BX37" i="1"/>
  <c r="BY37" i="1"/>
  <c r="BZ37" i="1"/>
  <c r="CA37" i="1"/>
  <c r="CB37" i="1"/>
  <c r="CC37" i="1"/>
  <c r="CD37" i="1"/>
  <c r="CE37" i="1"/>
  <c r="CH37" i="1"/>
  <c r="CJ37" i="1"/>
  <c r="CL37" i="1"/>
  <c r="CM37" i="1"/>
  <c r="CN37" i="1"/>
  <c r="CO37" i="1"/>
  <c r="CS37" i="1"/>
  <c r="CT37" i="1"/>
  <c r="CU37" i="1"/>
  <c r="CV37" i="1"/>
  <c r="CW37" i="1"/>
  <c r="CX37" i="1"/>
  <c r="CY37" i="1"/>
  <c r="BQ38" i="1"/>
  <c r="BS38" i="1"/>
  <c r="BT38" i="1"/>
  <c r="BU38" i="1"/>
  <c r="BX38" i="1"/>
  <c r="BY38" i="1"/>
  <c r="BZ38" i="1"/>
  <c r="CA38" i="1"/>
  <c r="CB38" i="1"/>
  <c r="CC38" i="1"/>
  <c r="CD38" i="1"/>
  <c r="CE38" i="1"/>
  <c r="CH38" i="1"/>
  <c r="CJ38" i="1"/>
  <c r="CL38" i="1"/>
  <c r="CM38" i="1"/>
  <c r="CN38" i="1"/>
  <c r="CO38" i="1"/>
  <c r="CS38" i="1"/>
  <c r="CT38" i="1"/>
  <c r="CU38" i="1"/>
  <c r="CV38" i="1"/>
  <c r="CW38" i="1"/>
  <c r="CX38" i="1"/>
  <c r="CY38" i="1"/>
  <c r="BQ39" i="1"/>
  <c r="BS39" i="1"/>
  <c r="BT39" i="1"/>
  <c r="BU39" i="1"/>
  <c r="BX39" i="1"/>
  <c r="BY39" i="1"/>
  <c r="BZ39" i="1"/>
  <c r="CA39" i="1"/>
  <c r="CB39" i="1"/>
  <c r="CC39" i="1"/>
  <c r="CD39" i="1"/>
  <c r="CE39" i="1"/>
  <c r="CH39" i="1"/>
  <c r="CJ39" i="1"/>
  <c r="CL39" i="1"/>
  <c r="CM39" i="1"/>
  <c r="CN39" i="1"/>
  <c r="CO39" i="1"/>
  <c r="CS39" i="1"/>
  <c r="CT39" i="1"/>
  <c r="CU39" i="1"/>
  <c r="CV39" i="1"/>
  <c r="CW39" i="1"/>
  <c r="CX39" i="1"/>
  <c r="CY39" i="1"/>
  <c r="BQ40" i="1"/>
  <c r="BS40" i="1"/>
  <c r="BT40" i="1"/>
  <c r="BU40" i="1"/>
  <c r="BX40" i="1"/>
  <c r="BY40" i="1"/>
  <c r="BZ40" i="1"/>
  <c r="CA40" i="1"/>
  <c r="CB40" i="1"/>
  <c r="CC40" i="1"/>
  <c r="CD40" i="1"/>
  <c r="CE40" i="1"/>
  <c r="CH40" i="1"/>
  <c r="CJ40" i="1"/>
  <c r="CL40" i="1"/>
  <c r="CM40" i="1"/>
  <c r="CN40" i="1"/>
  <c r="CO40" i="1"/>
  <c r="CS40" i="1"/>
  <c r="CT40" i="1"/>
  <c r="CU40" i="1"/>
  <c r="CV40" i="1"/>
  <c r="CW40" i="1"/>
  <c r="CX40" i="1"/>
  <c r="CY40" i="1"/>
  <c r="BQ41" i="1"/>
  <c r="BS41" i="1"/>
  <c r="BT41" i="1"/>
  <c r="BU41" i="1"/>
  <c r="BX41" i="1"/>
  <c r="BY41" i="1"/>
  <c r="BZ41" i="1"/>
  <c r="CA41" i="1"/>
  <c r="CB41" i="1"/>
  <c r="CC41" i="1"/>
  <c r="CD41" i="1"/>
  <c r="CE41" i="1"/>
  <c r="CH41" i="1"/>
  <c r="CJ41" i="1"/>
  <c r="CL41" i="1"/>
  <c r="CM41" i="1"/>
  <c r="CN41" i="1"/>
  <c r="CO41" i="1"/>
  <c r="CS41" i="1"/>
  <c r="CT41" i="1"/>
  <c r="CU41" i="1"/>
  <c r="CV41" i="1"/>
  <c r="CW41" i="1"/>
  <c r="CX41" i="1"/>
  <c r="CY41" i="1"/>
  <c r="BQ42" i="1"/>
  <c r="BS42" i="1"/>
  <c r="BT42" i="1"/>
  <c r="BU42" i="1"/>
  <c r="BX42" i="1"/>
  <c r="BY42" i="1"/>
  <c r="BZ42" i="1"/>
  <c r="CA42" i="1"/>
  <c r="CB42" i="1"/>
  <c r="CC42" i="1"/>
  <c r="CD42" i="1"/>
  <c r="CE42" i="1"/>
  <c r="CH42" i="1"/>
  <c r="CJ42" i="1"/>
  <c r="CL42" i="1"/>
  <c r="CM42" i="1"/>
  <c r="CN42" i="1"/>
  <c r="CO42" i="1"/>
  <c r="CS42" i="1"/>
  <c r="CT42" i="1"/>
  <c r="CU42" i="1"/>
  <c r="CV42" i="1"/>
  <c r="CW42" i="1"/>
  <c r="CX42" i="1"/>
  <c r="CY42" i="1"/>
  <c r="BY43" i="1"/>
  <c r="CB43" i="1"/>
  <c r="CC43" i="1"/>
  <c r="CH43" i="1"/>
  <c r="CJ43" i="1"/>
  <c r="CL43" i="1"/>
  <c r="CM43" i="1"/>
  <c r="CN43" i="1"/>
  <c r="CO43" i="1"/>
  <c r="CS43" i="1"/>
  <c r="CT43" i="1"/>
  <c r="CU43" i="1"/>
  <c r="CV43" i="1"/>
  <c r="CW43" i="1"/>
  <c r="CX43" i="1"/>
  <c r="CY43" i="1"/>
  <c r="BY44" i="1"/>
  <c r="CB44" i="1"/>
  <c r="CC44" i="1"/>
  <c r="CH44" i="1"/>
  <c r="CJ44" i="1"/>
  <c r="CL44" i="1"/>
  <c r="CO44" i="1"/>
  <c r="CS44" i="1"/>
  <c r="CT44" i="1"/>
  <c r="CU44" i="1"/>
  <c r="CV44" i="1"/>
  <c r="CW44" i="1"/>
  <c r="CX44" i="1"/>
  <c r="CY44" i="1"/>
  <c r="BY45" i="1"/>
  <c r="CB45" i="1"/>
  <c r="CC45" i="1"/>
  <c r="CH45" i="1"/>
  <c r="CJ45" i="1"/>
  <c r="CL45" i="1"/>
  <c r="CO45" i="1"/>
  <c r="CS45" i="1"/>
  <c r="CT45" i="1"/>
  <c r="CU45" i="1"/>
  <c r="CV45" i="1"/>
  <c r="CW45" i="1"/>
  <c r="CX45" i="1"/>
  <c r="CY45" i="1"/>
  <c r="BY46" i="1"/>
  <c r="CB46" i="1"/>
  <c r="CC46" i="1"/>
  <c r="CH46" i="1"/>
  <c r="CJ46" i="1"/>
  <c r="CL46" i="1"/>
  <c r="CO46" i="1"/>
  <c r="CS46" i="1"/>
  <c r="CT46" i="1"/>
  <c r="CU46" i="1"/>
  <c r="CV46" i="1"/>
  <c r="CW46" i="1"/>
  <c r="CX46" i="1"/>
  <c r="CY46" i="1"/>
  <c r="BY47" i="1"/>
  <c r="CB47" i="1"/>
  <c r="CC47" i="1"/>
  <c r="CH47" i="1"/>
  <c r="CJ47" i="1"/>
  <c r="CL47" i="1"/>
  <c r="CO47" i="1"/>
  <c r="CS47" i="1"/>
  <c r="CT47" i="1"/>
  <c r="CU47" i="1"/>
  <c r="CV47" i="1"/>
  <c r="CW47" i="1"/>
  <c r="CX47" i="1"/>
  <c r="CY47" i="1"/>
  <c r="BY48" i="1"/>
  <c r="CB48" i="1"/>
  <c r="CC48" i="1"/>
  <c r="CH48" i="1"/>
  <c r="CJ48" i="1"/>
  <c r="CL48" i="1"/>
  <c r="CO48" i="1"/>
  <c r="CS48" i="1"/>
  <c r="CT48" i="1"/>
  <c r="CU48" i="1"/>
  <c r="CV48" i="1"/>
  <c r="CW48" i="1"/>
  <c r="CX48" i="1"/>
  <c r="CY48" i="1"/>
  <c r="BY49" i="1"/>
  <c r="CB49" i="1"/>
  <c r="CC49" i="1"/>
  <c r="CH49" i="1"/>
  <c r="CJ49" i="1"/>
  <c r="CL49" i="1"/>
  <c r="CO49" i="1"/>
  <c r="CS49" i="1"/>
  <c r="CT49" i="1"/>
  <c r="CU49" i="1"/>
  <c r="CV49" i="1"/>
  <c r="CW49" i="1"/>
  <c r="CX49" i="1"/>
  <c r="CY49" i="1"/>
  <c r="BY50" i="1"/>
  <c r="CB50" i="1"/>
  <c r="CC50" i="1"/>
  <c r="CH50" i="1"/>
  <c r="CJ50" i="1"/>
  <c r="CL50" i="1"/>
  <c r="CO50" i="1"/>
  <c r="CS50" i="1"/>
  <c r="CT50" i="1"/>
  <c r="CU50" i="1"/>
  <c r="CV50" i="1"/>
  <c r="CW50" i="1"/>
  <c r="CX50" i="1"/>
  <c r="CY50" i="1"/>
  <c r="BY51" i="1"/>
  <c r="CB51" i="1"/>
  <c r="CC51" i="1"/>
  <c r="CH51" i="1"/>
  <c r="CJ51" i="1"/>
  <c r="CL51" i="1"/>
  <c r="CO51" i="1"/>
  <c r="CS51" i="1"/>
  <c r="CT51" i="1"/>
  <c r="CU51" i="1"/>
  <c r="CV51" i="1"/>
  <c r="CW51" i="1"/>
  <c r="CX51" i="1"/>
  <c r="CY51" i="1"/>
  <c r="BY52" i="1"/>
  <c r="CB52" i="1"/>
  <c r="CC52" i="1"/>
  <c r="CH52" i="1"/>
  <c r="CJ52" i="1"/>
  <c r="CL52" i="1"/>
  <c r="CO52" i="1"/>
  <c r="CS52" i="1"/>
  <c r="CT52" i="1"/>
  <c r="CU52" i="1"/>
  <c r="CV52" i="1"/>
  <c r="CW52" i="1"/>
  <c r="CX52" i="1"/>
  <c r="CY52" i="1"/>
  <c r="BY53" i="1"/>
  <c r="CB53" i="1"/>
  <c r="CC53" i="1"/>
  <c r="CH53" i="1"/>
  <c r="CJ53" i="1"/>
  <c r="CL53" i="1"/>
  <c r="CO53" i="1"/>
  <c r="CS53" i="1"/>
  <c r="CT53" i="1"/>
  <c r="CU53" i="1"/>
  <c r="CV53" i="1"/>
  <c r="CW53" i="1"/>
  <c r="CX53" i="1"/>
  <c r="CY53" i="1"/>
  <c r="BY54" i="1"/>
  <c r="CB54" i="1"/>
  <c r="CC54" i="1"/>
  <c r="CH54" i="1"/>
  <c r="CJ54" i="1"/>
  <c r="CL54" i="1"/>
  <c r="CO54" i="1"/>
  <c r="CS54" i="1"/>
  <c r="CT54" i="1"/>
  <c r="CU54" i="1"/>
  <c r="CV54" i="1"/>
  <c r="CW54" i="1"/>
  <c r="CX54" i="1"/>
  <c r="CY54" i="1"/>
  <c r="BY55" i="1"/>
  <c r="CB55" i="1"/>
  <c r="CC55" i="1"/>
  <c r="CH55" i="1"/>
  <c r="CJ55" i="1"/>
  <c r="CL55" i="1"/>
  <c r="CO55" i="1"/>
  <c r="CS55" i="1"/>
  <c r="CT55" i="1"/>
  <c r="CU55" i="1"/>
  <c r="CV55" i="1"/>
  <c r="CW55" i="1"/>
  <c r="CX55" i="1"/>
  <c r="CY55" i="1"/>
  <c r="BY56" i="1"/>
  <c r="CB56" i="1"/>
  <c r="CC56" i="1"/>
  <c r="CH56" i="1"/>
  <c r="CJ56" i="1"/>
  <c r="CL56" i="1"/>
  <c r="CO56" i="1"/>
  <c r="CS56" i="1"/>
  <c r="CT56" i="1"/>
  <c r="CU56" i="1"/>
  <c r="CV56" i="1"/>
  <c r="CW56" i="1"/>
  <c r="CX56" i="1"/>
  <c r="CY56" i="1"/>
  <c r="BQ59" i="1"/>
  <c r="BS59" i="1"/>
  <c r="BX59" i="1"/>
  <c r="BY59" i="1"/>
  <c r="CH59" i="1"/>
  <c r="CJ59" i="1"/>
  <c r="CK59" i="1"/>
  <c r="CL59" i="1"/>
  <c r="CM59" i="1"/>
  <c r="CN59" i="1"/>
  <c r="CR59" i="1"/>
  <c r="CS59" i="1"/>
  <c r="CT59" i="1"/>
  <c r="CU59" i="1"/>
  <c r="CV59" i="1"/>
  <c r="CW59" i="1"/>
  <c r="CX59" i="1"/>
</calcChain>
</file>

<file path=xl/sharedStrings.xml><?xml version="1.0" encoding="utf-8"?>
<sst xmlns="http://schemas.openxmlformats.org/spreadsheetml/2006/main" count="830" uniqueCount="518">
  <si>
    <t>Year</t>
  </si>
  <si>
    <t>Total Residential Units</t>
  </si>
  <si>
    <t>Cumulative Market Value</t>
  </si>
  <si>
    <t>Total AV</t>
  </si>
  <si>
    <t>Annual Surplus</t>
  </si>
  <si>
    <t>Surplus Release</t>
  </si>
  <si>
    <t>Cumulative Surplus</t>
  </si>
  <si>
    <t>Senior Debt / AV Ratio</t>
  </si>
  <si>
    <t>Principal</t>
  </si>
  <si>
    <t>Interest</t>
  </si>
  <si>
    <t>Senior Debt / Actual Value Ratio</t>
  </si>
  <si>
    <t>Application of Prior Year Surplus</t>
  </si>
  <si>
    <t>Total Available for Sub. Debt Service</t>
  </si>
  <si>
    <t>Surplus Available for Sub. Debt Service</t>
  </si>
  <si>
    <t>Less Payments Toward Sub. Bond Interest</t>
  </si>
  <si>
    <t>Less Payments Toward Accrued Interest</t>
  </si>
  <si>
    <t>Balance of Accrued Interest</t>
  </si>
  <si>
    <t>Total Sub. Debt Payments</t>
  </si>
  <si>
    <t>Surplus Cash Flow</t>
  </si>
  <si>
    <t>Total Assessed Valuation</t>
  </si>
  <si>
    <t>Operations Mill Levy</t>
  </si>
  <si>
    <t>Total Available for O&amp;M</t>
  </si>
  <si>
    <t>Total Mills</t>
  </si>
  <si>
    <t>Title</t>
  </si>
  <si>
    <t>Description</t>
  </si>
  <si>
    <t>Range Name</t>
  </si>
  <si>
    <t>Notes</t>
  </si>
  <si>
    <t>Basic Inputs</t>
  </si>
  <si>
    <t>Metro District Name</t>
  </si>
  <si>
    <t>Analysis</t>
  </si>
  <si>
    <t>County</t>
  </si>
  <si>
    <t>Scenario</t>
  </si>
  <si>
    <t>TITLE4</t>
  </si>
  <si>
    <t>Fees</t>
  </si>
  <si>
    <t>Structuring Assumptions</t>
  </si>
  <si>
    <t>Developer Assumptions</t>
  </si>
  <si>
    <t>Inflation Rate</t>
  </si>
  <si>
    <t>INFLATION_RATE</t>
  </si>
  <si>
    <t>TABOR_CURRENT</t>
  </si>
  <si>
    <t>TABOR_PROJECTED</t>
  </si>
  <si>
    <t>Tax Payer Bill of Rights ("TABOR") Current</t>
  </si>
  <si>
    <t>Tax Payer Bill of Rights ("TABOR") Projected</t>
  </si>
  <si>
    <t>BIENNIAL_REASSESS_RATE</t>
  </si>
  <si>
    <t>Interest Earnings Rate</t>
  </si>
  <si>
    <t>INTEREST_EARN_RATE</t>
  </si>
  <si>
    <t>Mill Levy Tax Collection %</t>
  </si>
  <si>
    <t>TAX_COLLECT_MILL_PRC</t>
  </si>
  <si>
    <t>TAX_COLLECT_SO_PRC</t>
  </si>
  <si>
    <t>FINAL_MAT_YRS</t>
  </si>
  <si>
    <t>PRIN_MATURITY</t>
  </si>
  <si>
    <t>INT_MATURITY</t>
  </si>
  <si>
    <t>Principal Maturity</t>
  </si>
  <si>
    <t>Interest Maturity</t>
  </si>
  <si>
    <t>Debt Service Coverage - Senior Lien Bonds</t>
  </si>
  <si>
    <t>DSC_SENIOR_LIEN_BONDS</t>
  </si>
  <si>
    <t>Debt Service Coverage - Subordinate Lien Bonds</t>
  </si>
  <si>
    <t>DSC_SUB_LIEN_BONDS</t>
  </si>
  <si>
    <t>Total Mill Levy Cap</t>
  </si>
  <si>
    <t>MILL_LEVY_CAP_TOTAL</t>
  </si>
  <si>
    <t>MILL_LEVY_DS_TARGET</t>
  </si>
  <si>
    <t>MILL_LEVY_DS_CAP</t>
  </si>
  <si>
    <t>Mill Levy Target - Operations</t>
  </si>
  <si>
    <t>MILL_LEVY_OPS_TARGET</t>
  </si>
  <si>
    <t>Mill Levy Cap - Debt Service</t>
  </si>
  <si>
    <t>Mill Levy Target - Debt Service</t>
  </si>
  <si>
    <t>Specific Ownership Tax Collection %</t>
  </si>
  <si>
    <t>Capitalized Interest</t>
  </si>
  <si>
    <t>DO NOT DELETE</t>
  </si>
  <si>
    <t>Yes</t>
  </si>
  <si>
    <t>No</t>
  </si>
  <si>
    <t>CAPI</t>
  </si>
  <si>
    <t>CAPI_TERM</t>
  </si>
  <si>
    <t>Capitalized Interest Period (Months)</t>
  </si>
  <si>
    <t>FIRST_YEAR</t>
  </si>
  <si>
    <t>Sources and Uses</t>
  </si>
  <si>
    <t>Par Amount of Bonds:</t>
  </si>
  <si>
    <t>Plus: Premium / (Discount)</t>
  </si>
  <si>
    <t>TOTAL SOURCES OF FUNDS:</t>
  </si>
  <si>
    <t>Uses of Funds</t>
  </si>
  <si>
    <t>Estimated Reimbursement Amount</t>
  </si>
  <si>
    <t>Costs of Issuance</t>
  </si>
  <si>
    <t>TOTAL USES OF FUNDS:</t>
  </si>
  <si>
    <t>Key Assumptions:</t>
  </si>
  <si>
    <t>Delivery Date</t>
  </si>
  <si>
    <t>First Maturity Date</t>
  </si>
  <si>
    <t>Final Maturity Date</t>
  </si>
  <si>
    <t>Subordinate Lien Bonds</t>
  </si>
  <si>
    <t>SURPLUS_FUND_DEPOSIT</t>
  </si>
  <si>
    <t>Total</t>
  </si>
  <si>
    <t>Market Value</t>
  </si>
  <si>
    <t>Residential Delivery</t>
  </si>
  <si>
    <t>RESID_DELIVERY_YEAR</t>
  </si>
  <si>
    <t>PLATTED_LOT_VALUE</t>
  </si>
  <si>
    <t>DEVELOPED_LOT_VALUE</t>
  </si>
  <si>
    <t>Capitalized</t>
  </si>
  <si>
    <t>Date</t>
  </si>
  <si>
    <t>Rate</t>
  </si>
  <si>
    <t>Yield</t>
  </si>
  <si>
    <t>Price</t>
  </si>
  <si>
    <t>Net Total</t>
  </si>
  <si>
    <t>FUDGE</t>
  </si>
  <si>
    <t>Actual Debt Service Coverage</t>
  </si>
  <si>
    <t>Coverage Target Factor</t>
  </si>
  <si>
    <t>Fund Yield:</t>
  </si>
  <si>
    <t>Draw</t>
  </si>
  <si>
    <t>Construction</t>
  </si>
  <si>
    <t>Combined</t>
  </si>
  <si>
    <t>Beginning</t>
  </si>
  <si>
    <t>Periodic</t>
  </si>
  <si>
    <t>Plus</t>
  </si>
  <si>
    <t>Less</t>
  </si>
  <si>
    <t>Ending</t>
  </si>
  <si>
    <t>Amount</t>
  </si>
  <si>
    <t>Draws</t>
  </si>
  <si>
    <t>Balance</t>
  </si>
  <si>
    <t>First Year for "Summary"</t>
  </si>
  <si>
    <t>Delivery</t>
  </si>
  <si>
    <t>Capitalized Interest First Draw</t>
  </si>
  <si>
    <t>Capitalized Interest End Date</t>
  </si>
  <si>
    <t>DELIVERY</t>
  </si>
  <si>
    <t>FIRST_INT</t>
  </si>
  <si>
    <t>CAPI_FIRST_DRAW</t>
  </si>
  <si>
    <t>PAR_CALL_FIRST</t>
  </si>
  <si>
    <t>CAPI_END_DATE</t>
  </si>
  <si>
    <t>First Principal</t>
  </si>
  <si>
    <t>FIRST_PRIN</t>
  </si>
  <si>
    <t>Senior Lien Bonds Interest Rate</t>
  </si>
  <si>
    <t>Subordinate Lien / Cashflow Notes Interest Rate</t>
  </si>
  <si>
    <t>SENIOR_INTEREST_RATE</t>
  </si>
  <si>
    <t>SUB_INTEREST_RATE</t>
  </si>
  <si>
    <t>COI</t>
  </si>
  <si>
    <t>Underwriters' Discount - Senior Bonds</t>
  </si>
  <si>
    <t>Underwriters' Discount - Subordinate Lien / Cashflow Notes</t>
  </si>
  <si>
    <t>UWD_SENIOR</t>
  </si>
  <si>
    <t>UWD_SUB</t>
  </si>
  <si>
    <t>FRAC</t>
  </si>
  <si>
    <t>Fractional Period CAPI</t>
  </si>
  <si>
    <t>FRAC_CAPI</t>
  </si>
  <si>
    <t>Bond Value</t>
  </si>
  <si>
    <t>Annual Net Total</t>
  </si>
  <si>
    <t>Payment Date</t>
  </si>
  <si>
    <t>SURPLUS_FUND_RELEASE_DATE</t>
  </si>
  <si>
    <t>Annual Gross Total</t>
  </si>
  <si>
    <t>First Interest Date</t>
  </si>
  <si>
    <t>Underwriters' Discount</t>
  </si>
  <si>
    <t>Surplus Toggle</t>
  </si>
  <si>
    <t>SURPLUS_ON_OFF</t>
  </si>
  <si>
    <t>SURPLUS_FUND_TARGET</t>
  </si>
  <si>
    <t>Senior Lien Revenues</t>
  </si>
  <si>
    <t>Subordinate Lien Revenues</t>
  </si>
  <si>
    <t>City</t>
  </si>
  <si>
    <t>CITY</t>
  </si>
  <si>
    <t>COUNTY</t>
  </si>
  <si>
    <t>METRO</t>
  </si>
  <si>
    <t>ANALYSIS</t>
  </si>
  <si>
    <t>Accrued Interest</t>
  </si>
  <si>
    <t>First Interest Senior Bonds</t>
  </si>
  <si>
    <t>First Interest Subordinate Bonds</t>
  </si>
  <si>
    <t>FIRST_INT_SUB</t>
  </si>
  <si>
    <t>Senior Bonds</t>
  </si>
  <si>
    <t>SENIOR_BONDS_SERIES</t>
  </si>
  <si>
    <t>SUB_BONDS_SERIES</t>
  </si>
  <si>
    <t>Premium/OID</t>
  </si>
  <si>
    <t>Biennial Reassessment Rate - Commercial</t>
  </si>
  <si>
    <t>BIENNIAL_REASSESS_COMM_RATE</t>
  </si>
  <si>
    <t>Final Maturity for Subordinate Lien Bonds</t>
  </si>
  <si>
    <t>Final Maturity for Senior Lien Bonds</t>
  </si>
  <si>
    <t>FINAL_MAT_SUB_YRS</t>
  </si>
  <si>
    <t>END_BAL_ACCRUED_SUB_BONDS</t>
  </si>
  <si>
    <t>Ending Balance of Accrued Interest for Subordinate Bonds</t>
  </si>
  <si>
    <t>Senior Lien Bonds Principal Pay Day</t>
  </si>
  <si>
    <t>Subordinate Lien Bonds Principal Pay Day</t>
  </si>
  <si>
    <t>PRIN_MATURITY_DAY_SENIOR</t>
  </si>
  <si>
    <t>PRIN_MATURITY_DAY_SUB</t>
  </si>
  <si>
    <t>Fractional Period Senior Bonds</t>
  </si>
  <si>
    <t>Fractional Period Subordinate Bonds</t>
  </si>
  <si>
    <t>FRAC_SUB</t>
  </si>
  <si>
    <t>First Home Closing</t>
  </si>
  <si>
    <t>HOME_FIRST_CLOSE_DATE</t>
  </si>
  <si>
    <t>Home Closings</t>
  </si>
  <si>
    <t>HOME_LOT_DELIVERY_DATE</t>
  </si>
  <si>
    <t>S/T</t>
  </si>
  <si>
    <t>T</t>
  </si>
  <si>
    <t>Tax Revenue Year</t>
  </si>
  <si>
    <t>Controls Iteration error.  If Model "#N/A" outs</t>
  </si>
  <si>
    <t>Bond Statistics:</t>
  </si>
  <si>
    <t>Bond Years</t>
  </si>
  <si>
    <t>First Par Call Date</t>
  </si>
  <si>
    <t>TIC TEMPLATE</t>
  </si>
  <si>
    <t>Arbitrage TIC</t>
  </si>
  <si>
    <t>8038 Average Life</t>
  </si>
  <si>
    <t>All-in TIC</t>
  </si>
  <si>
    <t>Maximum Annual Debt Service</t>
  </si>
  <si>
    <t>Total Debt Service</t>
  </si>
  <si>
    <t>Semi Annual Interest</t>
  </si>
  <si>
    <t>Annual Interest</t>
  </si>
  <si>
    <t>TIC Debt Service</t>
  </si>
  <si>
    <t>Aggregate Debt Service on Sub. Bonds</t>
  </si>
  <si>
    <t>Debt Service Coverage</t>
  </si>
  <si>
    <t>Repayment Ratio (Expected)</t>
  </si>
  <si>
    <t>Debt Service Reserve Fund</t>
  </si>
  <si>
    <t>Senior Lien Bonds Surplus Fund Target</t>
  </si>
  <si>
    <t>As known as Home Starts</t>
  </si>
  <si>
    <t>First Townhouse Closing</t>
  </si>
  <si>
    <t>TOWNHOME_FIRST_CLOSE_DATE</t>
  </si>
  <si>
    <t>SFD</t>
  </si>
  <si>
    <t>Totals</t>
  </si>
  <si>
    <t>Biennial Reassessment</t>
  </si>
  <si>
    <t>Product</t>
  </si>
  <si>
    <t>DUPLEX_FIRST_CLOSE_DATE</t>
  </si>
  <si>
    <t>Limit</t>
  </si>
  <si>
    <t>Test</t>
  </si>
  <si>
    <t>DEVELOPMENT PROJECTIONS</t>
  </si>
  <si>
    <t>Total Lots</t>
  </si>
  <si>
    <t>Total Residential</t>
  </si>
  <si>
    <t>First Financing Assumptions</t>
  </si>
  <si>
    <t>Toggle for Second Financing if needed</t>
  </si>
  <si>
    <t>Second Financing</t>
  </si>
  <si>
    <t>SECOND_FINANCING</t>
  </si>
  <si>
    <t>Existing Net Debt Service</t>
  </si>
  <si>
    <t>Total Balance of Sub. Bond Principal</t>
  </si>
  <si>
    <t>Total Net Debt Service</t>
  </si>
  <si>
    <t>Coverage Test</t>
  </si>
  <si>
    <t>DEVELOPER</t>
  </si>
  <si>
    <t>Developer</t>
  </si>
  <si>
    <t>=MIN(EDATE(CAPI_FIRST_DRAW,CAPI_TERM),DATE(YEAR(EDATE(DELIVERY,CAPI_TERM)),MONTH(FIRST_INT),PRIN_MATURITY_DAY_SENIOR),EDATE(DELIVERY,CAPI_TERM))</t>
  </si>
  <si>
    <t>Capital Improvement Fee</t>
  </si>
  <si>
    <t>CAPITAL_IMPROV_FEE</t>
  </si>
  <si>
    <t>Specific ASP for SFD_1</t>
  </si>
  <si>
    <t>Specific ASP for SFD_2</t>
  </si>
  <si>
    <t>Specific ASP for SFD_3</t>
  </si>
  <si>
    <t>ASP_SFD_1</t>
  </si>
  <si>
    <t>ASP_SFD_2</t>
  </si>
  <si>
    <t>ASP_SFD_3</t>
  </si>
  <si>
    <t>INFLATION_STEP_YEARS</t>
  </si>
  <si>
    <t>Inflation Step (in years)</t>
  </si>
  <si>
    <t>Inflation Step Year</t>
  </si>
  <si>
    <t>INFLATION_STEP_START_YEAR</t>
  </si>
  <si>
    <t>First Duplex Closing</t>
  </si>
  <si>
    <t>MILL_LEVY_COMM</t>
  </si>
  <si>
    <t>Mill Levy Cap - Commercial</t>
  </si>
  <si>
    <t>COMMERCIAL_LAG_YEARS</t>
  </si>
  <si>
    <t>Commercial Lag Years (Value for Platted/Developed Lots)</t>
  </si>
  <si>
    <t>PLATTED_COMM_LOT_VALUE</t>
  </si>
  <si>
    <t>Inflation Rate Commercial Sales</t>
  </si>
  <si>
    <t>INFLATION_RATE_COMM_SALES</t>
  </si>
  <si>
    <t>Total Assessed Commercial Value</t>
  </si>
  <si>
    <t>Release Surplus Funds?</t>
  </si>
  <si>
    <t>SURPLUS_RELEASE_SIZING</t>
  </si>
  <si>
    <t>Subordinate Lien Bonds Sizing Threshold</t>
  </si>
  <si>
    <t>SUB_SIZING_THRESHOLD</t>
  </si>
  <si>
    <t>Funds on Hand (Source of Funds)</t>
  </si>
  <si>
    <t>Refunding</t>
  </si>
  <si>
    <t>REFUND_FINANCING</t>
  </si>
  <si>
    <t>Refunding Bonds</t>
  </si>
  <si>
    <t>REFUND_BONDS_SERIES</t>
  </si>
  <si>
    <t>Senior Lien Bonds Interest Rate - Refunding</t>
  </si>
  <si>
    <t>SENIOR_REFUNDING_INTEREST_RATE</t>
  </si>
  <si>
    <t>Delivery - Refunding</t>
  </si>
  <si>
    <t>DELIVERY_REFUNDING</t>
  </si>
  <si>
    <t>First Interest Refunding Senior Bonds</t>
  </si>
  <si>
    <t>FIRST_INT_REFUNDING</t>
  </si>
  <si>
    <t>Other Sources of Funds:</t>
  </si>
  <si>
    <t>Costs of Issuance - Refunding</t>
  </si>
  <si>
    <t>COI_REFUNDING</t>
  </si>
  <si>
    <t>Underwriters' Discount - Refunding Senior Bonds</t>
  </si>
  <si>
    <t>UWD_SENIOR_REFUNDING</t>
  </si>
  <si>
    <t>Fractional Period Refunding Senior Bonds</t>
  </si>
  <si>
    <t>FRAC_REFUNDING</t>
  </si>
  <si>
    <t>Surplus Target Amount - Senior Bonds</t>
  </si>
  <si>
    <t>Surplus Target Amount - Refunding Senior Bonds</t>
  </si>
  <si>
    <t>Deposit to Surplus Fund / Debt Service Reserve Fund</t>
  </si>
  <si>
    <t>different formula than Senior Lien bonds formula</t>
  </si>
  <si>
    <t>Surplus Fund Release Date - Senior Bonds</t>
  </si>
  <si>
    <t>Surplus Fund Release Date - Refunding Bonds</t>
  </si>
  <si>
    <t>SURPLUS_FUND_DEPOSIT_REFUNDING</t>
  </si>
  <si>
    <t>Final Maturity for Refunding Senior Lien Bonds</t>
  </si>
  <si>
    <t>FINAL_MAT_YRS_REFUNDING</t>
  </si>
  <si>
    <t>SURPLUS_FUND_RELEASE_DATE_REFUNDING</t>
  </si>
  <si>
    <t>SURPLUS_FUND_TARGET_REFUNDING</t>
  </si>
  <si>
    <t>Specific ASP for SFD_4</t>
  </si>
  <si>
    <t>Specific ASP for SFD_5</t>
  </si>
  <si>
    <t>Specific ASP for SFD_6</t>
  </si>
  <si>
    <t>Specific ASP for SFD_7</t>
  </si>
  <si>
    <t>Specific ASP for SFD_8</t>
  </si>
  <si>
    <t>ASP_SFD_4</t>
  </si>
  <si>
    <t>ASP_SFD_5</t>
  </si>
  <si>
    <t>ASP_SFD_6</t>
  </si>
  <si>
    <t>ASP_SFD_7</t>
  </si>
  <si>
    <t>ASP_SFD_8</t>
  </si>
  <si>
    <t>The market seems to be 10 - 15%</t>
  </si>
  <si>
    <t>IF(SECOND_FINANCING="No", FINAL_MAT_YRS+1,MAX(YEAR(EDATE(SURPLUS_FUND_RELEASE_DATE,12))-YEAR(DELIVERY),YEAR(EDATE(SURPLUS_FUND_RELEASE_DATE_SECOND,12))-YEAR(DELIVERY)))</t>
  </si>
  <si>
    <t>DO NOT INCLUDE CAPI</t>
  </si>
  <si>
    <t>Sub Bonds</t>
  </si>
  <si>
    <t>DS</t>
  </si>
  <si>
    <t>Balance of Bond Interest + Accrued Interest</t>
  </si>
  <si>
    <t>Unused Revenues</t>
  </si>
  <si>
    <t>Total Payments</t>
  </si>
  <si>
    <t>County Treasurer</t>
  </si>
  <si>
    <t>COUNTY_TREASURER_FEE</t>
  </si>
  <si>
    <t>TRUSTEE_FEE</t>
  </si>
  <si>
    <t>Expenses</t>
  </si>
  <si>
    <t>Mill Levy from Service Plan</t>
  </si>
  <si>
    <t>MILL_LEVY_SERVICE_PLAN</t>
  </si>
  <si>
    <t>Tax Payer Bill of Rights ("TABOR") Prior</t>
  </si>
  <si>
    <t>TABOR_PRIOR</t>
  </si>
  <si>
    <t>General Rule?  7 months after Delivery Date? Unless specified</t>
  </si>
  <si>
    <t>Build in Gallagher "Yes" "No" toggle</t>
  </si>
  <si>
    <t>=MILL_LEVY_SERVICE_PLAN/(TABOR_CURRENT/TABOR_PRIOR)</t>
  </si>
  <si>
    <t>Total Units</t>
  </si>
  <si>
    <t>Price Appreciation</t>
  </si>
  <si>
    <t>Base Price</t>
  </si>
  <si>
    <t>RESIDENTIAL PRICING</t>
  </si>
  <si>
    <t>RESIDENTIAL ASSESSED VALUTION CREATION</t>
  </si>
  <si>
    <t>Existing</t>
  </si>
  <si>
    <t>Offset Months</t>
  </si>
  <si>
    <t>Lagged for Tax Rolls</t>
  </si>
  <si>
    <t>Existing Value</t>
  </si>
  <si>
    <t>Market Value of Lots</t>
  </si>
  <si>
    <t>STATE_ASSESSED</t>
  </si>
  <si>
    <t>State Assessed Valuation</t>
  </si>
  <si>
    <t>Vacant Land Value Per Lot</t>
  </si>
  <si>
    <t>Total Lot Value</t>
  </si>
  <si>
    <t>Market Value (Base Price)</t>
  </si>
  <si>
    <t>Total Residential Assessed Value</t>
  </si>
  <si>
    <t xml:space="preserve">Assessed Valuation </t>
  </si>
  <si>
    <t>Vacant Land</t>
  </si>
  <si>
    <t>Lot Delivery Schedule</t>
  </si>
  <si>
    <t>Subordinate Lien Debt Service</t>
  </si>
  <si>
    <t>Senior Lien Debt Service</t>
  </si>
  <si>
    <t xml:space="preserve">Mill Levy </t>
  </si>
  <si>
    <t>Total Collections</t>
  </si>
  <si>
    <t>Mill Contribution Rate to Town/City/County</t>
  </si>
  <si>
    <t>CONTRIBUTION_RATE</t>
  </si>
  <si>
    <t>GALLAGHERIZATION</t>
  </si>
  <si>
    <t>Gallagherize the Rate</t>
  </si>
  <si>
    <t>LOT DELIVERY</t>
  </si>
  <si>
    <t>Units</t>
  </si>
  <si>
    <t>Value</t>
  </si>
  <si>
    <t>Residential Asssesed Valuation Creation</t>
  </si>
  <si>
    <t>Taxing Authority and Fee Assumptions:</t>
  </si>
  <si>
    <t>Residential Assessment Ratio</t>
  </si>
  <si>
    <t>Service Plan Gallagherization Base Rate</t>
  </si>
  <si>
    <t>Financing Plan Assumption</t>
  </si>
  <si>
    <t>Debt Service Mills</t>
  </si>
  <si>
    <t>Service Plan Mill Levy Cap</t>
  </si>
  <si>
    <t>Maximum Adjusted Mill Cap</t>
  </si>
  <si>
    <t>Targeted Mill Levy</t>
  </si>
  <si>
    <t>Other Revenue and Fee Assumptions</t>
  </si>
  <si>
    <t xml:space="preserve">Specific Ownership Taxes </t>
  </si>
  <si>
    <t>County Treasurer Fee</t>
  </si>
  <si>
    <t>=1-FRAC</t>
  </si>
  <si>
    <t>Oil and Gas Producing Properties</t>
  </si>
  <si>
    <t>Actual Value of Oil &amp; Gas Producing Properties</t>
  </si>
  <si>
    <t xml:space="preserve">Depreciation </t>
  </si>
  <si>
    <t>Assessed Value of Oil &amp; Gas</t>
  </si>
  <si>
    <t>OIL_GAS</t>
  </si>
  <si>
    <t>Town of Brighton</t>
  </si>
  <si>
    <t>District Facility Fee</t>
  </si>
  <si>
    <t>ADJUSTMENTS</t>
  </si>
  <si>
    <t>Finished Lots Used</t>
  </si>
  <si>
    <t>Assessed Value of Lots</t>
  </si>
  <si>
    <t>Specific Ownership Tax Collection AV Threshold</t>
  </si>
  <si>
    <t>TAX_COLLECT_SO_AV_THRESHOLD</t>
  </si>
  <si>
    <t>AV Threshold for 100% of SOT</t>
  </si>
  <si>
    <t>AV Set /Assessment Year</t>
  </si>
  <si>
    <t xml:space="preserve">Total Eligible Construction Costs (1)                                         </t>
  </si>
  <si>
    <t>Total Eligible Soft Costs (2)</t>
  </si>
  <si>
    <t>Approx. Advanced O&amp;M Dollars to District</t>
  </si>
  <si>
    <t>Future O&amp;M Costs Advance to District at Bond Close</t>
  </si>
  <si>
    <t>Developer Advance to District for Future Const. Costs (3)</t>
  </si>
  <si>
    <t>Approx. Developer Interest on Advances (4)</t>
  </si>
  <si>
    <t>Estimated Bond Formation/Closing Costs (5)</t>
  </si>
  <si>
    <t>Total Bond PAR Amount </t>
  </si>
  <si>
    <t>Interest Earnings</t>
  </si>
  <si>
    <t>Existing (Not Lagged)</t>
  </si>
  <si>
    <t>COMMERCIAL PRICING</t>
  </si>
  <si>
    <t>Commercial Asssesed Valuation Creation</t>
  </si>
  <si>
    <t>Total Square Footage</t>
  </si>
  <si>
    <t>Flex Office / Industrial</t>
  </si>
  <si>
    <t>Retail</t>
  </si>
  <si>
    <t>Office</t>
  </si>
  <si>
    <t>Hotel</t>
  </si>
  <si>
    <t>Industrial/Office/Comm</t>
  </si>
  <si>
    <t>Total Sq. Ft.</t>
  </si>
  <si>
    <t>Cumulative Statutory Actual Value</t>
  </si>
  <si>
    <t>Cumulative Sq. Ft. Delivered</t>
  </si>
  <si>
    <t>Value of Delivered Commercial Sq. Ft.</t>
  </si>
  <si>
    <t>Sq. Ft. of Delivered Commercial</t>
  </si>
  <si>
    <t>Total Commercial Square Ft. Sold/Leased</t>
  </si>
  <si>
    <t>Commercial - Platted/Developed Lots</t>
  </si>
  <si>
    <t>Commercial - Sold/Leased Up</t>
  </si>
  <si>
    <t>Equipment/Other</t>
  </si>
  <si>
    <t>OIL_GAS_VALUE</t>
  </si>
  <si>
    <t>State Assessed</t>
  </si>
  <si>
    <t>Assessed Value of State Assessed</t>
  </si>
  <si>
    <t>District Mill Levy</t>
  </si>
  <si>
    <t>Lot Delivery Scenario</t>
  </si>
  <si>
    <t>Absorption Scenario</t>
  </si>
  <si>
    <t>LOT_DELIVERY_SCENARIO</t>
  </si>
  <si>
    <t>ABSORPTION_SCENARIO</t>
  </si>
  <si>
    <t>Average Yearly Absorption</t>
  </si>
  <si>
    <t>HYPOTHETICAL_SCENARIO</t>
  </si>
  <si>
    <t>Hypothetical Sizing Scenario</t>
  </si>
  <si>
    <t>Detailed Cost of Issuance</t>
  </si>
  <si>
    <t>Existing Home Market Value</t>
  </si>
  <si>
    <t>Existing Homes</t>
  </si>
  <si>
    <t>Biennial Reassessment Rate - Residential (Senior)</t>
  </si>
  <si>
    <t>Biennial Reassessment Rate - Residential (Subordinate)</t>
  </si>
  <si>
    <t>BIENNIAL_REASSESS_RATE_SUBORDINATE</t>
  </si>
  <si>
    <t>Oil Gas Producing Properties (Senior)</t>
  </si>
  <si>
    <t>OIL_GAS_SUBORDINATE</t>
  </si>
  <si>
    <t>Oil Gas Producing Properties (Subordinate)</t>
  </si>
  <si>
    <t>New Residential Value (Senior)</t>
  </si>
  <si>
    <t>New Residential Value (Subordinate)</t>
  </si>
  <si>
    <t>RESID_NEW_VALUE_ADD</t>
  </si>
  <si>
    <t>RESID_NEW_VALUE_ADD_SUB</t>
  </si>
  <si>
    <t>Total Available Revenue for Senior Bonds</t>
  </si>
  <si>
    <t>Revenue Calculation - Senior Bonds</t>
  </si>
  <si>
    <t>New Commercial Value (Senior)</t>
  </si>
  <si>
    <t>New Commercial Value (Subordinate)</t>
  </si>
  <si>
    <t>COMM_NEW_VALUE_ADD</t>
  </si>
  <si>
    <t>COMM_NEW_VALUE_ADD_SUB</t>
  </si>
  <si>
    <t>Revenue Calculation - Subordinate Bonds</t>
  </si>
  <si>
    <t>Total Available Revenue for Subordinate Bonds</t>
  </si>
  <si>
    <t>Total of New Value</t>
  </si>
  <si>
    <t>Net Revenue Available for Senior Lien Debt Service</t>
  </si>
  <si>
    <t>Net Revenue Available for Subordinate Lien Debt Service</t>
  </si>
  <si>
    <t>Also Known as "Existing Home Growth"</t>
  </si>
  <si>
    <t>Also Known as "New Home Growth"</t>
  </si>
  <si>
    <t>TRUSTEE_FEE_SUB</t>
  </si>
  <si>
    <t>Trustee Fee (Senior Bonds)</t>
  </si>
  <si>
    <t>Trustee Fee (Subordinate Bonds)</t>
  </si>
  <si>
    <t>Specific ASP for SFD_9</t>
  </si>
  <si>
    <t>Specific ASP for SFD_10</t>
  </si>
  <si>
    <t>Specific ASP for SFD_11</t>
  </si>
  <si>
    <t>Specific ASP for SFD_12</t>
  </si>
  <si>
    <t>ASP_SFD_9</t>
  </si>
  <si>
    <t>ASP_SFD_10</t>
  </si>
  <si>
    <t>ASP_SFD_11</t>
  </si>
  <si>
    <t>ASP_SFD_12</t>
  </si>
  <si>
    <t>Operations and Maintenance Carveout</t>
  </si>
  <si>
    <t xml:space="preserve">Operations and Maintenance Carveout AV Threshold </t>
  </si>
  <si>
    <t>OM_CARVEOUT</t>
  </si>
  <si>
    <t>OM_CARVEOUT_AV_LIMIT</t>
  </si>
  <si>
    <t>Operations and Maintenance Growth</t>
  </si>
  <si>
    <t>OM_GROWTH_RATE</t>
  </si>
  <si>
    <t>Premium Call Price</t>
  </si>
  <si>
    <t>PREMIUM_CALL_FIRST</t>
  </si>
  <si>
    <t>PREMIUM_CALL_FIRST_PRICE</t>
  </si>
  <si>
    <t>Product/Builder</t>
  </si>
  <si>
    <t>AV in Collection Year (@ 29%)</t>
  </si>
  <si>
    <t>Oil and Gas Valuation</t>
  </si>
  <si>
    <t>OIL_GAS_ASSETS</t>
  </si>
  <si>
    <r>
      <t xml:space="preserve">Existing Senior Surplus Fund Balance </t>
    </r>
    <r>
      <rPr>
        <vertAlign val="superscript"/>
        <sz val="11"/>
        <color theme="1"/>
        <rFont val="Calibri"/>
        <family val="2"/>
        <scheme val="minor"/>
      </rPr>
      <t>(1)</t>
    </r>
  </si>
  <si>
    <t>Investment Grade Rating</t>
  </si>
  <si>
    <t>IG_RATED</t>
  </si>
  <si>
    <t>IG Rated</t>
  </si>
  <si>
    <t>NR Rated</t>
  </si>
  <si>
    <t>Seniors</t>
  </si>
  <si>
    <t>Subs</t>
  </si>
  <si>
    <t>Weighted Average Coupon</t>
  </si>
  <si>
    <t>Additional New Value</t>
  </si>
  <si>
    <t>Average Coupon</t>
  </si>
  <si>
    <t>Annual Trustee Fee (Senior / Sub)</t>
  </si>
  <si>
    <t>value lots at 15%</t>
  </si>
  <si>
    <t>Debt Service Coverage - Refunding</t>
  </si>
  <si>
    <t>DSC_REFUNDING_BONDS</t>
  </si>
  <si>
    <t>Refunding Escrow Deposits (Series 2024A Bonds)</t>
  </si>
  <si>
    <t>Refunding Escrow Deposits (Series 2024B Bonds)</t>
  </si>
  <si>
    <t>Surplus Funds on Hand</t>
  </si>
  <si>
    <t>2024 Debt Service Reserve Fund</t>
  </si>
  <si>
    <t>Annual Trustee Fee</t>
  </si>
  <si>
    <t>System Development Fee</t>
  </si>
  <si>
    <t>Also called SDF's (System Development Fee)</t>
  </si>
  <si>
    <t>Ref Bonds</t>
  </si>
  <si>
    <t>Adams County, Colorado</t>
  </si>
  <si>
    <t xml:space="preserve">Est. Reimbursement Amount </t>
  </si>
  <si>
    <t>D.R. Horton</t>
  </si>
  <si>
    <t>TH</t>
  </si>
  <si>
    <t>DU</t>
  </si>
  <si>
    <t>Salem</t>
  </si>
  <si>
    <t>Utah</t>
  </si>
  <si>
    <t>Estimated Costs of Issuance</t>
  </si>
  <si>
    <t>Series 2024 Bonds</t>
  </si>
  <si>
    <t>% of Deal</t>
  </si>
  <si>
    <t>Par Amount of Bonds</t>
  </si>
  <si>
    <t>Underwriter (Wells Fargo)</t>
  </si>
  <si>
    <t>Municipal Advisor (Tierra)</t>
  </si>
  <si>
    <t>Market Study (Zonda)</t>
  </si>
  <si>
    <t>Financial Forecast (Causey Demgen)</t>
  </si>
  <si>
    <t>Trustee (UMB)</t>
  </si>
  <si>
    <t>Misc.</t>
  </si>
  <si>
    <t>Viridian Farm Public Improvement District</t>
  </si>
  <si>
    <t>Senior</t>
  </si>
  <si>
    <t>Sub</t>
  </si>
  <si>
    <t>Bond Counsel (Gilmore Bell)</t>
  </si>
  <si>
    <t>Disclosure Counsel (Gilmore Bell)</t>
  </si>
  <si>
    <t>Underwriter's Counsel (KC Veio)</t>
  </si>
  <si>
    <t>Market Value of Lots (with lag)</t>
  </si>
  <si>
    <t>Home Market Value (with lag)</t>
  </si>
  <si>
    <t>Residential Asssesed Valuation Creation (Lagged for Tax Rolls)</t>
  </si>
  <si>
    <t>Check Zonda ASP</t>
  </si>
  <si>
    <t>Rear-Load Townhome</t>
  </si>
  <si>
    <t>Front-Load Townhome</t>
  </si>
  <si>
    <t>Alley-Load Cottages</t>
  </si>
  <si>
    <t>Front-Load Cottages</t>
  </si>
  <si>
    <t>8,000 Lots</t>
  </si>
  <si>
    <t>12,000 Lots</t>
  </si>
  <si>
    <t>18,000 Lots</t>
  </si>
  <si>
    <t>21,000 Lots</t>
  </si>
  <si>
    <t>=IF(MIN((DATE(YEAR(DELIVERY),PRIN_MATURITY,PRIN_MATURITY_DAY_SENIOR)),(DATE(YEAR(DELIVERY),INT_MATURITY,PRIN_MATURITY_DAY_SENIOR)))&gt;DELIVERY,MIN(DATE(YEAR(EDATE(DELIVERY,6)),PRIN_MATURITY,PRIN_MATURITY_DAY_SENIOR),DATE(YEAR(EDATE(DELIVERY,6)),INT_MATURITY,PRIN_MATURITY_DAY_SENIOR)),MAX((DATE(YEAR(DELIVERY),PRIN_MATURITY,PRIN_MATURITY_DAY_SENIOR)),(DATE(YEAR(DELIVERY),INT_MATURITY,PRIN_MATURITY_DAY_SENIOR))))</t>
  </si>
  <si>
    <t>=IF(MIN((DATE(YEAR(DELIVERY),PRIN_MATURITY,PRIN_MATURITY_DAY_SUB)),(DATE(YEAR(DELIVERY),INT_MATURITY,PRIN_MATURITY_DAY_SUB)))&gt;DELIVERY,MIN(DATE(YEAR(EDATE(DELIVERY,6)),PRIN_MATURITY,PRIN_MATURITY_DAY_SUB),DATE(YEAR(EDATE(DELIVERY,6)),INT_MATURITY,PRIN_MATURITY_DAY_SUB)),MAX((DATE(YEAR(DELIVERY),PRIN_MATURITY,PRIN_MATURITY_DAY_SUB)),(DATE(YEAR(DELIVERY),INT_MATURITY,PRIN_MATURITY_DAY_SUB))))</t>
  </si>
  <si>
    <t>Annual Admin Costs</t>
  </si>
  <si>
    <t>Aerial (Utah by Air)</t>
  </si>
  <si>
    <t>General Counsel (Snow Jensen)</t>
  </si>
  <si>
    <t>Printing (Imagemaster)</t>
  </si>
  <si>
    <t>City Pricing Consultant (Zions)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</si>
</sst>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00"/>
    <numFmt numFmtId="167" formatCode="0.00000"/>
    <numFmt numFmtId="168" formatCode="_(* #,##0.0000000_);_(* \(#,##0.0000000\);_(* &quot;-&quot;??_);_(@_)"/>
    <numFmt numFmtId="169" formatCode="_(* #,##0_);_(* \(#,##0\);_(* &quot;-&quot;???_);_(@_)"/>
    <numFmt numFmtId="170" formatCode="0.00&quot;x&quot;"/>
    <numFmt numFmtId="171" formatCode="&quot;$&quot;#,##0"/>
    <numFmt numFmtId="172" formatCode="_(* #,##0.0000_);_(* \(#,##0.0000\);_(* &quot;-&quot;??_);_(@_)"/>
    <numFmt numFmtId="173" formatCode="&quot;Platted Lot (&quot;0%\ &quot;of ASP)&quot;"/>
    <numFmt numFmtId="174" formatCode="&quot;Average Lot Costs (&quot;0%\ &quot;of ASP)&quot;"/>
    <numFmt numFmtId="175" formatCode="0.0000"/>
    <numFmt numFmtId="176" formatCode="mm/dd/yyyy;@"/>
    <numFmt numFmtId="177" formatCode="m/d/yy;@"/>
    <numFmt numFmtId="178" formatCode="_(#,##0_);_(\(#,##0\);_(&quot;-&quot;??_);_(@_)"/>
    <numFmt numFmtId="179" formatCode="_(* #,##0.000%;_(* \(#,##0.000\);_(* &quot;-&quot;???_);_(@_)"/>
    <numFmt numFmtId="180" formatCode="_(* #,##0.000;_(* \(#,##0.000\);_(* &quot;-&quot;???_);_(@_)"/>
    <numFmt numFmtId="181" formatCode="0.000%"/>
    <numFmt numFmtId="182" formatCode="0.0000000%"/>
    <numFmt numFmtId="183" formatCode="0.0000%"/>
    <numFmt numFmtId="184" formatCode="yyyy"/>
    <numFmt numFmtId="185" formatCode="0.00&quot;x&quot;;\ \(##0\);\ "/>
    <numFmt numFmtId="186" formatCode="&quot;First Par Call Date (&quot;0\ &quot;yrs)&quot;"/>
    <numFmt numFmtId="187" formatCode="&quot;Lot Delivery (Home Closing - &quot;\ 0.0&quot;mos)&quot;"/>
    <numFmt numFmtId="188" formatCode="&quot;yrs&quot;"/>
    <numFmt numFmtId="189" formatCode="#,##0.000&quot;yrs&quot;"/>
    <numFmt numFmtId="190" formatCode="0.00000%"/>
    <numFmt numFmtId="191" formatCode="_(* #,##0.0_);_(* \(#,##0.0\);_(* &quot;-&quot;?_);_(@_)"/>
    <numFmt numFmtId="192" formatCode="&quot;Commercial Platted Lot (&quot;0%\ &quot;of ASP)&quot;"/>
    <numFmt numFmtId="193" formatCode="_(* #,##0.000_);_(* \(#,##0.000\);_(* &quot;-&quot;??_);_(@_)"/>
    <numFmt numFmtId="194" formatCode="_(&quot;$&quot;* #,##0_);_(&quot;$&quot;* \(#,##0\);_(&quot;$&quot;* &quot;-&quot;??_);_(@_)"/>
    <numFmt numFmtId="195" formatCode="_(* &quot;$&quot;#,##0_);_(* \(#,##0\);_(* &quot;-&quot;??_);_(@_)"/>
    <numFmt numFmtId="196" formatCode="&quot;Oil and Gas Valuation (&quot;0.00%\ &quot;of ASP)&quot;"/>
    <numFmt numFmtId="197" formatCode="&quot;First Premium Call Date (&quot;0\ &quot;yrs)&quot;"/>
    <numFmt numFmtId="198" formatCode="&quot;$&quot;#,##0;\(&quot;$&quot;#,##0\)"/>
    <numFmt numFmtId="199" formatCode="&quot;$&quot;#,##0.00"/>
    <numFmt numFmtId="200" formatCode="0.00&quot;x&quot;;\ \(##0.0\);\ "/>
  </numFmts>
  <fonts count="5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name val="Trebuchet MS"/>
      <family val="2"/>
    </font>
    <font>
      <sz val="11"/>
      <color theme="8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1"/>
      <name val="Cambria"/>
      <family val="1"/>
    </font>
    <font>
      <b/>
      <sz val="10"/>
      <name val="Cambria"/>
      <family val="1"/>
    </font>
    <font>
      <b/>
      <sz val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0"/>
      <name val="Trebuchet MS"/>
      <family val="2"/>
    </font>
    <font>
      <sz val="10"/>
      <name val="Trebuchet MS"/>
      <family val="2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rgb="FF00206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0"/>
      <color theme="5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10"/>
      <name val="Trebuchet MS"/>
      <family val="2"/>
    </font>
    <font>
      <i/>
      <sz val="9"/>
      <color theme="1"/>
      <name val="Calibri"/>
      <family val="2"/>
      <scheme val="minor"/>
    </font>
    <font>
      <i/>
      <sz val="9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i/>
      <sz val="12"/>
      <color rgb="FF7030A0"/>
      <name val="Calibri"/>
      <family val="2"/>
      <scheme val="minor"/>
    </font>
    <font>
      <i/>
      <sz val="9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D9999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000000"/>
      <name val="Calibri"/>
      <family val="2"/>
    </font>
    <font>
      <sz val="11"/>
      <color theme="8"/>
      <name val="Cambria"/>
      <family val="1"/>
    </font>
    <font>
      <i/>
      <sz val="9"/>
      <color theme="8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2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09">
    <xf numFmtId="0" fontId="0" fillId="0" borderId="0" xfId="0"/>
    <xf numFmtId="0" fontId="0" fillId="0" borderId="0" xfId="0" applyAlignment="1">
      <alignment horizontal="center" wrapText="1"/>
    </xf>
    <xf numFmtId="3" fontId="0" fillId="0" borderId="0" xfId="0" applyNumberFormat="1"/>
    <xf numFmtId="164" fontId="0" fillId="0" borderId="0" xfId="1" applyNumberFormat="1" applyFont="1"/>
    <xf numFmtId="164" fontId="0" fillId="0" borderId="0" xfId="0" applyNumberFormat="1"/>
    <xf numFmtId="0" fontId="2" fillId="2" borderId="0" xfId="0" applyFont="1" applyFill="1" applyAlignment="1">
      <alignment horizontal="center" wrapText="1"/>
    </xf>
    <xf numFmtId="43" fontId="0" fillId="0" borderId="0" xfId="0" applyNumberFormat="1"/>
    <xf numFmtId="4" fontId="0" fillId="0" borderId="0" xfId="0" applyNumberFormat="1"/>
    <xf numFmtId="14" fontId="0" fillId="0" borderId="0" xfId="0" applyNumberFormat="1"/>
    <xf numFmtId="165" fontId="0" fillId="0" borderId="0" xfId="2" applyNumberFormat="1" applyFont="1"/>
    <xf numFmtId="10" fontId="0" fillId="0" borderId="0" xfId="2" applyNumberFormat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0" fontId="0" fillId="0" borderId="0" xfId="2" applyNumberFormat="1" applyFont="1" applyAlignment="1">
      <alignment horizontal="center"/>
    </xf>
    <xf numFmtId="9" fontId="0" fillId="0" borderId="0" xfId="2" applyFont="1"/>
    <xf numFmtId="0" fontId="0" fillId="0" borderId="0" xfId="0" quotePrefix="1"/>
    <xf numFmtId="168" fontId="0" fillId="0" borderId="0" xfId="0" applyNumberFormat="1"/>
    <xf numFmtId="0" fontId="0" fillId="0" borderId="0" xfId="0" applyAlignment="1">
      <alignment wrapText="1"/>
    </xf>
    <xf numFmtId="166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0" fontId="3" fillId="7" borderId="0" xfId="0" applyFont="1" applyFill="1" applyAlignment="1">
      <alignment horizontal="center"/>
    </xf>
    <xf numFmtId="0" fontId="5" fillId="0" borderId="1" xfId="0" applyFont="1" applyBorder="1" applyAlignment="1">
      <alignment horizontal="centerContinuous"/>
    </xf>
    <xf numFmtId="0" fontId="5" fillId="0" borderId="1" xfId="0" applyFont="1" applyBorder="1"/>
    <xf numFmtId="171" fontId="0" fillId="0" borderId="0" xfId="0" applyNumberFormat="1" applyAlignment="1">
      <alignment horizontal="center"/>
    </xf>
    <xf numFmtId="0" fontId="6" fillId="0" borderId="2" xfId="0" applyFont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0" fillId="6" borderId="0" xfId="0" applyFill="1"/>
    <xf numFmtId="0" fontId="9" fillId="0" borderId="0" xfId="0" applyFont="1"/>
    <xf numFmtId="0" fontId="3" fillId="8" borderId="0" xfId="0" applyFont="1" applyFill="1"/>
    <xf numFmtId="0" fontId="8" fillId="6" borderId="0" xfId="0" applyFont="1" applyFill="1"/>
    <xf numFmtId="0" fontId="0" fillId="0" borderId="0" xfId="0" applyAlignment="1">
      <alignment horizontal="right"/>
    </xf>
    <xf numFmtId="0" fontId="0" fillId="6" borderId="0" xfId="0" applyFill="1" applyAlignment="1">
      <alignment horizontal="right"/>
    </xf>
    <xf numFmtId="172" fontId="0" fillId="0" borderId="0" xfId="0" applyNumberFormat="1" applyAlignment="1">
      <alignment horizontal="center" wrapText="1"/>
    </xf>
    <xf numFmtId="174" fontId="11" fillId="0" borderId="0" xfId="0" applyNumberFormat="1" applyFont="1" applyAlignment="1">
      <alignment horizontal="center"/>
    </xf>
    <xf numFmtId="0" fontId="12" fillId="0" borderId="0" xfId="0" applyFont="1"/>
    <xf numFmtId="176" fontId="13" fillId="0" borderId="6" xfId="0" quotePrefix="1" applyNumberFormat="1" applyFont="1" applyBorder="1" applyAlignment="1">
      <alignment horizontal="right"/>
    </xf>
    <xf numFmtId="0" fontId="13" fillId="0" borderId="6" xfId="0" applyFont="1" applyBorder="1"/>
    <xf numFmtId="0" fontId="13" fillId="0" borderId="6" xfId="0" quotePrefix="1" applyFont="1" applyBorder="1" applyAlignment="1">
      <alignment horizontal="right"/>
    </xf>
    <xf numFmtId="176" fontId="13" fillId="0" borderId="7" xfId="0" quotePrefix="1" applyNumberFormat="1" applyFont="1" applyBorder="1" applyAlignment="1">
      <alignment horizontal="right"/>
    </xf>
    <xf numFmtId="0" fontId="13" fillId="0" borderId="7" xfId="0" quotePrefix="1" applyFont="1" applyBorder="1" applyAlignment="1">
      <alignment horizontal="right"/>
    </xf>
    <xf numFmtId="0" fontId="13" fillId="0" borderId="7" xfId="0" applyFont="1" applyBorder="1"/>
    <xf numFmtId="178" fontId="12" fillId="0" borderId="0" xfId="0" applyNumberFormat="1" applyFont="1" applyAlignment="1">
      <alignment horizontal="right"/>
    </xf>
    <xf numFmtId="178" fontId="12" fillId="0" borderId="0" xfId="0" applyNumberFormat="1" applyFont="1"/>
    <xf numFmtId="176" fontId="12" fillId="0" borderId="0" xfId="0" applyNumberFormat="1" applyFont="1"/>
    <xf numFmtId="182" fontId="12" fillId="0" borderId="0" xfId="0" applyNumberFormat="1" applyFont="1"/>
    <xf numFmtId="176" fontId="12" fillId="0" borderId="0" xfId="0" quotePrefix="1" applyNumberFormat="1" applyFont="1" applyAlignment="1">
      <alignment horizontal="left"/>
    </xf>
    <xf numFmtId="182" fontId="13" fillId="0" borderId="6" xfId="0" quotePrefix="1" applyNumberFormat="1" applyFont="1" applyBorder="1" applyAlignment="1">
      <alignment horizontal="right"/>
    </xf>
    <xf numFmtId="182" fontId="13" fillId="0" borderId="7" xfId="0" quotePrefix="1" applyNumberFormat="1" applyFont="1" applyBorder="1" applyAlignment="1">
      <alignment horizontal="right"/>
    </xf>
    <xf numFmtId="177" fontId="12" fillId="0" borderId="0" xfId="0" applyNumberFormat="1" applyFont="1"/>
    <xf numFmtId="183" fontId="12" fillId="0" borderId="0" xfId="2" applyNumberFormat="1" applyFont="1"/>
    <xf numFmtId="2" fontId="12" fillId="0" borderId="0" xfId="0" applyNumberFormat="1" applyFont="1"/>
    <xf numFmtId="0" fontId="12" fillId="0" borderId="7" xfId="0" applyFont="1" applyBorder="1"/>
    <xf numFmtId="0" fontId="12" fillId="0" borderId="6" xfId="0" applyFont="1" applyBorder="1"/>
    <xf numFmtId="175" fontId="0" fillId="0" borderId="0" xfId="0" applyNumberFormat="1"/>
    <xf numFmtId="176" fontId="14" fillId="0" borderId="6" xfId="0" quotePrefix="1" applyNumberFormat="1" applyFont="1" applyBorder="1" applyAlignment="1">
      <alignment horizontal="right"/>
    </xf>
    <xf numFmtId="0" fontId="14" fillId="0" borderId="6" xfId="0" applyFont="1" applyBorder="1"/>
    <xf numFmtId="166" fontId="14" fillId="0" borderId="6" xfId="0" applyNumberFormat="1" applyFont="1" applyBorder="1"/>
    <xf numFmtId="0" fontId="14" fillId="0" borderId="6" xfId="0" quotePrefix="1" applyFont="1" applyBorder="1" applyAlignment="1">
      <alignment horizontal="right"/>
    </xf>
    <xf numFmtId="176" fontId="14" fillId="0" borderId="7" xfId="0" quotePrefix="1" applyNumberFormat="1" applyFont="1" applyBorder="1" applyAlignment="1">
      <alignment horizontal="right"/>
    </xf>
    <xf numFmtId="0" fontId="14" fillId="0" borderId="7" xfId="0" quotePrefix="1" applyFont="1" applyBorder="1" applyAlignment="1">
      <alignment horizontal="right"/>
    </xf>
    <xf numFmtId="166" fontId="14" fillId="0" borderId="7" xfId="0" quotePrefix="1" applyNumberFormat="1" applyFont="1" applyBorder="1" applyAlignment="1">
      <alignment horizontal="right"/>
    </xf>
    <xf numFmtId="0" fontId="14" fillId="0" borderId="7" xfId="0" applyFont="1" applyBorder="1"/>
    <xf numFmtId="0" fontId="14" fillId="0" borderId="7" xfId="0" quotePrefix="1" applyFont="1" applyBorder="1" applyAlignment="1">
      <alignment horizontal="right" wrapText="1"/>
    </xf>
    <xf numFmtId="0" fontId="14" fillId="0" borderId="7" xfId="0" applyFont="1" applyBorder="1" applyAlignment="1">
      <alignment horizontal="center" wrapText="1"/>
    </xf>
    <xf numFmtId="177" fontId="0" fillId="7" borderId="0" xfId="0" applyNumberFormat="1" applyFill="1" applyAlignment="1">
      <alignment horizontal="center"/>
    </xf>
    <xf numFmtId="178" fontId="0" fillId="0" borderId="0" xfId="0" applyNumberFormat="1" applyAlignment="1">
      <alignment horizontal="right"/>
    </xf>
    <xf numFmtId="177" fontId="0" fillId="0" borderId="0" xfId="0" applyNumberFormat="1" applyAlignment="1">
      <alignment horizontal="center"/>
    </xf>
    <xf numFmtId="179" fontId="0" fillId="0" borderId="0" xfId="2" applyNumberFormat="1" applyFont="1"/>
    <xf numFmtId="180" fontId="0" fillId="0" borderId="0" xfId="2" applyNumberFormat="1" applyFont="1"/>
    <xf numFmtId="178" fontId="0" fillId="0" borderId="0" xfId="0" applyNumberFormat="1"/>
    <xf numFmtId="179" fontId="10" fillId="0" borderId="0" xfId="2" applyNumberFormat="1" applyFont="1"/>
    <xf numFmtId="170" fontId="0" fillId="0" borderId="0" xfId="0" applyNumberFormat="1" applyAlignment="1">
      <alignment horizontal="center"/>
    </xf>
    <xf numFmtId="181" fontId="0" fillId="0" borderId="0" xfId="2" applyNumberFormat="1" applyFont="1"/>
    <xf numFmtId="166" fontId="0" fillId="0" borderId="0" xfId="0" applyNumberFormat="1"/>
    <xf numFmtId="18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17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15" fillId="0" borderId="0" xfId="0" applyFont="1"/>
    <xf numFmtId="0" fontId="14" fillId="0" borderId="6" xfId="0" applyFont="1" applyBorder="1" applyAlignment="1">
      <alignment horizontal="center"/>
    </xf>
    <xf numFmtId="0" fontId="14" fillId="0" borderId="7" xfId="0" quotePrefix="1" applyFont="1" applyBorder="1" applyAlignment="1">
      <alignment horizontal="center" wrapText="1"/>
    </xf>
    <xf numFmtId="178" fontId="0" fillId="0" borderId="0" xfId="0" applyNumberFormat="1" applyAlignment="1">
      <alignment horizontal="center"/>
    </xf>
    <xf numFmtId="185" fontId="0" fillId="0" borderId="0" xfId="0" applyNumberFormat="1" applyAlignment="1">
      <alignment horizontal="center"/>
    </xf>
    <xf numFmtId="178" fontId="0" fillId="0" borderId="0" xfId="0" quotePrefix="1" applyNumberFormat="1" applyAlignment="1">
      <alignment horizontal="right"/>
    </xf>
    <xf numFmtId="0" fontId="0" fillId="0" borderId="5" xfId="0" applyBorder="1" applyAlignment="1">
      <alignment horizontal="right"/>
    </xf>
    <xf numFmtId="0" fontId="0" fillId="0" borderId="5" xfId="0" applyBorder="1"/>
    <xf numFmtId="171" fontId="0" fillId="0" borderId="1" xfId="0" applyNumberFormat="1" applyBorder="1" applyAlignment="1">
      <alignment horizontal="right"/>
    </xf>
    <xf numFmtId="0" fontId="3" fillId="6" borderId="1" xfId="0" applyFont="1" applyFill="1" applyBorder="1" applyAlignment="1">
      <alignment horizontal="right" wrapText="1"/>
    </xf>
    <xf numFmtId="171" fontId="3" fillId="8" borderId="0" xfId="0" applyNumberFormat="1" applyFont="1" applyFill="1" applyAlignment="1">
      <alignment horizontal="right"/>
    </xf>
    <xf numFmtId="0" fontId="7" fillId="6" borderId="0" xfId="0" applyFont="1" applyFill="1"/>
    <xf numFmtId="0" fontId="17" fillId="2" borderId="0" xfId="0" applyFont="1" applyFill="1"/>
    <xf numFmtId="0" fontId="16" fillId="2" borderId="0" xfId="0" applyFont="1" applyFill="1" applyAlignment="1">
      <alignment horizontal="right"/>
    </xf>
    <xf numFmtId="0" fontId="2" fillId="9" borderId="0" xfId="0" applyFont="1" applyFill="1" applyAlignment="1">
      <alignment horizontal="center" wrapText="1"/>
    </xf>
    <xf numFmtId="0" fontId="19" fillId="7" borderId="0" xfId="0" applyFont="1" applyFill="1" applyAlignment="1">
      <alignment horizontal="center" wrapText="1"/>
    </xf>
    <xf numFmtId="164" fontId="0" fillId="8" borderId="0" xfId="0" applyNumberFormat="1" applyFill="1"/>
    <xf numFmtId="164" fontId="0" fillId="6" borderId="0" xfId="0" applyNumberFormat="1" applyFill="1"/>
    <xf numFmtId="0" fontId="19" fillId="10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19" fillId="11" borderId="0" xfId="0" applyFont="1" applyFill="1" applyAlignment="1">
      <alignment horizontal="center" wrapText="1"/>
    </xf>
    <xf numFmtId="0" fontId="3" fillId="0" borderId="0" xfId="0" applyFont="1"/>
    <xf numFmtId="164" fontId="3" fillId="0" borderId="0" xfId="0" applyNumberFormat="1" applyFont="1"/>
    <xf numFmtId="164" fontId="3" fillId="8" borderId="0" xfId="0" applyNumberFormat="1" applyFont="1" applyFill="1"/>
    <xf numFmtId="3" fontId="3" fillId="0" borderId="0" xfId="0" applyNumberFormat="1" applyFont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8" borderId="1" xfId="0" applyFill="1" applyBorder="1"/>
    <xf numFmtId="0" fontId="19" fillId="0" borderId="0" xfId="0" applyFont="1" applyAlignment="1">
      <alignment horizontal="center" wrapText="1"/>
    </xf>
    <xf numFmtId="0" fontId="20" fillId="6" borderId="0" xfId="0" applyFont="1" applyFill="1"/>
    <xf numFmtId="0" fontId="21" fillId="0" borderId="0" xfId="0" applyFont="1"/>
    <xf numFmtId="0" fontId="22" fillId="0" borderId="0" xfId="0" applyFont="1" applyAlignment="1">
      <alignment horizontal="left"/>
    </xf>
    <xf numFmtId="0" fontId="22" fillId="0" borderId="0" xfId="0" applyFont="1"/>
    <xf numFmtId="0" fontId="0" fillId="6" borderId="1" xfId="0" applyFill="1" applyBorder="1"/>
    <xf numFmtId="164" fontId="0" fillId="0" borderId="1" xfId="0" applyNumberFormat="1" applyBorder="1"/>
    <xf numFmtId="0" fontId="23" fillId="0" borderId="0" xfId="0" applyFont="1"/>
    <xf numFmtId="0" fontId="20" fillId="0" borderId="0" xfId="0" applyFont="1" applyAlignment="1">
      <alignment horizontal="left"/>
    </xf>
    <xf numFmtId="169" fontId="3" fillId="0" borderId="0" xfId="0" applyNumberFormat="1" applyFont="1" applyAlignment="1">
      <alignment horizontal="center"/>
    </xf>
    <xf numFmtId="184" fontId="0" fillId="0" borderId="1" xfId="0" applyNumberFormat="1" applyBorder="1" applyAlignment="1">
      <alignment horizontal="center"/>
    </xf>
    <xf numFmtId="186" fontId="11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center"/>
    </xf>
    <xf numFmtId="0" fontId="4" fillId="12" borderId="0" xfId="0" applyFont="1" applyFill="1" applyAlignment="1">
      <alignment horizontal="centerContinuous"/>
    </xf>
    <xf numFmtId="0" fontId="12" fillId="0" borderId="0" xfId="0" quotePrefix="1" applyFont="1"/>
    <xf numFmtId="0" fontId="10" fillId="0" borderId="0" xfId="0" applyFont="1" applyAlignment="1">
      <alignment horizontal="center"/>
    </xf>
    <xf numFmtId="170" fontId="10" fillId="0" borderId="0" xfId="0" applyNumberFormat="1" applyFont="1" applyAlignment="1">
      <alignment horizontal="center"/>
    </xf>
    <xf numFmtId="14" fontId="10" fillId="0" borderId="0" xfId="0" applyNumberFormat="1" applyFont="1" applyAlignment="1">
      <alignment horizontal="center"/>
    </xf>
    <xf numFmtId="10" fontId="10" fillId="0" borderId="0" xfId="2" applyNumberFormat="1" applyFont="1" applyAlignment="1">
      <alignment horizontal="center"/>
    </xf>
    <xf numFmtId="166" fontId="10" fillId="0" borderId="0" xfId="0" applyNumberFormat="1" applyFont="1" applyAlignment="1">
      <alignment horizontal="center"/>
    </xf>
    <xf numFmtId="171" fontId="10" fillId="0" borderId="0" xfId="0" applyNumberFormat="1" applyFont="1" applyAlignment="1">
      <alignment horizontal="center"/>
    </xf>
    <xf numFmtId="187" fontId="11" fillId="0" borderId="0" xfId="0" applyNumberFormat="1" applyFont="1" applyAlignment="1">
      <alignment horizontal="center"/>
    </xf>
    <xf numFmtId="14" fontId="24" fillId="0" borderId="0" xfId="0" applyNumberFormat="1" applyFont="1" applyAlignment="1">
      <alignment horizontal="center"/>
    </xf>
    <xf numFmtId="41" fontId="0" fillId="0" borderId="0" xfId="0" applyNumberFormat="1"/>
    <xf numFmtId="0" fontId="0" fillId="6" borderId="0" xfId="0" applyFill="1" applyAlignment="1">
      <alignment horizontal="center"/>
    </xf>
    <xf numFmtId="179" fontId="0" fillId="5" borderId="0" xfId="2" applyNumberFormat="1" applyFont="1" applyFill="1"/>
    <xf numFmtId="0" fontId="26" fillId="0" borderId="0" xfId="0" applyFont="1" applyAlignment="1">
      <alignment horizontal="center"/>
    </xf>
    <xf numFmtId="166" fontId="27" fillId="0" borderId="6" xfId="0" applyNumberFormat="1" applyFont="1" applyBorder="1" applyAlignment="1">
      <alignment horizontal="center"/>
    </xf>
    <xf numFmtId="166" fontId="28" fillId="0" borderId="7" xfId="0" quotePrefix="1" applyNumberFormat="1" applyFont="1" applyBorder="1" applyAlignment="1">
      <alignment horizontal="center"/>
    </xf>
    <xf numFmtId="179" fontId="26" fillId="0" borderId="0" xfId="2" applyNumberFormat="1" applyFont="1" applyAlignment="1">
      <alignment horizontal="center"/>
    </xf>
    <xf numFmtId="166" fontId="26" fillId="0" borderId="0" xfId="0" applyNumberFormat="1" applyFont="1" applyAlignment="1">
      <alignment horizontal="center"/>
    </xf>
    <xf numFmtId="0" fontId="6" fillId="0" borderId="0" xfId="0" applyFont="1"/>
    <xf numFmtId="171" fontId="24" fillId="0" borderId="0" xfId="0" quotePrefix="1" applyNumberFormat="1" applyFont="1" applyAlignment="1">
      <alignment horizontal="center"/>
    </xf>
    <xf numFmtId="188" fontId="0" fillId="0" borderId="0" xfId="0" applyNumberFormat="1"/>
    <xf numFmtId="189" fontId="0" fillId="0" borderId="0" xfId="0" applyNumberFormat="1" applyAlignment="1">
      <alignment horizontal="right"/>
    </xf>
    <xf numFmtId="0" fontId="14" fillId="0" borderId="7" xfId="0" applyFont="1" applyBorder="1" applyAlignment="1">
      <alignment horizontal="center"/>
    </xf>
    <xf numFmtId="190" fontId="0" fillId="0" borderId="0" xfId="2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9" fillId="0" borderId="0" xfId="0" applyNumberFormat="1" applyFont="1" applyAlignment="1">
      <alignment horizontal="center"/>
    </xf>
    <xf numFmtId="178" fontId="29" fillId="0" borderId="0" xfId="0" applyNumberFormat="1" applyFont="1" applyAlignment="1">
      <alignment horizontal="center"/>
    </xf>
    <xf numFmtId="190" fontId="29" fillId="0" borderId="0" xfId="2" applyNumberFormat="1" applyFont="1" applyAlignment="1">
      <alignment horizontal="center"/>
    </xf>
    <xf numFmtId="181" fontId="1" fillId="0" borderId="0" xfId="2" applyNumberFormat="1" applyFont="1" applyAlignment="1">
      <alignment horizontal="right"/>
    </xf>
    <xf numFmtId="0" fontId="30" fillId="2" borderId="6" xfId="0" applyFont="1" applyFill="1" applyBorder="1" applyAlignment="1">
      <alignment horizontal="centerContinuous"/>
    </xf>
    <xf numFmtId="0" fontId="30" fillId="6" borderId="6" xfId="0" applyFont="1" applyFill="1" applyBorder="1" applyAlignment="1">
      <alignment horizontal="centerContinuous"/>
    </xf>
    <xf numFmtId="0" fontId="14" fillId="6" borderId="7" xfId="0" quotePrefix="1" applyFont="1" applyFill="1" applyBorder="1" applyAlignment="1">
      <alignment horizontal="right" wrapText="1"/>
    </xf>
    <xf numFmtId="178" fontId="0" fillId="6" borderId="0" xfId="0" quotePrefix="1" applyNumberFormat="1" applyFill="1" applyAlignment="1">
      <alignment horizontal="right"/>
    </xf>
    <xf numFmtId="178" fontId="0" fillId="6" borderId="0" xfId="0" applyNumberFormat="1" applyFill="1" applyAlignment="1">
      <alignment horizontal="right"/>
    </xf>
    <xf numFmtId="10" fontId="0" fillId="0" borderId="0" xfId="0" applyNumberFormat="1" applyAlignment="1">
      <alignment horizontal="right"/>
    </xf>
    <xf numFmtId="170" fontId="0" fillId="0" borderId="0" xfId="0" applyNumberFormat="1" applyAlignment="1">
      <alignment horizontal="right"/>
    </xf>
    <xf numFmtId="0" fontId="31" fillId="7" borderId="0" xfId="0" applyFont="1" applyFill="1"/>
    <xf numFmtId="0" fontId="24" fillId="7" borderId="0" xfId="0" applyFont="1" applyFill="1" applyAlignment="1">
      <alignment horizontal="right"/>
    </xf>
    <xf numFmtId="0" fontId="30" fillId="10" borderId="6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179" fontId="0" fillId="6" borderId="0" xfId="2" applyNumberFormat="1" applyFont="1" applyFill="1"/>
    <xf numFmtId="0" fontId="32" fillId="3" borderId="0" xfId="0" applyFont="1" applyFill="1" applyAlignment="1">
      <alignment horizontal="center"/>
    </xf>
    <xf numFmtId="0" fontId="3" fillId="0" borderId="1" xfId="0" applyFont="1" applyBorder="1"/>
    <xf numFmtId="0" fontId="3" fillId="6" borderId="1" xfId="0" applyFont="1" applyFill="1" applyBorder="1"/>
    <xf numFmtId="5" fontId="33" fillId="3" borderId="0" xfId="5" applyNumberFormat="1" applyFont="1" applyFill="1" applyAlignment="1">
      <alignment horizontal="center"/>
    </xf>
    <xf numFmtId="0" fontId="33" fillId="3" borderId="0" xfId="0" applyFont="1" applyFill="1" applyAlignment="1">
      <alignment horizontal="center"/>
    </xf>
    <xf numFmtId="0" fontId="32" fillId="14" borderId="0" xfId="0" applyFont="1" applyFill="1"/>
    <xf numFmtId="0" fontId="0" fillId="14" borderId="0" xfId="0" applyFill="1"/>
    <xf numFmtId="0" fontId="35" fillId="0" borderId="0" xfId="0" applyFont="1" applyAlignment="1">
      <alignment horizontal="center"/>
    </xf>
    <xf numFmtId="3" fontId="0" fillId="0" borderId="1" xfId="0" applyNumberFormat="1" applyBorder="1" applyAlignment="1">
      <alignment horizontal="center"/>
    </xf>
    <xf numFmtId="0" fontId="3" fillId="0" borderId="0" xfId="0" applyFont="1" applyAlignment="1">
      <alignment horizontal="left"/>
    </xf>
    <xf numFmtId="5" fontId="3" fillId="0" borderId="0" xfId="1" applyNumberFormat="1" applyFont="1" applyAlignment="1">
      <alignment horizontal="center"/>
    </xf>
    <xf numFmtId="178" fontId="0" fillId="0" borderId="1" xfId="0" applyNumberFormat="1" applyBorder="1" applyAlignment="1">
      <alignment horizontal="right"/>
    </xf>
    <xf numFmtId="178" fontId="0" fillId="6" borderId="1" xfId="0" applyNumberFormat="1" applyFill="1" applyBorder="1" applyAlignment="1">
      <alignment horizontal="right"/>
    </xf>
    <xf numFmtId="178" fontId="0" fillId="0" borderId="1" xfId="0" applyNumberFormat="1" applyBorder="1"/>
    <xf numFmtId="179" fontId="0" fillId="0" borderId="1" xfId="2" applyNumberFormat="1" applyFont="1" applyBorder="1"/>
    <xf numFmtId="170" fontId="0" fillId="0" borderId="1" xfId="0" applyNumberFormat="1" applyBorder="1" applyAlignment="1">
      <alignment horizontal="center"/>
    </xf>
    <xf numFmtId="181" fontId="0" fillId="0" borderId="1" xfId="2" applyNumberFormat="1" applyFont="1" applyBorder="1"/>
    <xf numFmtId="0" fontId="26" fillId="0" borderId="1" xfId="0" applyFont="1" applyBorder="1" applyAlignment="1">
      <alignment horizontal="center"/>
    </xf>
    <xf numFmtId="0" fontId="36" fillId="0" borderId="5" xfId="0" applyFont="1" applyBorder="1"/>
    <xf numFmtId="166" fontId="24" fillId="0" borderId="0" xfId="0" applyNumberFormat="1" applyFont="1" applyAlignment="1">
      <alignment horizontal="center"/>
    </xf>
    <xf numFmtId="0" fontId="0" fillId="16" borderId="0" xfId="0" applyFill="1"/>
    <xf numFmtId="0" fontId="0" fillId="16" borderId="0" xfId="0" applyFill="1" applyAlignment="1">
      <alignment horizontal="right"/>
    </xf>
    <xf numFmtId="10" fontId="0" fillId="16" borderId="0" xfId="0" applyNumberFormat="1" applyFill="1" applyAlignment="1">
      <alignment horizontal="right"/>
    </xf>
    <xf numFmtId="0" fontId="37" fillId="6" borderId="0" xfId="0" applyFont="1" applyFill="1"/>
    <xf numFmtId="171" fontId="0" fillId="0" borderId="0" xfId="0" applyNumberFormat="1"/>
    <xf numFmtId="191" fontId="0" fillId="0" borderId="0" xfId="0" applyNumberFormat="1"/>
    <xf numFmtId="5" fontId="38" fillId="3" borderId="0" xfId="5" applyNumberFormat="1" applyFont="1" applyFill="1" applyAlignment="1">
      <alignment horizontal="center"/>
    </xf>
    <xf numFmtId="0" fontId="8" fillId="0" borderId="0" xfId="0" applyFont="1"/>
    <xf numFmtId="3" fontId="1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0" fontId="25" fillId="17" borderId="0" xfId="0" applyFont="1" applyFill="1" applyAlignment="1">
      <alignment horizontal="centerContinuous"/>
    </xf>
    <xf numFmtId="0" fontId="19" fillId="18" borderId="0" xfId="0" applyFont="1" applyFill="1" applyAlignment="1">
      <alignment horizontal="center" wrapText="1"/>
    </xf>
    <xf numFmtId="193" fontId="0" fillId="0" borderId="0" xfId="0" applyNumberFormat="1"/>
    <xf numFmtId="193" fontId="0" fillId="0" borderId="1" xfId="0" applyNumberFormat="1" applyBorder="1"/>
    <xf numFmtId="171" fontId="10" fillId="0" borderId="0" xfId="0" quotePrefix="1" applyNumberFormat="1" applyFont="1" applyAlignment="1">
      <alignment horizontal="center"/>
    </xf>
    <xf numFmtId="178" fontId="0" fillId="5" borderId="0" xfId="0" applyNumberFormat="1" applyFill="1" applyAlignment="1">
      <alignment horizontal="right"/>
    </xf>
    <xf numFmtId="181" fontId="10" fillId="0" borderId="0" xfId="0" applyNumberFormat="1" applyFont="1" applyAlignment="1">
      <alignment horizontal="center"/>
    </xf>
    <xf numFmtId="0" fontId="32" fillId="19" borderId="0" xfId="0" applyFont="1" applyFill="1" applyAlignment="1">
      <alignment horizontal="center"/>
    </xf>
    <xf numFmtId="37" fontId="33" fillId="19" borderId="0" xfId="5" applyNumberFormat="1" applyFont="1" applyFill="1" applyAlignment="1">
      <alignment horizontal="center"/>
    </xf>
    <xf numFmtId="37" fontId="32" fillId="19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center"/>
    </xf>
    <xf numFmtId="15" fontId="0" fillId="0" borderId="0" xfId="0" applyNumberFormat="1"/>
    <xf numFmtId="194" fontId="0" fillId="0" borderId="0" xfId="5" applyNumberFormat="1" applyFont="1"/>
    <xf numFmtId="194" fontId="0" fillId="0" borderId="0" xfId="0" applyNumberFormat="1"/>
    <xf numFmtId="0" fontId="0" fillId="20" borderId="0" xfId="0" applyFill="1"/>
    <xf numFmtId="178" fontId="0" fillId="6" borderId="0" xfId="0" applyNumberFormat="1" applyFill="1"/>
    <xf numFmtId="44" fontId="0" fillId="0" borderId="0" xfId="0" applyNumberFormat="1"/>
    <xf numFmtId="194" fontId="10" fillId="0" borderId="0" xfId="5" applyNumberFormat="1" applyFont="1"/>
    <xf numFmtId="178" fontId="0" fillId="0" borderId="0" xfId="0" quotePrefix="1" applyNumberFormat="1"/>
    <xf numFmtId="0" fontId="2" fillId="21" borderId="0" xfId="0" applyFont="1" applyFill="1" applyAlignment="1">
      <alignment horizontal="centerContinuous"/>
    </xf>
    <xf numFmtId="0" fontId="3" fillId="0" borderId="0" xfId="0" applyFont="1" applyAlignment="1">
      <alignment horizontal="center" vertical="center" wrapText="1"/>
    </xf>
    <xf numFmtId="38" fontId="0" fillId="0" borderId="0" xfId="0" applyNumberFormat="1"/>
    <xf numFmtId="38" fontId="0" fillId="0" borderId="1" xfId="0" applyNumberFormat="1" applyBorder="1"/>
    <xf numFmtId="43" fontId="3" fillId="0" borderId="0" xfId="0" applyNumberFormat="1" applyFont="1"/>
    <xf numFmtId="4" fontId="0" fillId="0" borderId="0" xfId="2" applyNumberFormat="1" applyFont="1"/>
    <xf numFmtId="0" fontId="6" fillId="0" borderId="0" xfId="0" quotePrefix="1" applyFont="1"/>
    <xf numFmtId="164" fontId="0" fillId="0" borderId="0" xfId="1" quotePrefix="1" applyNumberFormat="1" applyFont="1"/>
    <xf numFmtId="184" fontId="10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95" fontId="0" fillId="0" borderId="0" xfId="1" quotePrefix="1" applyNumberFormat="1" applyFont="1"/>
    <xf numFmtId="195" fontId="10" fillId="0" borderId="0" xfId="1" quotePrefix="1" applyNumberFormat="1" applyFont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 wrapText="1"/>
    </xf>
    <xf numFmtId="172" fontId="0" fillId="6" borderId="0" xfId="0" applyNumberFormat="1" applyFill="1" applyAlignment="1">
      <alignment horizontal="center" wrapText="1"/>
    </xf>
    <xf numFmtId="0" fontId="19" fillId="6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3" fillId="6" borderId="0" xfId="0" applyFont="1" applyFill="1" applyAlignment="1">
      <alignment horizontal="center" vertical="center" wrapText="1"/>
    </xf>
    <xf numFmtId="0" fontId="19" fillId="16" borderId="0" xfId="0" applyFont="1" applyFill="1" applyAlignment="1">
      <alignment horizontal="centerContinuous" wrapText="1"/>
    </xf>
    <xf numFmtId="0" fontId="0" fillId="0" borderId="0" xfId="0" quotePrefix="1" applyAlignment="1">
      <alignment horizontal="center"/>
    </xf>
    <xf numFmtId="164" fontId="10" fillId="6" borderId="0" xfId="1" applyNumberFormat="1" applyFont="1" applyFill="1"/>
    <xf numFmtId="0" fontId="40" fillId="0" borderId="2" xfId="0" applyFont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37" fontId="38" fillId="19" borderId="0" xfId="5" applyNumberFormat="1" applyFont="1" applyFill="1" applyAlignment="1">
      <alignment horizontal="center"/>
    </xf>
    <xf numFmtId="10" fontId="38" fillId="14" borderId="0" xfId="2" applyNumberFormat="1" applyFont="1" applyFill="1" applyAlignment="1">
      <alignment horizontal="center"/>
    </xf>
    <xf numFmtId="41" fontId="24" fillId="0" borderId="0" xfId="0" applyNumberFormat="1" applyFont="1" applyAlignment="1">
      <alignment horizontal="center"/>
    </xf>
    <xf numFmtId="0" fontId="41" fillId="0" borderId="0" xfId="0" applyFont="1"/>
    <xf numFmtId="0" fontId="0" fillId="8" borderId="0" xfId="0" applyFill="1"/>
    <xf numFmtId="0" fontId="4" fillId="2" borderId="0" xfId="0" applyFont="1" applyFill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3" fillId="19" borderId="8" xfId="0" applyFont="1" applyFill="1" applyBorder="1" applyAlignment="1">
      <alignment horizontal="centerContinuous"/>
    </xf>
    <xf numFmtId="0" fontId="3" fillId="19" borderId="9" xfId="0" applyFont="1" applyFill="1" applyBorder="1" applyAlignment="1">
      <alignment horizontal="centerContinuous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69" fontId="0" fillId="0" borderId="11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9" fontId="3" fillId="0" borderId="12" xfId="0" applyNumberFormat="1" applyFont="1" applyBorder="1" applyAlignment="1">
      <alignment horizontal="center"/>
    </xf>
    <xf numFmtId="169" fontId="3" fillId="0" borderId="13" xfId="0" applyNumberFormat="1" applyFont="1" applyBorder="1" applyAlignment="1">
      <alignment horizontal="center"/>
    </xf>
    <xf numFmtId="5" fontId="38" fillId="3" borderId="0" xfId="5" applyNumberFormat="1" applyFont="1" applyFill="1" applyAlignment="1">
      <alignment horizontal="right"/>
    </xf>
    <xf numFmtId="0" fontId="10" fillId="0" borderId="0" xfId="0" applyFont="1" applyAlignment="1">
      <alignment horizontal="right"/>
    </xf>
    <xf numFmtId="41" fontId="0" fillId="0" borderId="0" xfId="0" applyNumberFormat="1" applyAlignment="1">
      <alignment horizontal="right"/>
    </xf>
    <xf numFmtId="0" fontId="0" fillId="14" borderId="0" xfId="0" applyFill="1" applyAlignment="1">
      <alignment horizontal="right"/>
    </xf>
    <xf numFmtId="0" fontId="33" fillId="3" borderId="0" xfId="0" applyFont="1" applyFill="1" applyAlignment="1">
      <alignment horizontal="right"/>
    </xf>
    <xf numFmtId="164" fontId="0" fillId="0" borderId="1" xfId="1" applyNumberFormat="1" applyFont="1" applyBorder="1"/>
    <xf numFmtId="167" fontId="42" fillId="0" borderId="0" xfId="0" applyNumberFormat="1" applyFont="1" applyAlignment="1">
      <alignment horizontal="center"/>
    </xf>
    <xf numFmtId="178" fontId="42" fillId="0" borderId="0" xfId="0" applyNumberFormat="1" applyFont="1" applyAlignment="1">
      <alignment horizontal="center"/>
    </xf>
    <xf numFmtId="190" fontId="42" fillId="0" borderId="0" xfId="2" applyNumberFormat="1" applyFont="1" applyAlignment="1">
      <alignment horizontal="center"/>
    </xf>
    <xf numFmtId="0" fontId="0" fillId="0" borderId="1" xfId="0" applyBorder="1" applyAlignment="1">
      <alignment horizontal="right"/>
    </xf>
    <xf numFmtId="166" fontId="0" fillId="0" borderId="0" xfId="0" applyNumberFormat="1" applyAlignment="1">
      <alignment horizontal="right"/>
    </xf>
    <xf numFmtId="10" fontId="0" fillId="0" borderId="0" xfId="2" applyNumberFormat="1" applyFont="1" applyAlignment="1">
      <alignment horizontal="right"/>
    </xf>
    <xf numFmtId="0" fontId="14" fillId="0" borderId="7" xfId="0" quotePrefix="1" applyFont="1" applyBorder="1" applyAlignment="1">
      <alignment horizontal="center"/>
    </xf>
    <xf numFmtId="0" fontId="14" fillId="0" borderId="7" xfId="0" quotePrefix="1" applyFont="1" applyBorder="1"/>
    <xf numFmtId="10" fontId="10" fillId="0" borderId="0" xfId="0" applyNumberFormat="1" applyFont="1"/>
    <xf numFmtId="0" fontId="2" fillId="2" borderId="0" xfId="0" applyFont="1" applyFill="1"/>
    <xf numFmtId="3" fontId="0" fillId="0" borderId="0" xfId="0" applyNumberFormat="1" applyAlignment="1">
      <alignment horizontal="right"/>
    </xf>
    <xf numFmtId="184" fontId="24" fillId="0" borderId="0" xfId="0" applyNumberFormat="1" applyFont="1" applyAlignment="1">
      <alignment horizontal="center"/>
    </xf>
    <xf numFmtId="195" fontId="0" fillId="0" borderId="0" xfId="1" quotePrefix="1" applyNumberFormat="1" applyFont="1" applyFill="1"/>
    <xf numFmtId="4" fontId="0" fillId="0" borderId="0" xfId="0" applyNumberFormat="1" applyAlignment="1">
      <alignment horizontal="center"/>
    </xf>
    <xf numFmtId="0" fontId="43" fillId="0" borderId="0" xfId="0" applyFont="1" applyAlignment="1">
      <alignment vertical="center"/>
    </xf>
    <xf numFmtId="4" fontId="43" fillId="0" borderId="0" xfId="0" applyNumberFormat="1" applyFont="1" applyAlignment="1">
      <alignment horizontal="right" vertical="center"/>
    </xf>
    <xf numFmtId="0" fontId="44" fillId="0" borderId="0" xfId="0" applyFont="1" applyAlignment="1">
      <alignment vertical="center"/>
    </xf>
    <xf numFmtId="4" fontId="43" fillId="0" borderId="5" xfId="0" applyNumberFormat="1" applyFont="1" applyBorder="1" applyAlignment="1">
      <alignment horizontal="right" vertical="center"/>
    </xf>
    <xf numFmtId="0" fontId="45" fillId="0" borderId="0" xfId="0" applyFont="1" applyAlignment="1">
      <alignment vertical="center"/>
    </xf>
    <xf numFmtId="8" fontId="43" fillId="0" borderId="0" xfId="0" applyNumberFormat="1" applyFont="1" applyAlignment="1">
      <alignment horizontal="right" vertical="center"/>
    </xf>
    <xf numFmtId="178" fontId="34" fillId="0" borderId="0" xfId="0" applyNumberFormat="1" applyFont="1" applyAlignment="1">
      <alignment horizontal="right"/>
    </xf>
    <xf numFmtId="37" fontId="33" fillId="19" borderId="0" xfId="5" applyNumberFormat="1" applyFont="1" applyFill="1" applyAlignment="1">
      <alignment horizontal="right"/>
    </xf>
    <xf numFmtId="0" fontId="2" fillId="2" borderId="0" xfId="0" applyFont="1" applyFill="1" applyAlignment="1">
      <alignment horizontal="right"/>
    </xf>
    <xf numFmtId="37" fontId="32" fillId="19" borderId="0" xfId="0" applyNumberFormat="1" applyFont="1" applyFill="1" applyAlignment="1">
      <alignment horizontal="right"/>
    </xf>
    <xf numFmtId="5" fontId="3" fillId="0" borderId="0" xfId="1" applyNumberFormat="1" applyFont="1" applyAlignment="1">
      <alignment horizontal="right"/>
    </xf>
    <xf numFmtId="0" fontId="0" fillId="0" borderId="1" xfId="0" applyBorder="1" applyAlignment="1">
      <alignment horizontal="centerContinuous"/>
    </xf>
    <xf numFmtId="181" fontId="46" fillId="0" borderId="0" xfId="0" applyNumberFormat="1" applyFont="1"/>
    <xf numFmtId="0" fontId="0" fillId="6" borderId="0" xfId="0" applyFill="1" applyAlignment="1">
      <alignment wrapText="1"/>
    </xf>
    <xf numFmtId="3" fontId="10" fillId="0" borderId="0" xfId="0" applyNumberFormat="1" applyFont="1" applyAlignment="1">
      <alignment horizontal="right"/>
    </xf>
    <xf numFmtId="3" fontId="24" fillId="0" borderId="0" xfId="0" applyNumberFormat="1" applyFont="1" applyAlignment="1">
      <alignment horizontal="right"/>
    </xf>
    <xf numFmtId="0" fontId="32" fillId="3" borderId="0" xfId="0" quotePrefix="1" applyFont="1" applyFill="1" applyAlignment="1">
      <alignment horizontal="center"/>
    </xf>
    <xf numFmtId="7" fontId="0" fillId="6" borderId="1" xfId="0" applyNumberFormat="1" applyFill="1" applyBorder="1"/>
    <xf numFmtId="9" fontId="34" fillId="6" borderId="0" xfId="2" applyFont="1" applyFill="1"/>
    <xf numFmtId="164" fontId="38" fillId="14" borderId="0" xfId="1" applyNumberFormat="1" applyFont="1" applyFill="1" applyAlignment="1">
      <alignment horizontal="right"/>
    </xf>
    <xf numFmtId="0" fontId="2" fillId="13" borderId="0" xfId="0" applyFont="1" applyFill="1" applyAlignment="1">
      <alignment horizontal="centerContinuous"/>
    </xf>
    <xf numFmtId="0" fontId="25" fillId="13" borderId="0" xfId="0" applyFont="1" applyFill="1" applyAlignment="1">
      <alignment horizontal="centerContinuous"/>
    </xf>
    <xf numFmtId="164" fontId="34" fillId="5" borderId="0" xfId="0" applyNumberFormat="1" applyFont="1" applyFill="1"/>
    <xf numFmtId="164" fontId="0" fillId="5" borderId="0" xfId="0" applyNumberFormat="1" applyFill="1"/>
    <xf numFmtId="192" fontId="24" fillId="0" borderId="0" xfId="0" applyNumberFormat="1" applyFont="1" applyAlignment="1">
      <alignment horizontal="center"/>
    </xf>
    <xf numFmtId="173" fontId="24" fillId="0" borderId="0" xfId="0" applyNumberFormat="1" applyFont="1" applyAlignment="1">
      <alignment horizontal="center"/>
    </xf>
    <xf numFmtId="196" fontId="24" fillId="0" borderId="0" xfId="0" applyNumberFormat="1" applyFont="1" applyAlignment="1">
      <alignment horizontal="center"/>
    </xf>
    <xf numFmtId="0" fontId="2" fillId="9" borderId="0" xfId="0" applyFont="1" applyFill="1" applyAlignment="1">
      <alignment horizontal="centerContinuous"/>
    </xf>
    <xf numFmtId="0" fontId="6" fillId="5" borderId="0" xfId="0" applyFont="1" applyFill="1" applyAlignment="1">
      <alignment horizontal="center"/>
    </xf>
    <xf numFmtId="5" fontId="32" fillId="3" borderId="0" xfId="0" applyNumberFormat="1" applyFont="1" applyFill="1" applyAlignment="1">
      <alignment horizontal="center"/>
    </xf>
    <xf numFmtId="2" fontId="0" fillId="0" borderId="0" xfId="0" applyNumberFormat="1"/>
    <xf numFmtId="0" fontId="3" fillId="5" borderId="0" xfId="0" applyFont="1" applyFill="1" applyAlignment="1">
      <alignment horizontal="center"/>
    </xf>
    <xf numFmtId="0" fontId="5" fillId="14" borderId="0" xfId="0" applyFont="1" applyFill="1" applyAlignment="1">
      <alignment horizontal="right"/>
    </xf>
    <xf numFmtId="0" fontId="10" fillId="5" borderId="0" xfId="0" applyFont="1" applyFill="1" applyAlignment="1">
      <alignment horizontal="right"/>
    </xf>
    <xf numFmtId="195" fontId="10" fillId="5" borderId="0" xfId="1" quotePrefix="1" applyNumberFormat="1" applyFont="1" applyFill="1"/>
    <xf numFmtId="164" fontId="10" fillId="5" borderId="0" xfId="0" applyNumberFormat="1" applyFont="1" applyFill="1"/>
    <xf numFmtId="5" fontId="47" fillId="3" borderId="0" xfId="5" applyNumberFormat="1" applyFont="1" applyFill="1" applyAlignment="1">
      <alignment horizontal="right"/>
    </xf>
    <xf numFmtId="38" fontId="0" fillId="5" borderId="0" xfId="0" applyNumberFormat="1" applyFill="1"/>
    <xf numFmtId="38" fontId="0" fillId="0" borderId="0" xfId="0" quotePrefix="1" applyNumberFormat="1"/>
    <xf numFmtId="197" fontId="11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32" fillId="6" borderId="0" xfId="0" applyFont="1" applyFill="1" applyAlignment="1">
      <alignment horizontal="center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right" wrapText="1"/>
    </xf>
    <xf numFmtId="0" fontId="5" fillId="6" borderId="0" xfId="0" applyFont="1" applyFill="1" applyAlignment="1">
      <alignment horizontal="right" wrapText="1"/>
    </xf>
    <xf numFmtId="0" fontId="32" fillId="14" borderId="0" xfId="0" applyFont="1" applyFill="1" applyAlignment="1">
      <alignment horizontal="center"/>
    </xf>
    <xf numFmtId="37" fontId="32" fillId="14" borderId="0" xfId="0" applyNumberFormat="1" applyFont="1" applyFill="1"/>
    <xf numFmtId="37" fontId="0" fillId="14" borderId="0" xfId="0" applyNumberFormat="1" applyFill="1" applyAlignment="1">
      <alignment horizontal="right"/>
    </xf>
    <xf numFmtId="164" fontId="24" fillId="5" borderId="0" xfId="0" applyNumberFormat="1" applyFont="1" applyFill="1"/>
    <xf numFmtId="0" fontId="47" fillId="19" borderId="0" xfId="0" applyFont="1" applyFill="1" applyAlignment="1">
      <alignment horizontal="right"/>
    </xf>
    <xf numFmtId="0" fontId="10" fillId="3" borderId="0" xfId="0" applyFont="1" applyFill="1" applyAlignment="1">
      <alignment horizontal="center"/>
    </xf>
    <xf numFmtId="171" fontId="10" fillId="0" borderId="0" xfId="0" applyNumberFormat="1" applyFont="1" applyAlignment="1">
      <alignment horizontal="right"/>
    </xf>
    <xf numFmtId="0" fontId="3" fillId="8" borderId="0" xfId="0" applyFont="1" applyFill="1" applyAlignment="1">
      <alignment wrapText="1"/>
    </xf>
    <xf numFmtId="166" fontId="49" fillId="5" borderId="0" xfId="0" applyNumberFormat="1" applyFont="1" applyFill="1" applyAlignment="1">
      <alignment horizontal="center"/>
    </xf>
    <xf numFmtId="0" fontId="24" fillId="15" borderId="0" xfId="0" applyFont="1" applyFill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181" fontId="10" fillId="22" borderId="16" xfId="2" applyNumberFormat="1" applyFont="1" applyFill="1" applyBorder="1" applyAlignment="1">
      <alignment horizontal="center"/>
    </xf>
    <xf numFmtId="181" fontId="10" fillId="22" borderId="17" xfId="2" applyNumberFormat="1" applyFont="1" applyFill="1" applyBorder="1" applyAlignment="1">
      <alignment horizontal="center"/>
    </xf>
    <xf numFmtId="181" fontId="10" fillId="22" borderId="18" xfId="2" applyNumberFormat="1" applyFont="1" applyFill="1" applyBorder="1" applyAlignment="1">
      <alignment horizontal="center"/>
    </xf>
    <xf numFmtId="181" fontId="10" fillId="22" borderId="19" xfId="2" applyNumberFormat="1" applyFont="1" applyFill="1" applyBorder="1" applyAlignment="1">
      <alignment horizontal="center"/>
    </xf>
    <xf numFmtId="181" fontId="24" fillId="0" borderId="0" xfId="0" applyNumberFormat="1" applyFont="1" applyAlignment="1">
      <alignment horizontal="center"/>
    </xf>
    <xf numFmtId="0" fontId="3" fillId="19" borderId="0" xfId="0" applyFont="1" applyFill="1" applyAlignment="1">
      <alignment horizontal="center"/>
    </xf>
    <xf numFmtId="181" fontId="0" fillId="0" borderId="0" xfId="2" applyNumberFormat="1" applyFont="1" applyAlignment="1">
      <alignment horizontal="center"/>
    </xf>
    <xf numFmtId="195" fontId="10" fillId="15" borderId="0" xfId="1" quotePrefix="1" applyNumberFormat="1" applyFont="1" applyFill="1"/>
    <xf numFmtId="184" fontId="0" fillId="3" borderId="0" xfId="0" applyNumberFormat="1" applyFill="1" applyAlignment="1">
      <alignment horizontal="center"/>
    </xf>
    <xf numFmtId="41" fontId="10" fillId="3" borderId="0" xfId="0" applyNumberFormat="1" applyFont="1" applyFill="1" applyAlignment="1">
      <alignment horizontal="center"/>
    </xf>
    <xf numFmtId="0" fontId="10" fillId="14" borderId="0" xfId="0" applyFont="1" applyFill="1" applyAlignment="1">
      <alignment horizontal="right"/>
    </xf>
    <xf numFmtId="0" fontId="0" fillId="14" borderId="0" xfId="0" applyFill="1" applyAlignment="1">
      <alignment horizontal="center"/>
    </xf>
    <xf numFmtId="41" fontId="10" fillId="14" borderId="0" xfId="0" applyNumberFormat="1" applyFont="1" applyFill="1" applyAlignment="1">
      <alignment horizontal="center"/>
    </xf>
    <xf numFmtId="198" fontId="3" fillId="0" borderId="0" xfId="1" applyNumberFormat="1" applyFont="1" applyAlignment="1">
      <alignment horizontal="right"/>
    </xf>
    <xf numFmtId="178" fontId="10" fillId="0" borderId="0" xfId="0" applyNumberFormat="1" applyFont="1" applyAlignment="1">
      <alignment horizontal="right"/>
    </xf>
    <xf numFmtId="9" fontId="0" fillId="0" borderId="0" xfId="0" applyNumberFormat="1"/>
    <xf numFmtId="0" fontId="19" fillId="15" borderId="0" xfId="0" applyFont="1" applyFill="1" applyAlignment="1">
      <alignment horizontal="center"/>
    </xf>
    <xf numFmtId="178" fontId="0" fillId="16" borderId="0" xfId="0" applyNumberFormat="1" applyFill="1" applyAlignment="1">
      <alignment horizontal="right"/>
    </xf>
    <xf numFmtId="0" fontId="0" fillId="16" borderId="0" xfId="0" applyFill="1" applyAlignment="1">
      <alignment wrapText="1"/>
    </xf>
    <xf numFmtId="0" fontId="0" fillId="23" borderId="0" xfId="0" applyFill="1" applyAlignment="1">
      <alignment wrapText="1"/>
    </xf>
    <xf numFmtId="178" fontId="0" fillId="23" borderId="0" xfId="0" applyNumberFormat="1" applyFill="1" applyAlignment="1">
      <alignment horizontal="right"/>
    </xf>
    <xf numFmtId="0" fontId="2" fillId="2" borderId="0" xfId="0" applyFont="1" applyFill="1" applyAlignment="1">
      <alignment horizontal="right" wrapText="1"/>
    </xf>
    <xf numFmtId="0" fontId="0" fillId="9" borderId="0" xfId="0" applyFill="1"/>
    <xf numFmtId="184" fontId="0" fillId="6" borderId="0" xfId="0" applyNumberFormat="1" applyFill="1" applyAlignment="1">
      <alignment horizontal="center"/>
    </xf>
    <xf numFmtId="0" fontId="50" fillId="6" borderId="0" xfId="0" applyFont="1" applyFill="1" applyAlignment="1">
      <alignment horizontal="centerContinuous"/>
    </xf>
    <xf numFmtId="0" fontId="50" fillId="6" borderId="0" xfId="0" applyFont="1" applyFill="1"/>
    <xf numFmtId="0" fontId="19" fillId="6" borderId="1" xfId="0" applyFont="1" applyFill="1" applyBorder="1" applyAlignment="1">
      <alignment horizontal="center" wrapText="1"/>
    </xf>
    <xf numFmtId="0" fontId="19" fillId="6" borderId="0" xfId="0" applyFont="1" applyFill="1"/>
    <xf numFmtId="0" fontId="19" fillId="6" borderId="0" xfId="0" applyFont="1" applyFill="1" applyAlignment="1">
      <alignment horizontal="centerContinuous"/>
    </xf>
    <xf numFmtId="0" fontId="24" fillId="6" borderId="0" xfId="0" applyFont="1" applyFill="1"/>
    <xf numFmtId="0" fontId="19" fillId="6" borderId="1" xfId="0" applyFont="1" applyFill="1" applyBorder="1" applyAlignment="1">
      <alignment horizontal="center" vertical="center" wrapText="1"/>
    </xf>
    <xf numFmtId="0" fontId="24" fillId="6" borderId="0" xfId="0" applyFont="1" applyFill="1" applyAlignment="1">
      <alignment horizontal="center" wrapText="1"/>
    </xf>
    <xf numFmtId="0" fontId="19" fillId="6" borderId="1" xfId="0" applyFont="1" applyFill="1" applyBorder="1" applyAlignment="1">
      <alignment horizontal="centerContinuous"/>
    </xf>
    <xf numFmtId="164" fontId="51" fillId="22" borderId="0" xfId="0" applyNumberFormat="1" applyFont="1" applyFill="1"/>
    <xf numFmtId="0" fontId="51" fillId="22" borderId="1" xfId="0" applyFont="1" applyFill="1" applyBorder="1"/>
    <xf numFmtId="0" fontId="51" fillId="22" borderId="0" xfId="0" applyFont="1" applyFill="1"/>
    <xf numFmtId="199" fontId="0" fillId="0" borderId="0" xfId="0" applyNumberFormat="1"/>
    <xf numFmtId="164" fontId="0" fillId="7" borderId="0" xfId="0" applyNumberFormat="1" applyFill="1"/>
    <xf numFmtId="0" fontId="1" fillId="6" borderId="0" xfId="6" applyFill="1"/>
    <xf numFmtId="0" fontId="52" fillId="6" borderId="0" xfId="6" applyFont="1" applyFill="1"/>
    <xf numFmtId="0" fontId="53" fillId="6" borderId="0" xfId="6" applyFont="1" applyFill="1"/>
    <xf numFmtId="0" fontId="1" fillId="6" borderId="0" xfId="6" applyFill="1" applyAlignment="1">
      <alignment vertical="center"/>
    </xf>
    <xf numFmtId="0" fontId="2" fillId="2" borderId="0" xfId="6" applyFont="1" applyFill="1" applyAlignment="1">
      <alignment vertical="center"/>
    </xf>
    <xf numFmtId="0" fontId="2" fillId="2" borderId="0" xfId="6" applyFont="1" applyFill="1" applyAlignment="1">
      <alignment horizontal="right" vertical="center"/>
    </xf>
    <xf numFmtId="0" fontId="1" fillId="0" borderId="0" xfId="6" applyAlignment="1">
      <alignment vertical="center"/>
    </xf>
    <xf numFmtId="194" fontId="0" fillId="6" borderId="0" xfId="7" applyNumberFormat="1" applyFont="1" applyFill="1"/>
    <xf numFmtId="10" fontId="1" fillId="6" borderId="0" xfId="6" applyNumberFormat="1" applyFill="1"/>
    <xf numFmtId="0" fontId="1" fillId="19" borderId="0" xfId="6" applyFill="1"/>
    <xf numFmtId="194" fontId="0" fillId="19" borderId="0" xfId="7" applyNumberFormat="1" applyFont="1" applyFill="1"/>
    <xf numFmtId="10" fontId="1" fillId="19" borderId="0" xfId="6" applyNumberFormat="1" applyFill="1"/>
    <xf numFmtId="0" fontId="3" fillId="6" borderId="1" xfId="6" applyFont="1" applyFill="1" applyBorder="1"/>
    <xf numFmtId="0" fontId="1" fillId="6" borderId="1" xfId="6" applyFill="1" applyBorder="1"/>
    <xf numFmtId="3" fontId="1" fillId="6" borderId="0" xfId="6" applyNumberFormat="1" applyFill="1"/>
    <xf numFmtId="10" fontId="0" fillId="6" borderId="0" xfId="8" applyNumberFormat="1" applyFont="1" applyFill="1"/>
    <xf numFmtId="0" fontId="5" fillId="6" borderId="0" xfId="6" applyFont="1" applyFill="1" applyAlignment="1">
      <alignment vertical="center"/>
    </xf>
    <xf numFmtId="194" fontId="24" fillId="6" borderId="0" xfId="7" applyNumberFormat="1" applyFont="1" applyFill="1" applyAlignment="1">
      <alignment vertical="center"/>
    </xf>
    <xf numFmtId="181" fontId="10" fillId="6" borderId="0" xfId="8" applyNumberFormat="1" applyFont="1" applyFill="1" applyAlignment="1">
      <alignment vertical="center"/>
    </xf>
    <xf numFmtId="0" fontId="5" fillId="3" borderId="0" xfId="6" applyFont="1" applyFill="1" applyAlignment="1">
      <alignment vertical="center"/>
    </xf>
    <xf numFmtId="164" fontId="10" fillId="3" borderId="0" xfId="9" applyNumberFormat="1" applyFont="1" applyFill="1" applyAlignment="1">
      <alignment vertical="center"/>
    </xf>
    <xf numFmtId="181" fontId="24" fillId="3" borderId="0" xfId="8" applyNumberFormat="1" applyFont="1" applyFill="1" applyAlignment="1">
      <alignment vertical="center"/>
    </xf>
    <xf numFmtId="164" fontId="1" fillId="6" borderId="0" xfId="6" applyNumberFormat="1" applyFill="1"/>
    <xf numFmtId="164" fontId="10" fillId="6" borderId="0" xfId="9" applyNumberFormat="1" applyFont="1" applyFill="1" applyAlignment="1">
      <alignment vertical="center"/>
    </xf>
    <xf numFmtId="181" fontId="24" fillId="6" borderId="0" xfId="8" applyNumberFormat="1" applyFont="1" applyFill="1" applyAlignment="1">
      <alignment vertical="center"/>
    </xf>
    <xf numFmtId="164" fontId="24" fillId="3" borderId="0" xfId="9" applyNumberFormat="1" applyFont="1" applyFill="1" applyAlignment="1">
      <alignment vertical="center"/>
    </xf>
    <xf numFmtId="181" fontId="10" fillId="3" borderId="0" xfId="8" applyNumberFormat="1" applyFont="1" applyFill="1" applyAlignment="1">
      <alignment vertical="center"/>
    </xf>
    <xf numFmtId="164" fontId="10" fillId="6" borderId="0" xfId="9" applyNumberFormat="1" applyFont="1" applyFill="1"/>
    <xf numFmtId="0" fontId="3" fillId="14" borderId="0" xfId="6" applyFont="1" applyFill="1"/>
    <xf numFmtId="194" fontId="3" fillId="14" borderId="0" xfId="7" applyNumberFormat="1" applyFont="1" applyFill="1"/>
    <xf numFmtId="181" fontId="3" fillId="14" borderId="0" xfId="6" applyNumberFormat="1" applyFont="1" applyFill="1"/>
    <xf numFmtId="0" fontId="1" fillId="0" borderId="0" xfId="6"/>
    <xf numFmtId="4" fontId="0" fillId="6" borderId="1" xfId="0" applyNumberFormat="1" applyFill="1" applyBorder="1"/>
    <xf numFmtId="200" fontId="0" fillId="0" borderId="0" xfId="0" applyNumberFormat="1" applyAlignment="1">
      <alignment horizontal="center"/>
    </xf>
    <xf numFmtId="0" fontId="15" fillId="5" borderId="0" xfId="0" applyFont="1" applyFill="1"/>
    <xf numFmtId="0" fontId="15" fillId="0" borderId="0" xfId="0" quotePrefix="1" applyFont="1"/>
    <xf numFmtId="177" fontId="0" fillId="5" borderId="0" xfId="0" applyNumberFormat="1" applyFill="1" applyAlignment="1">
      <alignment horizontal="center"/>
    </xf>
    <xf numFmtId="0" fontId="5" fillId="6" borderId="0" xfId="0" applyFont="1" applyFill="1" applyAlignment="1">
      <alignment wrapText="1"/>
    </xf>
    <xf numFmtId="38" fontId="0" fillId="5" borderId="0" xfId="0" quotePrefix="1" applyNumberFormat="1" applyFill="1"/>
    <xf numFmtId="194" fontId="1" fillId="6" borderId="0" xfId="6" applyNumberFormat="1" applyFill="1"/>
  </cellXfs>
  <cellStyles count="10">
    <cellStyle name="Comma" xfId="1" builtinId="3"/>
    <cellStyle name="Comma 2" xfId="4" xr:uid="{D108716D-D52A-4677-843F-5066549D9E41}"/>
    <cellStyle name="Comma 3" xfId="9" xr:uid="{A7806D8C-84A9-4E6C-9279-6B016D604105}"/>
    <cellStyle name="Currency" xfId="5" builtinId="4"/>
    <cellStyle name="Currency 3" xfId="7" xr:uid="{F950C029-A38B-4BF2-B241-F313FD0220B0}"/>
    <cellStyle name="Normal" xfId="0" builtinId="0"/>
    <cellStyle name="Normal 2" xfId="3" xr:uid="{666E7745-FA24-4BD5-95A6-DDAAE9E2D165}"/>
    <cellStyle name="Normal 4" xfId="6" xr:uid="{7241D5F6-130B-48B5-889F-0F85C51CE7A1}"/>
    <cellStyle name="Percent" xfId="2" builtinId="5"/>
    <cellStyle name="Percent 3" xfId="8" xr:uid="{6E0CA234-C88E-49CD-B9F7-6C90E78E31BE}"/>
  </cellStyles>
  <dxfs count="12"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D9999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ierra%20Financial%20Advisors/CLIENTS/Texas/Securitization%20(MUD%20Receivables)/Model/D.R.%20Horton/Texas%20MUD%20Securitization%20Model%20(Jan%202024)%20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ierra%20Financial%20Advisors/CLIENTS/Colorado/DRH/Conexus%20Metro%20District%20No.%201&amp;2/Model/Model/Financial%20Analysis%20-%20Conexus%20MD%20No.%201%20(Commercial)%20-%20Monument_May%2023%202022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Inputs"/>
      <sheetName val="Sources and Uses"/>
      <sheetName val="Deal COI"/>
      <sheetName val="Bond Statistics"/>
      <sheetName val="Senior Bonds_SA"/>
      <sheetName val="Senior Bonds_Monthly"/>
      <sheetName val="Senior Bonds_Monthly_100% Pacin"/>
      <sheetName val="MUD Receipts"/>
      <sheetName val="MUD Receipts_100%"/>
      <sheetName val="CAPI Fund"/>
      <sheetName val="DSRF"/>
      <sheetName val="Project Info----&gt;"/>
      <sheetName val="Summary"/>
      <sheetName val="MUD_EXAMPLE"/>
      <sheetName val="The Lakes FWSD"/>
      <sheetName val="FBC MUD 182"/>
      <sheetName val="FBC MUD 188"/>
      <sheetName val="FBC MUD 222"/>
      <sheetName val="FBBZ Cos MUD 3"/>
      <sheetName val="Scratch for CABs---&gt;"/>
      <sheetName val="Repayment"/>
      <sheetName val="Accretion Table (3)"/>
      <sheetName val="Accretion Table"/>
      <sheetName val="Accretion Table (2)"/>
    </sheetNames>
    <sheetDataSet>
      <sheetData sheetId="0">
        <row r="10">
          <cell r="B10" t="str">
            <v>Texas MUD Securitization</v>
          </cell>
        </row>
        <row r="11">
          <cell r="B11" t="str">
            <v>D.R. Horton</v>
          </cell>
        </row>
        <row r="12">
          <cell r="B12" t="str">
            <v>Tamarron</v>
          </cell>
        </row>
        <row r="13">
          <cell r="B13">
            <v>0.5</v>
          </cell>
        </row>
        <row r="17">
          <cell r="B17">
            <v>0.01</v>
          </cell>
        </row>
        <row r="20">
          <cell r="B20">
            <v>45337</v>
          </cell>
        </row>
        <row r="21">
          <cell r="B21">
            <v>45444</v>
          </cell>
        </row>
        <row r="22">
          <cell r="B22">
            <v>46357</v>
          </cell>
        </row>
        <row r="23">
          <cell r="B23">
            <v>0.58888888888888891</v>
          </cell>
        </row>
        <row r="24">
          <cell r="B24" t="str">
            <v>Yes</v>
          </cell>
        </row>
        <row r="25">
          <cell r="B25">
            <v>45444</v>
          </cell>
        </row>
        <row r="26">
          <cell r="B26">
            <v>45444</v>
          </cell>
        </row>
        <row r="27">
          <cell r="B27">
            <v>4</v>
          </cell>
        </row>
        <row r="29">
          <cell r="B29" t="str">
            <v>Yes</v>
          </cell>
        </row>
        <row r="30">
          <cell r="B30">
            <v>4527500</v>
          </cell>
        </row>
        <row r="31">
          <cell r="B31">
            <v>46722</v>
          </cell>
        </row>
        <row r="32">
          <cell r="B32" t="str">
            <v>Current</v>
          </cell>
        </row>
        <row r="33">
          <cell r="B33">
            <v>0.06</v>
          </cell>
        </row>
        <row r="34">
          <cell r="B34">
            <v>0.06</v>
          </cell>
        </row>
        <row r="35">
          <cell r="B35">
            <v>12</v>
          </cell>
        </row>
        <row r="36">
          <cell r="B36">
            <v>6</v>
          </cell>
        </row>
        <row r="37">
          <cell r="B37">
            <v>1</v>
          </cell>
        </row>
        <row r="38">
          <cell r="B38">
            <v>3</v>
          </cell>
        </row>
        <row r="39">
          <cell r="B39">
            <v>36</v>
          </cell>
        </row>
        <row r="40">
          <cell r="B40">
            <v>46722</v>
          </cell>
        </row>
        <row r="41">
          <cell r="B41">
            <v>0</v>
          </cell>
        </row>
        <row r="42">
          <cell r="B42">
            <v>1</v>
          </cell>
        </row>
        <row r="43">
          <cell r="B43">
            <v>0.02</v>
          </cell>
        </row>
      </sheetData>
      <sheetData sheetId="1"/>
      <sheetData sheetId="2"/>
      <sheetData sheetId="3">
        <row r="20">
          <cell r="C20">
            <v>6.1558646177759913E-2</v>
          </cell>
          <cell r="H20">
            <v>7.6937455962893309E-2</v>
          </cell>
        </row>
        <row r="37">
          <cell r="C37">
            <v>0</v>
          </cell>
          <cell r="H37">
            <v>0</v>
          </cell>
        </row>
      </sheetData>
      <sheetData sheetId="4">
        <row r="12">
          <cell r="P12">
            <v>1358700</v>
          </cell>
        </row>
        <row r="13">
          <cell r="P13">
            <v>22128700</v>
          </cell>
        </row>
        <row r="14">
          <cell r="P14">
            <v>735600</v>
          </cell>
        </row>
        <row r="15">
          <cell r="P15">
            <v>8495600</v>
          </cell>
        </row>
        <row r="16">
          <cell r="P16">
            <v>502800</v>
          </cell>
        </row>
        <row r="17">
          <cell r="P17">
            <v>8477800</v>
          </cell>
        </row>
        <row r="18">
          <cell r="P18">
            <v>263550</v>
          </cell>
        </row>
        <row r="19">
          <cell r="P19">
            <v>9048550</v>
          </cell>
        </row>
        <row r="20">
          <cell r="P20">
            <v>0</v>
          </cell>
        </row>
        <row r="21">
          <cell r="P21">
            <v>0</v>
          </cell>
        </row>
        <row r="22">
          <cell r="P22">
            <v>0</v>
          </cell>
        </row>
        <row r="23">
          <cell r="P23">
            <v>0</v>
          </cell>
        </row>
        <row r="24">
          <cell r="P24">
            <v>0</v>
          </cell>
        </row>
        <row r="25">
          <cell r="P25">
            <v>0</v>
          </cell>
        </row>
        <row r="26">
          <cell r="P26">
            <v>0</v>
          </cell>
        </row>
        <row r="27">
          <cell r="P27">
            <v>0</v>
          </cell>
        </row>
        <row r="28">
          <cell r="P28">
            <v>0</v>
          </cell>
        </row>
        <row r="31">
          <cell r="AA31">
            <v>86045388.888888896</v>
          </cell>
        </row>
      </sheetData>
      <sheetData sheetId="5">
        <row r="10">
          <cell r="A10"/>
          <cell r="D10"/>
          <cell r="E10"/>
          <cell r="F10"/>
          <cell r="G10"/>
          <cell r="H10"/>
          <cell r="I10"/>
          <cell r="J10"/>
          <cell r="K10"/>
          <cell r="L10"/>
          <cell r="M10"/>
        </row>
        <row r="11">
          <cell r="A11">
            <v>45337</v>
          </cell>
          <cell r="B11"/>
          <cell r="C11"/>
          <cell r="D11"/>
          <cell r="E11"/>
          <cell r="F11">
            <v>45275000</v>
          </cell>
          <cell r="G11"/>
          <cell r="M11">
            <v>45275000</v>
          </cell>
        </row>
        <row r="12">
          <cell r="A12">
            <v>45352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45275000</v>
          </cell>
          <cell r="G12">
            <v>0</v>
          </cell>
          <cell r="H12">
            <v>0</v>
          </cell>
          <cell r="I12">
            <v>120733.33333333333</v>
          </cell>
          <cell r="J12">
            <v>0</v>
          </cell>
          <cell r="K12">
            <v>120733.33333333333</v>
          </cell>
          <cell r="M12">
            <v>45275000</v>
          </cell>
          <cell r="N12">
            <v>0</v>
          </cell>
          <cell r="O12">
            <v>120733.33333333333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120733.33333333333</v>
          </cell>
          <cell r="X12">
            <v>0</v>
          </cell>
          <cell r="Y12">
            <v>120733.33333333333</v>
          </cell>
        </row>
        <row r="13">
          <cell r="A13">
            <v>45383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45275000</v>
          </cell>
          <cell r="G13">
            <v>0</v>
          </cell>
          <cell r="H13">
            <v>0</v>
          </cell>
          <cell r="I13">
            <v>226375</v>
          </cell>
          <cell r="J13">
            <v>0</v>
          </cell>
          <cell r="K13">
            <v>226375</v>
          </cell>
          <cell r="M13">
            <v>45275000</v>
          </cell>
          <cell r="N13">
            <v>0</v>
          </cell>
          <cell r="O13">
            <v>226375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226375</v>
          </cell>
          <cell r="X13">
            <v>0</v>
          </cell>
          <cell r="Y13">
            <v>226375</v>
          </cell>
        </row>
        <row r="14">
          <cell r="A14">
            <v>45413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45275000</v>
          </cell>
          <cell r="G14">
            <v>0</v>
          </cell>
          <cell r="H14">
            <v>0</v>
          </cell>
          <cell r="I14">
            <v>226375</v>
          </cell>
          <cell r="J14">
            <v>0</v>
          </cell>
          <cell r="K14">
            <v>226375</v>
          </cell>
          <cell r="M14">
            <v>45275000</v>
          </cell>
          <cell r="N14">
            <v>0</v>
          </cell>
          <cell r="O14">
            <v>226375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226375</v>
          </cell>
          <cell r="X14">
            <v>0</v>
          </cell>
          <cell r="Y14">
            <v>226375</v>
          </cell>
        </row>
        <row r="15">
          <cell r="A15">
            <v>45444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45275000</v>
          </cell>
          <cell r="G15">
            <v>0</v>
          </cell>
          <cell r="H15">
            <v>0</v>
          </cell>
          <cell r="I15">
            <v>226375</v>
          </cell>
          <cell r="J15">
            <v>0</v>
          </cell>
          <cell r="K15">
            <v>226375</v>
          </cell>
          <cell r="M15">
            <v>45275000</v>
          </cell>
          <cell r="N15">
            <v>0</v>
          </cell>
          <cell r="O15">
            <v>226375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226375</v>
          </cell>
          <cell r="X15">
            <v>0</v>
          </cell>
          <cell r="Y15">
            <v>226375</v>
          </cell>
        </row>
        <row r="16">
          <cell r="A16">
            <v>45474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45275000</v>
          </cell>
          <cell r="G16">
            <v>0</v>
          </cell>
          <cell r="H16">
            <v>0</v>
          </cell>
          <cell r="I16">
            <v>226375</v>
          </cell>
          <cell r="J16">
            <v>0</v>
          </cell>
          <cell r="K16">
            <v>226375</v>
          </cell>
          <cell r="M16">
            <v>45275000</v>
          </cell>
          <cell r="N16">
            <v>0</v>
          </cell>
          <cell r="O16">
            <v>226375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226375</v>
          </cell>
          <cell r="X16">
            <v>0</v>
          </cell>
          <cell r="Y16">
            <v>0</v>
          </cell>
        </row>
        <row r="17">
          <cell r="A17">
            <v>45505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45275000</v>
          </cell>
          <cell r="G17">
            <v>0</v>
          </cell>
          <cell r="H17">
            <v>0</v>
          </cell>
          <cell r="I17">
            <v>226375</v>
          </cell>
          <cell r="J17">
            <v>0</v>
          </cell>
          <cell r="K17">
            <v>226375</v>
          </cell>
          <cell r="M17">
            <v>45275000</v>
          </cell>
          <cell r="N17">
            <v>0</v>
          </cell>
          <cell r="O17">
            <v>226375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226375</v>
          </cell>
          <cell r="X17">
            <v>0</v>
          </cell>
          <cell r="Y17">
            <v>0</v>
          </cell>
        </row>
        <row r="18">
          <cell r="A18">
            <v>45536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45275000</v>
          </cell>
          <cell r="G18">
            <v>23492200</v>
          </cell>
          <cell r="H18">
            <v>23265000</v>
          </cell>
          <cell r="I18">
            <v>226375</v>
          </cell>
          <cell r="J18">
            <v>0</v>
          </cell>
          <cell r="K18">
            <v>23491375</v>
          </cell>
          <cell r="M18">
            <v>45275000</v>
          </cell>
          <cell r="N18">
            <v>0</v>
          </cell>
          <cell r="O18">
            <v>226375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226375</v>
          </cell>
          <cell r="X18">
            <v>0</v>
          </cell>
          <cell r="Y18">
            <v>0</v>
          </cell>
        </row>
        <row r="19">
          <cell r="A19">
            <v>45566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22010000</v>
          </cell>
          <cell r="G19">
            <v>0</v>
          </cell>
          <cell r="H19">
            <v>0</v>
          </cell>
          <cell r="I19">
            <v>110050</v>
          </cell>
          <cell r="J19">
            <v>0</v>
          </cell>
          <cell r="K19">
            <v>110050</v>
          </cell>
          <cell r="M19">
            <v>45275000</v>
          </cell>
          <cell r="N19">
            <v>0</v>
          </cell>
          <cell r="O19">
            <v>226375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226375</v>
          </cell>
          <cell r="X19">
            <v>0</v>
          </cell>
          <cell r="Y19">
            <v>0</v>
          </cell>
        </row>
        <row r="20">
          <cell r="A20">
            <v>45597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22010000</v>
          </cell>
          <cell r="G20">
            <v>0</v>
          </cell>
          <cell r="H20">
            <v>0</v>
          </cell>
          <cell r="I20">
            <v>110050</v>
          </cell>
          <cell r="J20">
            <v>0</v>
          </cell>
          <cell r="K20">
            <v>110050</v>
          </cell>
          <cell r="M20">
            <v>45275000</v>
          </cell>
          <cell r="N20">
            <v>0</v>
          </cell>
          <cell r="O20">
            <v>226375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226375</v>
          </cell>
          <cell r="X20">
            <v>0</v>
          </cell>
          <cell r="Y20">
            <v>0</v>
          </cell>
        </row>
        <row r="21">
          <cell r="A21">
            <v>45627</v>
          </cell>
          <cell r="B21">
            <v>0.06</v>
          </cell>
          <cell r="C21">
            <v>0.06</v>
          </cell>
          <cell r="D21">
            <v>1</v>
          </cell>
          <cell r="E21">
            <v>0</v>
          </cell>
          <cell r="F21">
            <v>22010000</v>
          </cell>
          <cell r="G21">
            <v>0</v>
          </cell>
          <cell r="H21">
            <v>0</v>
          </cell>
          <cell r="I21">
            <v>110050</v>
          </cell>
          <cell r="J21">
            <v>1809133.3333333333</v>
          </cell>
          <cell r="K21">
            <v>110050</v>
          </cell>
          <cell r="M21">
            <v>24500000</v>
          </cell>
          <cell r="N21">
            <v>20775000</v>
          </cell>
          <cell r="O21">
            <v>226375</v>
          </cell>
          <cell r="P21">
            <v>2158108.333333333</v>
          </cell>
          <cell r="Q21">
            <v>2158108.333333333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21001375</v>
          </cell>
          <cell r="X21">
            <v>22933108.333333332</v>
          </cell>
          <cell r="Y21">
            <v>0</v>
          </cell>
        </row>
        <row r="22">
          <cell r="A22">
            <v>45658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22010000</v>
          </cell>
          <cell r="G22">
            <v>0</v>
          </cell>
          <cell r="H22">
            <v>0</v>
          </cell>
          <cell r="I22">
            <v>110050</v>
          </cell>
          <cell r="J22">
            <v>0</v>
          </cell>
          <cell r="K22">
            <v>110050</v>
          </cell>
          <cell r="M22">
            <v>24500000</v>
          </cell>
          <cell r="N22">
            <v>0</v>
          </cell>
          <cell r="O22">
            <v>122500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122500</v>
          </cell>
          <cell r="X22">
            <v>0</v>
          </cell>
          <cell r="Y22">
            <v>0</v>
          </cell>
        </row>
        <row r="23">
          <cell r="A23">
            <v>45689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22010000</v>
          </cell>
          <cell r="G23">
            <v>0</v>
          </cell>
          <cell r="H23">
            <v>0</v>
          </cell>
          <cell r="I23">
            <v>110050</v>
          </cell>
          <cell r="J23">
            <v>0</v>
          </cell>
          <cell r="K23">
            <v>110050</v>
          </cell>
          <cell r="M23">
            <v>24500000</v>
          </cell>
          <cell r="N23">
            <v>0</v>
          </cell>
          <cell r="O23">
            <v>122500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122500</v>
          </cell>
          <cell r="X23">
            <v>0</v>
          </cell>
          <cell r="Y23">
            <v>0</v>
          </cell>
        </row>
        <row r="24">
          <cell r="A24">
            <v>45717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22010000</v>
          </cell>
          <cell r="G24">
            <v>0</v>
          </cell>
          <cell r="H24">
            <v>0</v>
          </cell>
          <cell r="I24">
            <v>110050</v>
          </cell>
          <cell r="J24">
            <v>0</v>
          </cell>
          <cell r="K24">
            <v>110050</v>
          </cell>
          <cell r="M24">
            <v>24500000</v>
          </cell>
          <cell r="N24">
            <v>0</v>
          </cell>
          <cell r="O24">
            <v>122500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122500</v>
          </cell>
          <cell r="X24">
            <v>0</v>
          </cell>
          <cell r="Y24">
            <v>0</v>
          </cell>
        </row>
        <row r="25">
          <cell r="A25">
            <v>45748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22010000</v>
          </cell>
          <cell r="G25">
            <v>0</v>
          </cell>
          <cell r="H25">
            <v>0</v>
          </cell>
          <cell r="I25">
            <v>110050</v>
          </cell>
          <cell r="J25">
            <v>0</v>
          </cell>
          <cell r="K25">
            <v>110050</v>
          </cell>
          <cell r="M25">
            <v>24500000</v>
          </cell>
          <cell r="N25">
            <v>0</v>
          </cell>
          <cell r="O25">
            <v>122500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122500</v>
          </cell>
          <cell r="X25">
            <v>0</v>
          </cell>
          <cell r="Y25">
            <v>0</v>
          </cell>
        </row>
        <row r="26">
          <cell r="A26">
            <v>45778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22010000</v>
          </cell>
          <cell r="G26">
            <v>0</v>
          </cell>
          <cell r="H26">
            <v>0</v>
          </cell>
          <cell r="I26">
            <v>110050</v>
          </cell>
          <cell r="J26">
            <v>0</v>
          </cell>
          <cell r="K26">
            <v>110050</v>
          </cell>
          <cell r="M26">
            <v>24500000</v>
          </cell>
          <cell r="N26">
            <v>0</v>
          </cell>
          <cell r="O26">
            <v>122500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122500</v>
          </cell>
          <cell r="X26">
            <v>0</v>
          </cell>
          <cell r="Y26">
            <v>0</v>
          </cell>
        </row>
        <row r="27">
          <cell r="A27">
            <v>45809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22010000</v>
          </cell>
          <cell r="G27">
            <v>0</v>
          </cell>
          <cell r="H27">
            <v>0</v>
          </cell>
          <cell r="I27">
            <v>110050</v>
          </cell>
          <cell r="J27">
            <v>0</v>
          </cell>
          <cell r="K27">
            <v>110050</v>
          </cell>
          <cell r="M27">
            <v>24500000</v>
          </cell>
          <cell r="N27">
            <v>0</v>
          </cell>
          <cell r="O27">
            <v>122500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122500</v>
          </cell>
          <cell r="X27">
            <v>0</v>
          </cell>
          <cell r="Y27">
            <v>0</v>
          </cell>
        </row>
        <row r="28">
          <cell r="A28">
            <v>45839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22010000</v>
          </cell>
          <cell r="G28">
            <v>0</v>
          </cell>
          <cell r="H28">
            <v>0</v>
          </cell>
          <cell r="I28">
            <v>110050</v>
          </cell>
          <cell r="J28">
            <v>0</v>
          </cell>
          <cell r="K28">
            <v>110050</v>
          </cell>
          <cell r="M28">
            <v>24500000</v>
          </cell>
          <cell r="N28">
            <v>0</v>
          </cell>
          <cell r="O28">
            <v>122500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122500</v>
          </cell>
          <cell r="X28">
            <v>0</v>
          </cell>
          <cell r="Y28">
            <v>0</v>
          </cell>
        </row>
        <row r="29">
          <cell r="A29">
            <v>45870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22010000</v>
          </cell>
          <cell r="G29">
            <v>0</v>
          </cell>
          <cell r="H29">
            <v>0</v>
          </cell>
          <cell r="I29">
            <v>110050</v>
          </cell>
          <cell r="J29">
            <v>0</v>
          </cell>
          <cell r="K29">
            <v>110050</v>
          </cell>
          <cell r="L29"/>
          <cell r="M29">
            <v>24500000</v>
          </cell>
          <cell r="N29">
            <v>0</v>
          </cell>
          <cell r="O29">
            <v>122500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122500</v>
          </cell>
          <cell r="X29">
            <v>0</v>
          </cell>
          <cell r="Y29">
            <v>0</v>
          </cell>
        </row>
        <row r="30">
          <cell r="A30">
            <v>45901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22010000</v>
          </cell>
          <cell r="G30">
            <v>9234850</v>
          </cell>
          <cell r="H30">
            <v>9120000</v>
          </cell>
          <cell r="I30">
            <v>110050</v>
          </cell>
          <cell r="J30">
            <v>0</v>
          </cell>
          <cell r="K30">
            <v>9230050</v>
          </cell>
          <cell r="L30"/>
          <cell r="M30">
            <v>24500000</v>
          </cell>
          <cell r="N30">
            <v>0</v>
          </cell>
          <cell r="O30">
            <v>122500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122500</v>
          </cell>
          <cell r="X30">
            <v>0</v>
          </cell>
          <cell r="Y30">
            <v>0</v>
          </cell>
        </row>
        <row r="31">
          <cell r="A31">
            <v>45931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12890000</v>
          </cell>
          <cell r="G31">
            <v>0</v>
          </cell>
          <cell r="H31">
            <v>0</v>
          </cell>
          <cell r="I31">
            <v>64450</v>
          </cell>
          <cell r="J31">
            <v>0</v>
          </cell>
          <cell r="K31">
            <v>64450</v>
          </cell>
          <cell r="M31">
            <v>24500000</v>
          </cell>
          <cell r="N31">
            <v>0</v>
          </cell>
          <cell r="O31">
            <v>122500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122500</v>
          </cell>
          <cell r="X31">
            <v>0</v>
          </cell>
          <cell r="Y31">
            <v>0</v>
          </cell>
        </row>
        <row r="32">
          <cell r="A32">
            <v>45962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12890000</v>
          </cell>
          <cell r="G32">
            <v>0</v>
          </cell>
          <cell r="H32">
            <v>0</v>
          </cell>
          <cell r="I32">
            <v>64450</v>
          </cell>
          <cell r="J32">
            <v>0</v>
          </cell>
          <cell r="K32">
            <v>64450</v>
          </cell>
          <cell r="L32"/>
          <cell r="M32">
            <v>24500000</v>
          </cell>
          <cell r="N32">
            <v>0</v>
          </cell>
          <cell r="O32">
            <v>122500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122500</v>
          </cell>
          <cell r="X32">
            <v>0</v>
          </cell>
          <cell r="Y32">
            <v>0</v>
          </cell>
        </row>
        <row r="33">
          <cell r="A33">
            <v>45992</v>
          </cell>
          <cell r="B33">
            <v>0.06</v>
          </cell>
          <cell r="C33">
            <v>0.06</v>
          </cell>
          <cell r="D33">
            <v>1</v>
          </cell>
          <cell r="E33">
            <v>0</v>
          </cell>
          <cell r="F33">
            <v>12890000</v>
          </cell>
          <cell r="G33">
            <v>0</v>
          </cell>
          <cell r="H33">
            <v>0</v>
          </cell>
          <cell r="I33">
            <v>64450</v>
          </cell>
          <cell r="J33">
            <v>1183800</v>
          </cell>
          <cell r="K33">
            <v>64450</v>
          </cell>
          <cell r="L33"/>
          <cell r="M33">
            <v>16740000</v>
          </cell>
          <cell r="N33">
            <v>7760000</v>
          </cell>
          <cell r="O33">
            <v>122500</v>
          </cell>
          <cell r="P33">
            <v>1470000</v>
          </cell>
          <cell r="Q33">
            <v>1470000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7882500</v>
          </cell>
          <cell r="X33">
            <v>9230000</v>
          </cell>
          <cell r="Y33">
            <v>0</v>
          </cell>
        </row>
        <row r="34">
          <cell r="A34">
            <v>46023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12890000</v>
          </cell>
          <cell r="G34">
            <v>0</v>
          </cell>
          <cell r="H34">
            <v>0</v>
          </cell>
          <cell r="I34">
            <v>64450</v>
          </cell>
          <cell r="J34">
            <v>0</v>
          </cell>
          <cell r="K34">
            <v>64450</v>
          </cell>
          <cell r="L34"/>
          <cell r="M34">
            <v>16740000</v>
          </cell>
          <cell r="N34">
            <v>0</v>
          </cell>
          <cell r="O34">
            <v>83700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83700</v>
          </cell>
          <cell r="X34">
            <v>0</v>
          </cell>
          <cell r="Y34">
            <v>0</v>
          </cell>
        </row>
        <row r="35">
          <cell r="A35">
            <v>46054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12890000</v>
          </cell>
          <cell r="G35">
            <v>0</v>
          </cell>
          <cell r="H35">
            <v>0</v>
          </cell>
          <cell r="I35">
            <v>64450</v>
          </cell>
          <cell r="J35">
            <v>0</v>
          </cell>
          <cell r="K35">
            <v>64450</v>
          </cell>
          <cell r="L35"/>
          <cell r="M35">
            <v>16740000</v>
          </cell>
          <cell r="N35">
            <v>0</v>
          </cell>
          <cell r="O35">
            <v>83700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83700</v>
          </cell>
          <cell r="X35">
            <v>0</v>
          </cell>
          <cell r="Y35">
            <v>0</v>
          </cell>
        </row>
        <row r="36">
          <cell r="A36">
            <v>46082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12890000</v>
          </cell>
          <cell r="G36">
            <v>0</v>
          </cell>
          <cell r="H36">
            <v>0</v>
          </cell>
          <cell r="I36">
            <v>64450</v>
          </cell>
          <cell r="J36">
            <v>0</v>
          </cell>
          <cell r="K36">
            <v>64450</v>
          </cell>
          <cell r="L36"/>
          <cell r="M36">
            <v>16740000</v>
          </cell>
          <cell r="N36">
            <v>0</v>
          </cell>
          <cell r="O36">
            <v>83700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83700</v>
          </cell>
          <cell r="X36">
            <v>0</v>
          </cell>
          <cell r="Y36">
            <v>0</v>
          </cell>
        </row>
        <row r="37">
          <cell r="A37">
            <v>46113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12890000</v>
          </cell>
          <cell r="G37">
            <v>0</v>
          </cell>
          <cell r="H37">
            <v>0</v>
          </cell>
          <cell r="I37">
            <v>64450</v>
          </cell>
          <cell r="J37">
            <v>0</v>
          </cell>
          <cell r="K37">
            <v>64450</v>
          </cell>
          <cell r="L37"/>
          <cell r="M37">
            <v>16740000</v>
          </cell>
          <cell r="N37">
            <v>0</v>
          </cell>
          <cell r="O37">
            <v>83700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83700</v>
          </cell>
          <cell r="X37">
            <v>0</v>
          </cell>
          <cell r="Y37">
            <v>0</v>
          </cell>
        </row>
        <row r="38">
          <cell r="A38">
            <v>46143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12890000</v>
          </cell>
          <cell r="G38">
            <v>0</v>
          </cell>
          <cell r="H38">
            <v>0</v>
          </cell>
          <cell r="I38">
            <v>64450</v>
          </cell>
          <cell r="J38">
            <v>0</v>
          </cell>
          <cell r="K38">
            <v>64450</v>
          </cell>
          <cell r="L38"/>
          <cell r="M38">
            <v>16740000</v>
          </cell>
          <cell r="N38">
            <v>0</v>
          </cell>
          <cell r="O38">
            <v>83700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83700</v>
          </cell>
          <cell r="X38">
            <v>0</v>
          </cell>
          <cell r="Y38">
            <v>0</v>
          </cell>
        </row>
        <row r="39">
          <cell r="A39">
            <v>46174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12890000</v>
          </cell>
          <cell r="G39">
            <v>0</v>
          </cell>
          <cell r="H39">
            <v>0</v>
          </cell>
          <cell r="I39">
            <v>64450</v>
          </cell>
          <cell r="J39">
            <v>0</v>
          </cell>
          <cell r="K39">
            <v>64450</v>
          </cell>
          <cell r="L39"/>
          <cell r="M39">
            <v>16740000</v>
          </cell>
          <cell r="N39">
            <v>0</v>
          </cell>
          <cell r="O39">
            <v>83700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83700</v>
          </cell>
          <cell r="X39">
            <v>0</v>
          </cell>
          <cell r="Y39">
            <v>0</v>
          </cell>
        </row>
        <row r="40">
          <cell r="A40">
            <v>46204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12890000</v>
          </cell>
          <cell r="G40">
            <v>0</v>
          </cell>
          <cell r="H40">
            <v>0</v>
          </cell>
          <cell r="I40">
            <v>64450</v>
          </cell>
          <cell r="J40">
            <v>0</v>
          </cell>
          <cell r="K40">
            <v>64450</v>
          </cell>
          <cell r="L40"/>
          <cell r="M40">
            <v>16740000</v>
          </cell>
          <cell r="N40">
            <v>0</v>
          </cell>
          <cell r="O40">
            <v>83700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83700</v>
          </cell>
          <cell r="X40">
            <v>0</v>
          </cell>
          <cell r="Y40">
            <v>0</v>
          </cell>
        </row>
        <row r="41">
          <cell r="A41">
            <v>46235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12890000</v>
          </cell>
          <cell r="G41">
            <v>0</v>
          </cell>
          <cell r="H41">
            <v>0</v>
          </cell>
          <cell r="I41">
            <v>64450</v>
          </cell>
          <cell r="J41">
            <v>0</v>
          </cell>
          <cell r="K41">
            <v>64450</v>
          </cell>
          <cell r="L41"/>
          <cell r="M41">
            <v>16740000</v>
          </cell>
          <cell r="N41">
            <v>0</v>
          </cell>
          <cell r="O41">
            <v>83700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83700</v>
          </cell>
          <cell r="X41">
            <v>0</v>
          </cell>
          <cell r="Y41">
            <v>0</v>
          </cell>
        </row>
        <row r="42">
          <cell r="A42">
            <v>46266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12890000</v>
          </cell>
          <cell r="G42">
            <v>8639675</v>
          </cell>
          <cell r="H42">
            <v>8575000</v>
          </cell>
          <cell r="I42">
            <v>64450</v>
          </cell>
          <cell r="J42">
            <v>0</v>
          </cell>
          <cell r="K42">
            <v>8639450</v>
          </cell>
          <cell r="L42"/>
          <cell r="M42">
            <v>16740000</v>
          </cell>
          <cell r="N42">
            <v>0</v>
          </cell>
          <cell r="O42">
            <v>83700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83700</v>
          </cell>
          <cell r="X42">
            <v>0</v>
          </cell>
          <cell r="Y42">
            <v>0</v>
          </cell>
        </row>
        <row r="43">
          <cell r="A43">
            <v>46296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4315000</v>
          </cell>
          <cell r="G43">
            <v>0</v>
          </cell>
          <cell r="H43">
            <v>0</v>
          </cell>
          <cell r="I43">
            <v>21575</v>
          </cell>
          <cell r="J43">
            <v>0</v>
          </cell>
          <cell r="K43">
            <v>21575</v>
          </cell>
          <cell r="L43"/>
          <cell r="M43">
            <v>16740000</v>
          </cell>
          <cell r="N43">
            <v>0</v>
          </cell>
          <cell r="O43">
            <v>83700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83700</v>
          </cell>
          <cell r="X43">
            <v>0</v>
          </cell>
          <cell r="Y43">
            <v>0</v>
          </cell>
        </row>
        <row r="44">
          <cell r="A44">
            <v>46327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4315000</v>
          </cell>
          <cell r="G44">
            <v>0</v>
          </cell>
          <cell r="H44">
            <v>0</v>
          </cell>
          <cell r="I44">
            <v>21575</v>
          </cell>
          <cell r="J44">
            <v>0</v>
          </cell>
          <cell r="K44">
            <v>21575</v>
          </cell>
          <cell r="L44"/>
          <cell r="M44">
            <v>16740000</v>
          </cell>
          <cell r="N44">
            <v>0</v>
          </cell>
          <cell r="O44">
            <v>83700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83700</v>
          </cell>
          <cell r="X44">
            <v>0</v>
          </cell>
          <cell r="Y44">
            <v>0</v>
          </cell>
        </row>
        <row r="45">
          <cell r="A45">
            <v>46357</v>
          </cell>
          <cell r="B45">
            <v>0.06</v>
          </cell>
          <cell r="C45">
            <v>0.06</v>
          </cell>
          <cell r="D45">
            <v>1</v>
          </cell>
          <cell r="E45">
            <v>0</v>
          </cell>
          <cell r="F45">
            <v>4315000</v>
          </cell>
          <cell r="G45">
            <v>0</v>
          </cell>
          <cell r="H45">
            <v>0</v>
          </cell>
          <cell r="I45">
            <v>21575</v>
          </cell>
          <cell r="J45">
            <v>644775</v>
          </cell>
          <cell r="K45">
            <v>21575</v>
          </cell>
          <cell r="L45"/>
          <cell r="M45">
            <v>8785000</v>
          </cell>
          <cell r="N45">
            <v>7955000</v>
          </cell>
          <cell r="O45">
            <v>83700</v>
          </cell>
          <cell r="P45">
            <v>1004400</v>
          </cell>
          <cell r="Q45">
            <v>1004400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8038700</v>
          </cell>
          <cell r="X45">
            <v>8959400</v>
          </cell>
          <cell r="Y45">
            <v>0</v>
          </cell>
        </row>
        <row r="46">
          <cell r="A46">
            <v>46388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4315000</v>
          </cell>
          <cell r="G46">
            <v>0</v>
          </cell>
          <cell r="H46">
            <v>0</v>
          </cell>
          <cell r="I46">
            <v>21575</v>
          </cell>
          <cell r="J46">
            <v>0</v>
          </cell>
          <cell r="K46">
            <v>21575</v>
          </cell>
          <cell r="L46"/>
          <cell r="M46">
            <v>8785000</v>
          </cell>
          <cell r="N46">
            <v>0</v>
          </cell>
          <cell r="O46">
            <v>43925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43925</v>
          </cell>
          <cell r="X46">
            <v>0</v>
          </cell>
          <cell r="Y46">
            <v>0</v>
          </cell>
        </row>
        <row r="47">
          <cell r="A47">
            <v>46419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4315000</v>
          </cell>
          <cell r="G47">
            <v>0</v>
          </cell>
          <cell r="H47">
            <v>0</v>
          </cell>
          <cell r="I47">
            <v>21575</v>
          </cell>
          <cell r="J47">
            <v>0</v>
          </cell>
          <cell r="K47">
            <v>21575</v>
          </cell>
          <cell r="L47"/>
          <cell r="M47">
            <v>8785000</v>
          </cell>
          <cell r="N47">
            <v>0</v>
          </cell>
          <cell r="O47">
            <v>43925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43925</v>
          </cell>
          <cell r="X47">
            <v>0</v>
          </cell>
          <cell r="Y47">
            <v>0</v>
          </cell>
        </row>
        <row r="48">
          <cell r="A48">
            <v>46447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4315000</v>
          </cell>
          <cell r="G48">
            <v>0</v>
          </cell>
          <cell r="H48">
            <v>0</v>
          </cell>
          <cell r="I48">
            <v>21575</v>
          </cell>
          <cell r="J48">
            <v>0</v>
          </cell>
          <cell r="K48">
            <v>21575</v>
          </cell>
          <cell r="L48"/>
          <cell r="M48">
            <v>8785000</v>
          </cell>
          <cell r="N48">
            <v>0</v>
          </cell>
          <cell r="O48">
            <v>43925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43925</v>
          </cell>
          <cell r="X48">
            <v>0</v>
          </cell>
          <cell r="Y48">
            <v>0</v>
          </cell>
        </row>
        <row r="49">
          <cell r="A49">
            <v>46478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4315000</v>
          </cell>
          <cell r="G49">
            <v>0</v>
          </cell>
          <cell r="H49">
            <v>0</v>
          </cell>
          <cell r="I49">
            <v>21575</v>
          </cell>
          <cell r="J49">
            <v>0</v>
          </cell>
          <cell r="K49">
            <v>21575</v>
          </cell>
          <cell r="L49"/>
          <cell r="M49">
            <v>8785000</v>
          </cell>
          <cell r="N49">
            <v>0</v>
          </cell>
          <cell r="O49">
            <v>43925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43925</v>
          </cell>
          <cell r="X49">
            <v>0</v>
          </cell>
          <cell r="Y49">
            <v>0</v>
          </cell>
        </row>
        <row r="50">
          <cell r="A50">
            <v>46508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4315000</v>
          </cell>
          <cell r="G50">
            <v>0</v>
          </cell>
          <cell r="H50">
            <v>0</v>
          </cell>
          <cell r="I50">
            <v>21575</v>
          </cell>
          <cell r="J50">
            <v>0</v>
          </cell>
          <cell r="K50">
            <v>21575</v>
          </cell>
          <cell r="L50"/>
          <cell r="M50">
            <v>8785000</v>
          </cell>
          <cell r="N50">
            <v>0</v>
          </cell>
          <cell r="O50">
            <v>43925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43925</v>
          </cell>
          <cell r="X50">
            <v>0</v>
          </cell>
          <cell r="Y50">
            <v>0</v>
          </cell>
        </row>
        <row r="51">
          <cell r="A51">
            <v>46539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4315000</v>
          </cell>
          <cell r="G51">
            <v>0</v>
          </cell>
          <cell r="H51">
            <v>0</v>
          </cell>
          <cell r="I51">
            <v>21575</v>
          </cell>
          <cell r="J51">
            <v>0</v>
          </cell>
          <cell r="K51">
            <v>21575</v>
          </cell>
          <cell r="L51"/>
          <cell r="M51">
            <v>8785000</v>
          </cell>
          <cell r="N51">
            <v>0</v>
          </cell>
          <cell r="O51">
            <v>43925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43925</v>
          </cell>
          <cell r="X51">
            <v>0</v>
          </cell>
          <cell r="Y51">
            <v>0</v>
          </cell>
        </row>
        <row r="52">
          <cell r="A52">
            <v>46569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4315000</v>
          </cell>
          <cell r="G52">
            <v>0</v>
          </cell>
          <cell r="H52">
            <v>0</v>
          </cell>
          <cell r="I52">
            <v>21575</v>
          </cell>
          <cell r="J52">
            <v>0</v>
          </cell>
          <cell r="K52">
            <v>21575</v>
          </cell>
          <cell r="L52"/>
          <cell r="M52">
            <v>8785000</v>
          </cell>
          <cell r="N52">
            <v>0</v>
          </cell>
          <cell r="O52">
            <v>43925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43925</v>
          </cell>
          <cell r="X52">
            <v>0</v>
          </cell>
          <cell r="Y52">
            <v>0</v>
          </cell>
        </row>
        <row r="53">
          <cell r="A53">
            <v>46600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4315000</v>
          </cell>
          <cell r="G53">
            <v>0</v>
          </cell>
          <cell r="H53">
            <v>0</v>
          </cell>
          <cell r="I53">
            <v>21575</v>
          </cell>
          <cell r="J53">
            <v>0</v>
          </cell>
          <cell r="K53">
            <v>21575</v>
          </cell>
          <cell r="L53"/>
          <cell r="M53">
            <v>8785000</v>
          </cell>
          <cell r="N53">
            <v>0</v>
          </cell>
          <cell r="O53">
            <v>43925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43925</v>
          </cell>
          <cell r="X53">
            <v>0</v>
          </cell>
          <cell r="Y53">
            <v>0</v>
          </cell>
        </row>
        <row r="54">
          <cell r="A54">
            <v>46631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4315000</v>
          </cell>
          <cell r="G54">
            <v>4790740</v>
          </cell>
          <cell r="H54">
            <v>4315000</v>
          </cell>
          <cell r="I54">
            <v>21575</v>
          </cell>
          <cell r="J54">
            <v>0</v>
          </cell>
          <cell r="K54">
            <v>4336575</v>
          </cell>
          <cell r="L54"/>
          <cell r="M54">
            <v>8785000</v>
          </cell>
          <cell r="N54">
            <v>0</v>
          </cell>
          <cell r="O54">
            <v>43925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43925</v>
          </cell>
          <cell r="X54">
            <v>0</v>
          </cell>
          <cell r="Y54">
            <v>0</v>
          </cell>
        </row>
        <row r="55">
          <cell r="A55">
            <v>46661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/>
          <cell r="M55">
            <v>8785000</v>
          </cell>
          <cell r="N55">
            <v>0</v>
          </cell>
          <cell r="O55">
            <v>43925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43925</v>
          </cell>
          <cell r="X55">
            <v>0</v>
          </cell>
          <cell r="Y55">
            <v>0</v>
          </cell>
        </row>
        <row r="56">
          <cell r="A56">
            <v>46692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/>
          <cell r="M56">
            <v>8785000</v>
          </cell>
          <cell r="N56">
            <v>0</v>
          </cell>
          <cell r="O56">
            <v>43925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43925</v>
          </cell>
          <cell r="X56">
            <v>0</v>
          </cell>
          <cell r="Y56">
            <v>0</v>
          </cell>
        </row>
        <row r="57">
          <cell r="A57">
            <v>46722</v>
          </cell>
          <cell r="B57">
            <v>0.06</v>
          </cell>
          <cell r="C57">
            <v>0.06</v>
          </cell>
          <cell r="D57">
            <v>1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194175</v>
          </cell>
          <cell r="K57">
            <v>0</v>
          </cell>
          <cell r="L57"/>
          <cell r="M57">
            <v>0</v>
          </cell>
          <cell r="N57">
            <v>8785000</v>
          </cell>
          <cell r="O57">
            <v>43925</v>
          </cell>
          <cell r="P57">
            <v>527100</v>
          </cell>
          <cell r="Q57">
            <v>527100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8828925</v>
          </cell>
          <cell r="X57">
            <v>9312100</v>
          </cell>
          <cell r="Y57">
            <v>0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/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/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/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/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/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/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/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/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/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/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/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/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/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/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/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/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/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/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/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/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/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/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/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/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/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/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/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/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/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/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/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/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/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/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/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/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/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/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/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/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/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/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/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/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/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/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/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/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/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/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/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/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/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/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/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/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/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/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/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/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/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/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/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/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/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/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/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/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/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/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/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/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/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/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/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/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/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/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/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/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/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</row>
        <row r="145">
          <cell r="A145"/>
          <cell r="B145"/>
          <cell r="C145"/>
          <cell r="D145"/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/>
          <cell r="P145"/>
          <cell r="Q145"/>
          <cell r="R145"/>
          <cell r="S145"/>
          <cell r="T145"/>
          <cell r="U145"/>
          <cell r="V145"/>
          <cell r="W145"/>
          <cell r="X145"/>
          <cell r="Y145"/>
        </row>
        <row r="146">
          <cell r="A146"/>
          <cell r="D146"/>
          <cell r="E146"/>
          <cell r="F146"/>
          <cell r="H146"/>
          <cell r="I146"/>
          <cell r="J146"/>
          <cell r="K146"/>
          <cell r="L146"/>
        </row>
        <row r="147">
          <cell r="A147" t="str">
            <v>Total</v>
          </cell>
          <cell r="D147"/>
          <cell r="E147">
            <v>0</v>
          </cell>
          <cell r="G147">
            <v>46157465</v>
          </cell>
          <cell r="H147">
            <v>45275000</v>
          </cell>
          <cell r="I147">
            <v>3831883.333333333</v>
          </cell>
          <cell r="K147">
            <v>49106883.333333328</v>
          </cell>
          <cell r="N147">
            <v>45275000</v>
          </cell>
          <cell r="O147">
            <v>5159608.333333333</v>
          </cell>
          <cell r="P147">
            <v>5159608.333333333</v>
          </cell>
          <cell r="Q147">
            <v>5159608.333333333</v>
          </cell>
          <cell r="W147">
            <v>50434608.333333328</v>
          </cell>
        </row>
        <row r="148">
          <cell r="G148"/>
          <cell r="M148"/>
        </row>
        <row r="149">
          <cell r="G149"/>
          <cell r="M149"/>
        </row>
        <row r="150">
          <cell r="G150"/>
          <cell r="M150"/>
        </row>
      </sheetData>
      <sheetData sheetId="6">
        <row r="12">
          <cell r="K12">
            <v>120733.33333333333</v>
          </cell>
        </row>
        <row r="13">
          <cell r="K13">
            <v>226375</v>
          </cell>
        </row>
        <row r="14">
          <cell r="K14">
            <v>226375</v>
          </cell>
        </row>
        <row r="15">
          <cell r="K15">
            <v>226375</v>
          </cell>
        </row>
        <row r="16">
          <cell r="K16">
            <v>226375</v>
          </cell>
        </row>
        <row r="17">
          <cell r="K17">
            <v>226375</v>
          </cell>
        </row>
        <row r="18">
          <cell r="K18">
            <v>23491375</v>
          </cell>
        </row>
        <row r="19">
          <cell r="K19">
            <v>110050</v>
          </cell>
        </row>
        <row r="20">
          <cell r="K20">
            <v>110050</v>
          </cell>
        </row>
        <row r="21">
          <cell r="K21">
            <v>110050</v>
          </cell>
        </row>
        <row r="22">
          <cell r="K22">
            <v>110050</v>
          </cell>
        </row>
        <row r="23">
          <cell r="K23">
            <v>110050</v>
          </cell>
        </row>
        <row r="24">
          <cell r="K24">
            <v>110050</v>
          </cell>
        </row>
        <row r="25">
          <cell r="K25">
            <v>110050</v>
          </cell>
        </row>
        <row r="26">
          <cell r="K26">
            <v>110050</v>
          </cell>
        </row>
        <row r="27">
          <cell r="K27">
            <v>110050</v>
          </cell>
        </row>
        <row r="28">
          <cell r="K28">
            <v>110050</v>
          </cell>
        </row>
        <row r="29">
          <cell r="K29">
            <v>110050</v>
          </cell>
        </row>
        <row r="30">
          <cell r="K30">
            <v>9230050</v>
          </cell>
        </row>
        <row r="31">
          <cell r="K31">
            <v>64450</v>
          </cell>
        </row>
        <row r="32">
          <cell r="K32">
            <v>64450</v>
          </cell>
        </row>
        <row r="33">
          <cell r="K33">
            <v>64450</v>
          </cell>
        </row>
        <row r="34">
          <cell r="K34">
            <v>64450</v>
          </cell>
        </row>
        <row r="35">
          <cell r="K35">
            <v>64450</v>
          </cell>
        </row>
        <row r="36">
          <cell r="K36">
            <v>64450</v>
          </cell>
        </row>
        <row r="37">
          <cell r="K37">
            <v>64450</v>
          </cell>
        </row>
        <row r="38">
          <cell r="K38">
            <v>64450</v>
          </cell>
        </row>
        <row r="39">
          <cell r="K39">
            <v>64450</v>
          </cell>
        </row>
        <row r="40">
          <cell r="K40">
            <v>64450</v>
          </cell>
        </row>
        <row r="41">
          <cell r="K41">
            <v>64450</v>
          </cell>
        </row>
        <row r="42">
          <cell r="K42">
            <v>8639450</v>
          </cell>
        </row>
        <row r="43">
          <cell r="K43">
            <v>21575</v>
          </cell>
        </row>
        <row r="44">
          <cell r="K44">
            <v>21575</v>
          </cell>
        </row>
        <row r="45">
          <cell r="K45">
            <v>21575</v>
          </cell>
        </row>
        <row r="46">
          <cell r="K46">
            <v>21575</v>
          </cell>
        </row>
        <row r="47">
          <cell r="K47">
            <v>21575</v>
          </cell>
        </row>
        <row r="48">
          <cell r="K48">
            <v>21575</v>
          </cell>
        </row>
        <row r="49">
          <cell r="K49">
            <v>21575</v>
          </cell>
        </row>
        <row r="50">
          <cell r="K50">
            <v>21575</v>
          </cell>
        </row>
        <row r="51">
          <cell r="K51">
            <v>21575</v>
          </cell>
        </row>
        <row r="52">
          <cell r="K52">
            <v>21575</v>
          </cell>
        </row>
        <row r="53">
          <cell r="K53">
            <v>21575</v>
          </cell>
        </row>
        <row r="54">
          <cell r="K54">
            <v>4336575</v>
          </cell>
        </row>
        <row r="55">
          <cell r="K55">
            <v>0</v>
          </cell>
        </row>
        <row r="56">
          <cell r="K56">
            <v>0</v>
          </cell>
        </row>
        <row r="57">
          <cell r="K57">
            <v>0</v>
          </cell>
        </row>
        <row r="58">
          <cell r="K58">
            <v>0</v>
          </cell>
        </row>
        <row r="59">
          <cell r="K59">
            <v>0</v>
          </cell>
        </row>
        <row r="60">
          <cell r="K60">
            <v>0</v>
          </cell>
        </row>
        <row r="61">
          <cell r="K61">
            <v>0</v>
          </cell>
        </row>
        <row r="62">
          <cell r="K62">
            <v>0</v>
          </cell>
        </row>
        <row r="63">
          <cell r="K63">
            <v>0</v>
          </cell>
        </row>
        <row r="64">
          <cell r="K64">
            <v>0</v>
          </cell>
        </row>
        <row r="65">
          <cell r="K65">
            <v>0</v>
          </cell>
        </row>
        <row r="66">
          <cell r="K66">
            <v>0</v>
          </cell>
        </row>
        <row r="67">
          <cell r="K67">
            <v>0</v>
          </cell>
        </row>
        <row r="68">
          <cell r="K68">
            <v>0</v>
          </cell>
        </row>
        <row r="69">
          <cell r="K69">
            <v>0</v>
          </cell>
        </row>
        <row r="70">
          <cell r="K70">
            <v>0</v>
          </cell>
        </row>
        <row r="71">
          <cell r="K71">
            <v>0</v>
          </cell>
        </row>
        <row r="72">
          <cell r="K72">
            <v>0</v>
          </cell>
        </row>
        <row r="73">
          <cell r="K73">
            <v>0</v>
          </cell>
        </row>
        <row r="74">
          <cell r="K74">
            <v>0</v>
          </cell>
        </row>
        <row r="75">
          <cell r="K75">
            <v>0</v>
          </cell>
        </row>
        <row r="76">
          <cell r="K76">
            <v>0</v>
          </cell>
        </row>
        <row r="77">
          <cell r="K77">
            <v>0</v>
          </cell>
        </row>
        <row r="78">
          <cell r="K78">
            <v>0</v>
          </cell>
        </row>
        <row r="79">
          <cell r="K79">
            <v>0</v>
          </cell>
        </row>
        <row r="80">
          <cell r="K80">
            <v>0</v>
          </cell>
        </row>
        <row r="81">
          <cell r="K81">
            <v>0</v>
          </cell>
        </row>
        <row r="82">
          <cell r="K82">
            <v>0</v>
          </cell>
        </row>
        <row r="83">
          <cell r="K83">
            <v>0</v>
          </cell>
        </row>
        <row r="84">
          <cell r="K84">
            <v>0</v>
          </cell>
        </row>
        <row r="85">
          <cell r="K85">
            <v>0</v>
          </cell>
        </row>
        <row r="86">
          <cell r="K86">
            <v>0</v>
          </cell>
        </row>
        <row r="87">
          <cell r="K87">
            <v>0</v>
          </cell>
        </row>
        <row r="88">
          <cell r="K88">
            <v>0</v>
          </cell>
        </row>
        <row r="89">
          <cell r="K89">
            <v>0</v>
          </cell>
        </row>
        <row r="90">
          <cell r="K90">
            <v>0</v>
          </cell>
        </row>
        <row r="91">
          <cell r="K91">
            <v>0</v>
          </cell>
        </row>
        <row r="92">
          <cell r="K92">
            <v>0</v>
          </cell>
        </row>
        <row r="93">
          <cell r="K93">
            <v>0</v>
          </cell>
        </row>
        <row r="94">
          <cell r="K94">
            <v>0</v>
          </cell>
        </row>
        <row r="95">
          <cell r="K95">
            <v>0</v>
          </cell>
        </row>
        <row r="96">
          <cell r="K96">
            <v>0</v>
          </cell>
        </row>
        <row r="97">
          <cell r="K97">
            <v>0</v>
          </cell>
        </row>
        <row r="98">
          <cell r="K98">
            <v>0</v>
          </cell>
        </row>
        <row r="99">
          <cell r="K99">
            <v>0</v>
          </cell>
        </row>
        <row r="100">
          <cell r="K100">
            <v>0</v>
          </cell>
        </row>
        <row r="101">
          <cell r="K101">
            <v>0</v>
          </cell>
        </row>
        <row r="102">
          <cell r="K102">
            <v>0</v>
          </cell>
        </row>
        <row r="103">
          <cell r="K103">
            <v>0</v>
          </cell>
        </row>
        <row r="104">
          <cell r="K104">
            <v>0</v>
          </cell>
        </row>
        <row r="105">
          <cell r="K105">
            <v>0</v>
          </cell>
        </row>
        <row r="106">
          <cell r="K106">
            <v>0</v>
          </cell>
        </row>
        <row r="107">
          <cell r="K107">
            <v>0</v>
          </cell>
        </row>
        <row r="108">
          <cell r="K108">
            <v>0</v>
          </cell>
        </row>
        <row r="109">
          <cell r="K109">
            <v>0</v>
          </cell>
        </row>
        <row r="110">
          <cell r="K110">
            <v>0</v>
          </cell>
        </row>
        <row r="111">
          <cell r="K111">
            <v>0</v>
          </cell>
        </row>
        <row r="112">
          <cell r="K112">
            <v>0</v>
          </cell>
        </row>
        <row r="113">
          <cell r="K113">
            <v>0</v>
          </cell>
        </row>
        <row r="114">
          <cell r="K114">
            <v>0</v>
          </cell>
        </row>
        <row r="115">
          <cell r="K115">
            <v>0</v>
          </cell>
        </row>
        <row r="116">
          <cell r="K116">
            <v>0</v>
          </cell>
        </row>
        <row r="117">
          <cell r="K117">
            <v>0</v>
          </cell>
        </row>
        <row r="118">
          <cell r="K118">
            <v>0</v>
          </cell>
        </row>
        <row r="119">
          <cell r="K119">
            <v>0</v>
          </cell>
        </row>
        <row r="120">
          <cell r="K120">
            <v>0</v>
          </cell>
        </row>
        <row r="121">
          <cell r="K121">
            <v>0</v>
          </cell>
        </row>
        <row r="122">
          <cell r="K122">
            <v>0</v>
          </cell>
        </row>
        <row r="123">
          <cell r="K123">
            <v>0</v>
          </cell>
        </row>
        <row r="124">
          <cell r="K124">
            <v>0</v>
          </cell>
        </row>
        <row r="125">
          <cell r="K125">
            <v>0</v>
          </cell>
        </row>
        <row r="126">
          <cell r="K126">
            <v>0</v>
          </cell>
        </row>
        <row r="127">
          <cell r="K127">
            <v>0</v>
          </cell>
        </row>
        <row r="128">
          <cell r="K128">
            <v>0</v>
          </cell>
        </row>
        <row r="129">
          <cell r="K129">
            <v>0</v>
          </cell>
        </row>
        <row r="130">
          <cell r="K130">
            <v>0</v>
          </cell>
        </row>
        <row r="131">
          <cell r="K131">
            <v>0</v>
          </cell>
        </row>
        <row r="132">
          <cell r="K132">
            <v>0</v>
          </cell>
        </row>
        <row r="133">
          <cell r="K133">
            <v>0</v>
          </cell>
        </row>
        <row r="134">
          <cell r="K134">
            <v>0</v>
          </cell>
        </row>
        <row r="135">
          <cell r="K135">
            <v>0</v>
          </cell>
        </row>
        <row r="136">
          <cell r="K136">
            <v>0</v>
          </cell>
        </row>
        <row r="137">
          <cell r="K137">
            <v>0</v>
          </cell>
        </row>
        <row r="138">
          <cell r="K138">
            <v>0</v>
          </cell>
        </row>
        <row r="139">
          <cell r="K139">
            <v>0</v>
          </cell>
        </row>
        <row r="140">
          <cell r="K140">
            <v>0</v>
          </cell>
        </row>
        <row r="141">
          <cell r="K141">
            <v>0</v>
          </cell>
        </row>
        <row r="142">
          <cell r="K142">
            <v>0</v>
          </cell>
        </row>
        <row r="143">
          <cell r="K143">
            <v>0</v>
          </cell>
        </row>
        <row r="144">
          <cell r="K144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s - First"/>
      <sheetName val="Inputs - Second"/>
      <sheetName val="Capital Costs"/>
      <sheetName val="Sources and Uses - First"/>
      <sheetName val="Sources and Uses - Second"/>
      <sheetName val="Sources and Uses - Refunding"/>
      <sheetName val="Rates"/>
      <sheetName val="Summary"/>
      <sheetName val="Residential Development"/>
      <sheetName val="Comm Development"/>
      <sheetName val="Ops Rev &amp; Exp Projection"/>
      <sheetName val="Senior Lien DS - First"/>
      <sheetName val="Sub Lien DS - First (SA)"/>
      <sheetName val="Sub Lien DS - First (Annual)"/>
      <sheetName val="Senior Lien DS - Second"/>
      <sheetName val="Sub Lien DS - Second"/>
      <sheetName val="Senior Lien DS - Refunding"/>
      <sheetName val="CAPI Fund - First"/>
      <sheetName val="CAPI Fund - Second"/>
      <sheetName val="CALC Macro"/>
      <sheetName val="Scratch---&gt;&gt;&gt;"/>
      <sheetName val="DBC Output"/>
      <sheetName val="Development Build Projections"/>
      <sheetName val="Development Value Projections"/>
    </sheetNames>
    <sheetDataSet>
      <sheetData sheetId="0" refreshError="1"/>
      <sheetData sheetId="1" refreshError="1"/>
      <sheetData sheetId="2" refreshError="1"/>
      <sheetData sheetId="3" refreshError="1">
        <row r="11">
          <cell r="B11">
            <v>25695000</v>
          </cell>
          <cell r="D11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60628-EA4D-4106-847A-D29BCA64E7AF}">
  <sheetPr codeName="Sheet1"/>
  <dimension ref="B1:H146"/>
  <sheetViews>
    <sheetView zoomScaleNormal="100" workbookViewId="0">
      <selection activeCell="C31" sqref="C31"/>
    </sheetView>
  </sheetViews>
  <sheetFormatPr defaultRowHeight="15" x14ac:dyDescent="0.25"/>
  <cols>
    <col min="2" max="2" width="53.85546875" customWidth="1"/>
    <col min="3" max="4" width="50.85546875" customWidth="1"/>
    <col min="5" max="5" width="56.7109375" customWidth="1"/>
    <col min="7" max="7" width="19.140625" customWidth="1"/>
    <col min="8" max="8" width="17.5703125" customWidth="1"/>
  </cols>
  <sheetData>
    <row r="1" spans="2:7" ht="19.5" thickBot="1" x14ac:dyDescent="0.35">
      <c r="B1" s="180" t="s">
        <v>215</v>
      </c>
      <c r="C1" s="87"/>
      <c r="D1" s="87"/>
      <c r="E1" s="87"/>
    </row>
    <row r="2" spans="2:7" ht="15.75" thickBot="1" x14ac:dyDescent="0.3"/>
    <row r="3" spans="2:7" x14ac:dyDescent="0.25">
      <c r="B3" s="20" t="s">
        <v>23</v>
      </c>
      <c r="C3" s="20" t="s">
        <v>24</v>
      </c>
      <c r="D3" s="20" t="s">
        <v>25</v>
      </c>
      <c r="E3" s="20" t="s">
        <v>26</v>
      </c>
      <c r="G3" s="24" t="s">
        <v>67</v>
      </c>
    </row>
    <row r="4" spans="2:7" x14ac:dyDescent="0.25">
      <c r="G4" s="25" t="s">
        <v>68</v>
      </c>
    </row>
    <row r="5" spans="2:7" ht="15.75" thickBot="1" x14ac:dyDescent="0.3">
      <c r="B5" s="21" t="s">
        <v>27</v>
      </c>
      <c r="C5" s="21"/>
      <c r="D5" s="21"/>
      <c r="E5" s="22"/>
      <c r="G5" s="26" t="s">
        <v>69</v>
      </c>
    </row>
    <row r="6" spans="2:7" x14ac:dyDescent="0.25">
      <c r="B6" s="11" t="s">
        <v>28</v>
      </c>
      <c r="C6" s="123" t="s">
        <v>493</v>
      </c>
      <c r="D6" s="11" t="s">
        <v>153</v>
      </c>
    </row>
    <row r="7" spans="2:7" x14ac:dyDescent="0.25">
      <c r="B7" s="11" t="s">
        <v>150</v>
      </c>
      <c r="C7" s="123" t="s">
        <v>481</v>
      </c>
      <c r="D7" s="11" t="s">
        <v>151</v>
      </c>
    </row>
    <row r="8" spans="2:7" x14ac:dyDescent="0.25">
      <c r="B8" s="11" t="s">
        <v>30</v>
      </c>
      <c r="C8" s="123" t="s">
        <v>482</v>
      </c>
      <c r="D8" s="11" t="s">
        <v>152</v>
      </c>
    </row>
    <row r="9" spans="2:7" x14ac:dyDescent="0.25">
      <c r="B9" s="11" t="s">
        <v>29</v>
      </c>
      <c r="C9" s="11" t="str">
        <f>"Development Projections at " &amp; TEXT(MILL_LEVY_DS_TARGET,"0.000") &amp; " Mills for Debt Service"</f>
        <v>Development Projections at 3.000 Mills for Debt Service</v>
      </c>
      <c r="D9" s="11" t="s">
        <v>154</v>
      </c>
    </row>
    <row r="10" spans="2:7" x14ac:dyDescent="0.25">
      <c r="B10" s="11" t="s">
        <v>31</v>
      </c>
      <c r="C10" s="11"/>
      <c r="D10" s="11" t="s">
        <v>32</v>
      </c>
    </row>
    <row r="11" spans="2:7" x14ac:dyDescent="0.25">
      <c r="B11" s="11" t="s">
        <v>224</v>
      </c>
      <c r="C11" s="123" t="s">
        <v>478</v>
      </c>
      <c r="D11" s="11" t="s">
        <v>223</v>
      </c>
    </row>
    <row r="12" spans="2:7" x14ac:dyDescent="0.25">
      <c r="B12" s="11" t="s">
        <v>159</v>
      </c>
      <c r="C12" s="11" t="str">
        <f>"Series " &amp; TEXT(YEAR(DELIVERY),0) &amp; "A"</f>
        <v>Series 2024A</v>
      </c>
      <c r="D12" s="11" t="s">
        <v>160</v>
      </c>
    </row>
    <row r="13" spans="2:7" x14ac:dyDescent="0.25">
      <c r="B13" s="11" t="s">
        <v>86</v>
      </c>
      <c r="C13" s="11" t="str">
        <f>"Series "&amp;TEXT(YEAR(DELIVERY),0)&amp;"B"</f>
        <v>Series 2024B</v>
      </c>
      <c r="D13" s="11" t="s">
        <v>161</v>
      </c>
    </row>
    <row r="14" spans="2:7" x14ac:dyDescent="0.25">
      <c r="B14" s="11" t="s">
        <v>254</v>
      </c>
      <c r="C14" s="11" t="str">
        <f>"Series " &amp; TEXT(YEAR(PREMIUM_CALL_FIRST),0)</f>
        <v>Series 2029</v>
      </c>
      <c r="D14" s="11" t="s">
        <v>255</v>
      </c>
    </row>
    <row r="15" spans="2:7" x14ac:dyDescent="0.25">
      <c r="B15" s="11"/>
      <c r="C15" s="11"/>
      <c r="D15" s="11"/>
    </row>
    <row r="16" spans="2:7" x14ac:dyDescent="0.25">
      <c r="B16" s="11" t="s">
        <v>217</v>
      </c>
      <c r="C16" s="328" t="s">
        <v>69</v>
      </c>
      <c r="D16" s="11" t="s">
        <v>218</v>
      </c>
      <c r="E16" s="139" t="s">
        <v>216</v>
      </c>
    </row>
    <row r="17" spans="2:5" x14ac:dyDescent="0.25">
      <c r="B17" s="11" t="s">
        <v>252</v>
      </c>
      <c r="C17" s="347" t="s">
        <v>69</v>
      </c>
      <c r="D17" s="11" t="s">
        <v>253</v>
      </c>
    </row>
    <row r="18" spans="2:5" x14ac:dyDescent="0.25">
      <c r="B18" s="21" t="s">
        <v>33</v>
      </c>
      <c r="C18" s="21"/>
      <c r="D18" s="21"/>
      <c r="E18" s="22"/>
    </row>
    <row r="19" spans="2:5" x14ac:dyDescent="0.25">
      <c r="B19" s="11" t="s">
        <v>80</v>
      </c>
      <c r="C19" s="128">
        <v>400000</v>
      </c>
      <c r="D19" s="11" t="s">
        <v>130</v>
      </c>
    </row>
    <row r="20" spans="2:5" x14ac:dyDescent="0.25">
      <c r="B20" s="11" t="s">
        <v>263</v>
      </c>
      <c r="C20" s="128">
        <v>200000</v>
      </c>
      <c r="D20" s="11" t="s">
        <v>264</v>
      </c>
    </row>
    <row r="21" spans="2:5" x14ac:dyDescent="0.25">
      <c r="B21" s="11" t="s">
        <v>131</v>
      </c>
      <c r="C21" s="198">
        <v>0.01</v>
      </c>
      <c r="D21" s="11" t="s">
        <v>133</v>
      </c>
    </row>
    <row r="22" spans="2:5" x14ac:dyDescent="0.25">
      <c r="B22" s="11" t="s">
        <v>132</v>
      </c>
      <c r="C22" s="198">
        <v>1.4999999999999999E-2</v>
      </c>
      <c r="D22" s="11" t="s">
        <v>134</v>
      </c>
    </row>
    <row r="23" spans="2:5" x14ac:dyDescent="0.25">
      <c r="B23" s="11" t="s">
        <v>265</v>
      </c>
      <c r="C23" s="198">
        <v>5.0000000000000001E-3</v>
      </c>
      <c r="D23" s="11" t="s">
        <v>266</v>
      </c>
    </row>
    <row r="24" spans="2:5" x14ac:dyDescent="0.25">
      <c r="B24" s="11" t="s">
        <v>298</v>
      </c>
      <c r="C24" s="198">
        <v>0</v>
      </c>
      <c r="D24" s="11" t="s">
        <v>299</v>
      </c>
    </row>
    <row r="25" spans="2:5" x14ac:dyDescent="0.25">
      <c r="B25" s="11" t="s">
        <v>431</v>
      </c>
      <c r="C25" s="128">
        <v>4000</v>
      </c>
      <c r="D25" s="11" t="s">
        <v>300</v>
      </c>
    </row>
    <row r="26" spans="2:5" x14ac:dyDescent="0.25">
      <c r="B26" s="11" t="s">
        <v>432</v>
      </c>
      <c r="C26" s="128">
        <v>3000</v>
      </c>
      <c r="D26" s="11" t="s">
        <v>430</v>
      </c>
    </row>
    <row r="27" spans="2:5" x14ac:dyDescent="0.25">
      <c r="B27" s="11"/>
      <c r="C27" s="11"/>
      <c r="D27" s="11"/>
      <c r="E27" s="8"/>
    </row>
    <row r="28" spans="2:5" x14ac:dyDescent="0.25">
      <c r="B28" s="11"/>
      <c r="C28" s="11"/>
      <c r="D28" s="11"/>
    </row>
    <row r="29" spans="2:5" x14ac:dyDescent="0.25">
      <c r="B29" s="21" t="s">
        <v>34</v>
      </c>
      <c r="C29" s="21"/>
      <c r="D29" s="21"/>
      <c r="E29" s="22"/>
    </row>
    <row r="30" spans="2:5" x14ac:dyDescent="0.25">
      <c r="B30" s="11" t="s">
        <v>116</v>
      </c>
      <c r="C30" s="125">
        <v>45561</v>
      </c>
      <c r="D30" s="11" t="s">
        <v>119</v>
      </c>
    </row>
    <row r="31" spans="2:5" x14ac:dyDescent="0.25">
      <c r="B31" s="11" t="s">
        <v>258</v>
      </c>
      <c r="C31" s="130">
        <f>PREMIUM_CALL_FIRST</f>
        <v>47178</v>
      </c>
      <c r="D31" s="11" t="s">
        <v>259</v>
      </c>
      <c r="E31" s="203"/>
    </row>
    <row r="32" spans="2:5" x14ac:dyDescent="0.25">
      <c r="B32" s="11" t="s">
        <v>156</v>
      </c>
      <c r="C32" s="125">
        <v>45717</v>
      </c>
      <c r="D32" s="11" t="s">
        <v>120</v>
      </c>
      <c r="E32" s="404" t="s">
        <v>511</v>
      </c>
    </row>
    <row r="33" spans="2:5" x14ac:dyDescent="0.25">
      <c r="B33" s="11" t="s">
        <v>157</v>
      </c>
      <c r="C33" s="125">
        <v>45731</v>
      </c>
      <c r="D33" s="11" t="s">
        <v>158</v>
      </c>
      <c r="E33" s="404" t="s">
        <v>512</v>
      </c>
    </row>
    <row r="34" spans="2:5" x14ac:dyDescent="0.25">
      <c r="B34" s="11" t="s">
        <v>260</v>
      </c>
      <c r="C34" s="12">
        <f>IF(MIN((DATE(YEAR(DELIVERY_REFUNDING),PRIN_MATURITY,PRIN_MATURITY_DAY_SENIOR)),(DATE(YEAR(DELIVERY_REFUNDING),INT_MATURITY,PRIN_MATURITY_DAY_SENIOR)))&lt;=DELIVERY_REFUNDING,MIN(DATE(YEAR(EDATE(DELIVERY_REFUNDING,6)),PRIN_MATURITY,PRIN_MATURITY_DAY_SENIOR),DATE(YEAR(EDATE(DELIVERY_REFUNDING,6)),INT_MATURITY,PRIN_MATURITY_DAY_SENIOR)),MIN((DATE(YEAR(DELIVERY_REFUNDING),PRIN_MATURITY,PRIN_MATURITY_DAY_SENIOR)),(DATE(YEAR(DELIVERY_REFUNDING),INT_MATURITY,PRIN_MATURITY_DAY_SENIOR))))</f>
        <v>47178</v>
      </c>
      <c r="D34" s="11" t="s">
        <v>261</v>
      </c>
    </row>
    <row r="35" spans="2:5" x14ac:dyDescent="0.25">
      <c r="B35" s="11" t="s">
        <v>124</v>
      </c>
      <c r="C35" s="12">
        <f>DATE(YEAR((EDATE(_xlfn.MAXIFS('Residential Development'!$CD$14:$CD$39,'Residential Development'!$CQ$14:$CQ$39,"&gt;0"),-12))),PRIN_MATURITY,PRIN_MATURITY_DAY_SENIOR)</f>
        <v>46813</v>
      </c>
      <c r="D35" s="11" t="s">
        <v>125</v>
      </c>
    </row>
    <row r="36" spans="2:5" x14ac:dyDescent="0.25">
      <c r="B36" s="11" t="s">
        <v>174</v>
      </c>
      <c r="C36" s="76">
        <f>YEARFRAC(DELIVERY,FIRST_INT)</f>
        <v>0.43055555555555558</v>
      </c>
      <c r="D36" s="11" t="s">
        <v>135</v>
      </c>
    </row>
    <row r="37" spans="2:5" x14ac:dyDescent="0.25">
      <c r="B37" s="11" t="s">
        <v>267</v>
      </c>
      <c r="C37" s="76">
        <f>YEARFRAC(DELIVERY_REFUNDING,FIRST_INT_REFUNDING)</f>
        <v>0</v>
      </c>
      <c r="D37" s="11" t="s">
        <v>268</v>
      </c>
    </row>
    <row r="38" spans="2:5" x14ac:dyDescent="0.25">
      <c r="B38" s="11" t="s">
        <v>175</v>
      </c>
      <c r="C38" s="76">
        <f>YEARFRAC(DELIVERY,FIRST_INT_SUB)</f>
        <v>0.46944444444444444</v>
      </c>
      <c r="D38" s="11" t="s">
        <v>176</v>
      </c>
    </row>
    <row r="39" spans="2:5" x14ac:dyDescent="0.25">
      <c r="B39" s="11" t="s">
        <v>136</v>
      </c>
      <c r="C39" s="76">
        <f>YEARFRAC(DELIVERY,FIRST_INT)</f>
        <v>0.43055555555555558</v>
      </c>
      <c r="D39" s="11" t="s">
        <v>137</v>
      </c>
    </row>
    <row r="40" spans="2:5" x14ac:dyDescent="0.25">
      <c r="B40" s="11" t="s">
        <v>117</v>
      </c>
      <c r="C40" s="12">
        <f>FIRST_INT</f>
        <v>45717</v>
      </c>
      <c r="D40" s="11" t="s">
        <v>121</v>
      </c>
    </row>
    <row r="41" spans="2:5" x14ac:dyDescent="0.25">
      <c r="B41" s="11" t="s">
        <v>118</v>
      </c>
      <c r="C41" s="12">
        <f>DATE(YEAR(EDATE(DELIVERY,CAPI_TERM)),MIN(PRIN_MATURITY,MONTH(EDATE(DELIVERY,CAPI_TERM))),PRIN_MATURITY_DAY_SENIOR)</f>
        <v>46447</v>
      </c>
      <c r="D41" s="11" t="s">
        <v>123</v>
      </c>
      <c r="E41" s="15" t="s">
        <v>225</v>
      </c>
    </row>
    <row r="42" spans="2:5" x14ac:dyDescent="0.25">
      <c r="B42" s="11" t="s">
        <v>66</v>
      </c>
      <c r="C42" s="305" t="s">
        <v>68</v>
      </c>
      <c r="D42" s="11" t="s">
        <v>70</v>
      </c>
    </row>
    <row r="43" spans="2:5" x14ac:dyDescent="0.25">
      <c r="B43" s="11" t="s">
        <v>72</v>
      </c>
      <c r="C43" s="123">
        <v>36</v>
      </c>
      <c r="D43" s="11" t="s">
        <v>71</v>
      </c>
    </row>
    <row r="44" spans="2:5" x14ac:dyDescent="0.25">
      <c r="B44" s="11" t="s">
        <v>145</v>
      </c>
      <c r="C44" s="305" t="s">
        <v>68</v>
      </c>
      <c r="D44" s="11" t="s">
        <v>146</v>
      </c>
      <c r="E44" s="302" t="s">
        <v>184</v>
      </c>
    </row>
    <row r="45" spans="2:5" x14ac:dyDescent="0.25">
      <c r="B45" s="11" t="s">
        <v>271</v>
      </c>
      <c r="C45" s="140">
        <f ca="1">IF(SURPLUS_ON_OFF="Yes", MIN('Sources and Uses - First'!$B$12*0.1,AVERAGEIF('Senior Lien DS - First'!$J$11:$J$93,"&lt;&gt;0")*1.25,_xlfn.MAXIFS('Senior Lien DS - First'!$J$11:$J$73,'Senior Lien DS - First'!$A$11:$A$73,"&lt;="&amp;SURPLUS_FUND_RELEASE_DATE)),0)</f>
        <v>545055.38917824067</v>
      </c>
      <c r="D45" s="11" t="s">
        <v>87</v>
      </c>
      <c r="E45" s="15"/>
    </row>
    <row r="46" spans="2:5" x14ac:dyDescent="0.25">
      <c r="B46" s="11" t="s">
        <v>273</v>
      </c>
      <c r="C46" s="12">
        <f>MAX(EDATE(DATE(YEAR(DELIVERY),PRIN_MATURITY,DAY(FIRST_PRIN)),12*FINAL_MAT_YRS),EDATE(DATE(YEAR(FIRST_INT),PRIN_MATURITY,DAY(FIRST_PRIN)),12*FINAL_MAT_YRS))</f>
        <v>56309</v>
      </c>
      <c r="D46" s="11" t="s">
        <v>141</v>
      </c>
    </row>
    <row r="47" spans="2:5" x14ac:dyDescent="0.25">
      <c r="B47" s="11" t="s">
        <v>269</v>
      </c>
      <c r="C47" s="140">
        <f ca="1">IF(SURPLUS_ON_OFF="Yes", _xlfn.MAXIFS('Senior Lien DS - First'!$J$11:$J$73,'Senior Lien DS - First'!$A$11:$A$73,"&lt;"&amp;SURPLUS_FUND_RELEASE_DATE),0)*0</f>
        <v>0</v>
      </c>
      <c r="D47" s="11" t="s">
        <v>147</v>
      </c>
      <c r="E47" s="15"/>
    </row>
    <row r="48" spans="2:5" x14ac:dyDescent="0.25">
      <c r="B48" s="11" t="s">
        <v>247</v>
      </c>
      <c r="C48" s="305" t="s">
        <v>68</v>
      </c>
      <c r="D48" s="11" t="s">
        <v>248</v>
      </c>
      <c r="E48" s="15"/>
    </row>
    <row r="49" spans="2:8" x14ac:dyDescent="0.25">
      <c r="B49" s="11" t="s">
        <v>270</v>
      </c>
      <c r="C49" s="140">
        <f>IF(REFUND_FINANCING="No",0,IF(SURPLUS_ON_OFF="Yes", MIN('Sources and Uses - Refunding'!$B$12*0.1,AVERAGEIF('Senior Lien DS - Refunding'!$J$11:$J$93,"&lt;&gt;0")*1.25,_xlfn.MAXIFS('Senior Lien DS - Refunding'!$J$11:$J$73,'Senior Lien DS - Refunding'!$A$11:$A$73,"&lt;="&amp;SURPLUS_FUND_RELEASE_DATE_REFUNDING)),0))</f>
        <v>0</v>
      </c>
      <c r="D49" s="11" t="s">
        <v>275</v>
      </c>
      <c r="E49" s="15" t="s">
        <v>272</v>
      </c>
    </row>
    <row r="50" spans="2:8" x14ac:dyDescent="0.25">
      <c r="B50" s="11" t="s">
        <v>274</v>
      </c>
      <c r="C50" s="12">
        <f>MAX(EDATE(DATE(YEAR(DELIVERY_REFUNDING),PRIN_MATURITY,DAY(FIRST_PRIN)),12*FINAL_MAT_YRS_REFUNDING),EDATE(DATE(YEAR(FIRST_INT),PRIN_MATURITY,DAY(FIRST_PRIN)),12*FINAL_MAT_YRS_REFUNDING))</f>
        <v>58135</v>
      </c>
      <c r="D50" s="11" t="s">
        <v>278</v>
      </c>
      <c r="E50" s="15"/>
    </row>
    <row r="51" spans="2:8" x14ac:dyDescent="0.25">
      <c r="B51" s="11" t="s">
        <v>270</v>
      </c>
      <c r="C51" s="140">
        <f>IF(SURPLUS_ON_OFF="Yes", MAX(_xlfn.MAXIFS('Senior Lien DS - Refunding'!$J$11:$J$73,'Senior Lien DS - Refunding'!$A$11:$A$73,"&lt;"&amp;SURPLUS_FUND_RELEASE_DATE_REFUNDING),SURPLUS_FUND_DEPOSIT_REFUNDING),0)*1</f>
        <v>0</v>
      </c>
      <c r="D51" s="11" t="s">
        <v>279</v>
      </c>
      <c r="E51" s="15"/>
    </row>
    <row r="52" spans="2:8" x14ac:dyDescent="0.25">
      <c r="B52" s="11" t="s">
        <v>169</v>
      </c>
      <c r="C52" s="12">
        <f>EDATE(DATE(YEAR(DELIVERY),PRIN_MATURITY,PRIN_MATURITY_DAY_SUB),12*FINAL_MAT_SUB_YRS)</f>
        <v>56323</v>
      </c>
      <c r="D52" s="11" t="s">
        <v>168</v>
      </c>
      <c r="E52" s="15"/>
    </row>
    <row r="53" spans="2:8" x14ac:dyDescent="0.25">
      <c r="B53" s="11" t="s">
        <v>249</v>
      </c>
      <c r="C53" s="196">
        <v>10000</v>
      </c>
      <c r="D53" s="11" t="s">
        <v>250</v>
      </c>
      <c r="E53" s="15"/>
    </row>
    <row r="54" spans="2:8" x14ac:dyDescent="0.25">
      <c r="B54" s="313">
        <v>5</v>
      </c>
      <c r="C54" s="12">
        <f>EDATE(MIN((DATE(YEAR(DELIVERY),PRIN_MATURITY,PRIN_MATURITY_DAY_SENIOR)),(DATE(YEAR(DELIVERY),INT_MATURITY,PRIN_MATURITY_DAY_SENIOR))),$B$54*12)</f>
        <v>47178</v>
      </c>
      <c r="D54" s="11" t="s">
        <v>448</v>
      </c>
      <c r="E54" s="15"/>
    </row>
    <row r="55" spans="2:8" x14ac:dyDescent="0.25">
      <c r="B55" s="11" t="s">
        <v>447</v>
      </c>
      <c r="C55" s="123">
        <v>103</v>
      </c>
      <c r="D55" s="11" t="s">
        <v>449</v>
      </c>
      <c r="E55" s="15"/>
    </row>
    <row r="56" spans="2:8" x14ac:dyDescent="0.25">
      <c r="B56" s="119">
        <v>7</v>
      </c>
      <c r="C56" s="12">
        <f>EDATE(MIN((DATE(YEAR(DELIVERY),PRIN_MATURITY,PRIN_MATURITY_DAY_SENIOR)),(DATE(YEAR(DELIVERY),INT_MATURITY,PRIN_MATURITY_DAY_SENIOR))),$B$56*12)</f>
        <v>47908</v>
      </c>
      <c r="D56" s="11" t="s">
        <v>122</v>
      </c>
    </row>
    <row r="57" spans="2:8" x14ac:dyDescent="0.25">
      <c r="B57" s="11" t="s">
        <v>166</v>
      </c>
      <c r="C57" s="123">
        <v>29</v>
      </c>
      <c r="D57" s="11" t="s">
        <v>48</v>
      </c>
    </row>
    <row r="58" spans="2:8" x14ac:dyDescent="0.25">
      <c r="B58" s="11" t="s">
        <v>165</v>
      </c>
      <c r="C58" s="123">
        <v>30</v>
      </c>
      <c r="D58" s="11" t="s">
        <v>167</v>
      </c>
      <c r="E58" s="15" t="s">
        <v>291</v>
      </c>
    </row>
    <row r="59" spans="2:8" x14ac:dyDescent="0.25">
      <c r="B59" s="11" t="s">
        <v>276</v>
      </c>
      <c r="C59" s="123">
        <v>30</v>
      </c>
      <c r="D59" s="11" t="s">
        <v>277</v>
      </c>
    </row>
    <row r="60" spans="2:8" x14ac:dyDescent="0.25">
      <c r="B60" s="11" t="s">
        <v>51</v>
      </c>
      <c r="C60" s="123">
        <v>3</v>
      </c>
      <c r="D60" s="11" t="s">
        <v>49</v>
      </c>
    </row>
    <row r="61" spans="2:8" x14ac:dyDescent="0.25">
      <c r="B61" s="11" t="s">
        <v>52</v>
      </c>
      <c r="C61" s="11">
        <f>IF(PRIN_MATURITY&gt;6,PRIN_MATURITY-6,PRIN_MATURITY+6)</f>
        <v>9</v>
      </c>
      <c r="D61" s="11" t="s">
        <v>50</v>
      </c>
      <c r="E61" s="15"/>
    </row>
    <row r="62" spans="2:8" ht="15.75" thickBot="1" x14ac:dyDescent="0.3">
      <c r="B62" s="11" t="s">
        <v>170</v>
      </c>
      <c r="C62" s="123">
        <v>1</v>
      </c>
      <c r="D62" s="11" t="s">
        <v>172</v>
      </c>
      <c r="E62" s="15"/>
    </row>
    <row r="63" spans="2:8" x14ac:dyDescent="0.25">
      <c r="B63" s="11" t="s">
        <v>171</v>
      </c>
      <c r="C63" s="123">
        <v>15</v>
      </c>
      <c r="D63" s="11" t="s">
        <v>173</v>
      </c>
      <c r="E63" s="15"/>
      <c r="G63" s="329" t="s">
        <v>457</v>
      </c>
      <c r="H63" s="330" t="s">
        <v>458</v>
      </c>
    </row>
    <row r="64" spans="2:8" x14ac:dyDescent="0.25">
      <c r="B64" s="11" t="s">
        <v>455</v>
      </c>
      <c r="C64" s="305" t="s">
        <v>69</v>
      </c>
      <c r="D64" s="11" t="s">
        <v>456</v>
      </c>
      <c r="E64" s="15"/>
      <c r="F64" t="s">
        <v>459</v>
      </c>
      <c r="G64" s="333">
        <v>0.05</v>
      </c>
      <c r="H64" s="334">
        <v>5.8749999999999997E-2</v>
      </c>
    </row>
    <row r="65" spans="2:8" ht="15.75" thickBot="1" x14ac:dyDescent="0.3">
      <c r="B65" s="11" t="s">
        <v>126</v>
      </c>
      <c r="C65" s="335">
        <f>IF(IG_RATED="Yes",G64,H64)</f>
        <v>5.8749999999999997E-2</v>
      </c>
      <c r="D65" s="11" t="s">
        <v>128</v>
      </c>
      <c r="E65" s="15"/>
      <c r="F65" t="s">
        <v>460</v>
      </c>
      <c r="G65" s="331">
        <v>7.0000000000000007E-2</v>
      </c>
      <c r="H65" s="332">
        <v>8.1250000000000003E-2</v>
      </c>
    </row>
    <row r="66" spans="2:8" x14ac:dyDescent="0.25">
      <c r="B66" s="11" t="s">
        <v>256</v>
      </c>
      <c r="C66" s="198">
        <v>4.4999999999999998E-2</v>
      </c>
      <c r="D66" s="11" t="s">
        <v>257</v>
      </c>
      <c r="E66" s="15"/>
    </row>
    <row r="67" spans="2:8" x14ac:dyDescent="0.25">
      <c r="B67" s="11" t="s">
        <v>127</v>
      </c>
      <c r="C67" s="335">
        <f>IF(IG_RATED="Yes",G65,H65)</f>
        <v>8.1250000000000003E-2</v>
      </c>
      <c r="D67" s="11" t="s">
        <v>129</v>
      </c>
      <c r="E67" s="15"/>
    </row>
    <row r="68" spans="2:8" x14ac:dyDescent="0.25">
      <c r="B68" s="11" t="s">
        <v>53</v>
      </c>
      <c r="C68" s="124">
        <v>1.3</v>
      </c>
      <c r="D68" s="11" t="s">
        <v>54</v>
      </c>
    </row>
    <row r="69" spans="2:8" x14ac:dyDescent="0.25">
      <c r="B69" s="11" t="s">
        <v>55</v>
      </c>
      <c r="C69" s="124">
        <v>1</v>
      </c>
      <c r="D69" s="11" t="s">
        <v>56</v>
      </c>
    </row>
    <row r="70" spans="2:8" x14ac:dyDescent="0.25">
      <c r="B70" s="11" t="s">
        <v>466</v>
      </c>
      <c r="C70" s="124">
        <v>1.2</v>
      </c>
      <c r="D70" s="11" t="s">
        <v>467</v>
      </c>
    </row>
    <row r="71" spans="2:8" x14ac:dyDescent="0.25">
      <c r="B71" s="11" t="s">
        <v>115</v>
      </c>
      <c r="C71" s="123">
        <v>2023</v>
      </c>
      <c r="D71" s="11" t="s">
        <v>73</v>
      </c>
    </row>
    <row r="72" spans="2:8" x14ac:dyDescent="0.25">
      <c r="B72" s="11" t="s">
        <v>90</v>
      </c>
      <c r="C72" s="125">
        <v>45292</v>
      </c>
      <c r="D72" s="11" t="s">
        <v>91</v>
      </c>
    </row>
    <row r="73" spans="2:8" x14ac:dyDescent="0.25">
      <c r="B73" s="11" t="s">
        <v>36</v>
      </c>
      <c r="C73" s="126">
        <v>0.03</v>
      </c>
      <c r="D73" s="11" t="s">
        <v>37</v>
      </c>
    </row>
    <row r="74" spans="2:8" x14ac:dyDescent="0.25">
      <c r="B74" s="11" t="s">
        <v>244</v>
      </c>
      <c r="C74" s="126">
        <v>0.01</v>
      </c>
      <c r="D74" s="11" t="s">
        <v>245</v>
      </c>
    </row>
    <row r="75" spans="2:8" x14ac:dyDescent="0.25">
      <c r="B75" s="11" t="s">
        <v>235</v>
      </c>
      <c r="C75" s="127">
        <v>1</v>
      </c>
      <c r="D75" s="11" t="s">
        <v>234</v>
      </c>
    </row>
    <row r="76" spans="2:8" x14ac:dyDescent="0.25">
      <c r="B76" s="11" t="s">
        <v>236</v>
      </c>
      <c r="C76" s="125">
        <v>44531</v>
      </c>
      <c r="D76" s="11" t="s">
        <v>237</v>
      </c>
    </row>
    <row r="77" spans="2:8" x14ac:dyDescent="0.25">
      <c r="B77" s="11" t="s">
        <v>407</v>
      </c>
      <c r="C77" s="126">
        <v>0.01</v>
      </c>
      <c r="D77" s="11" t="s">
        <v>42</v>
      </c>
      <c r="E77" t="s">
        <v>428</v>
      </c>
      <c r="F77" s="23"/>
    </row>
    <row r="78" spans="2:8" x14ac:dyDescent="0.25">
      <c r="B78" s="11" t="s">
        <v>408</v>
      </c>
      <c r="C78" s="126">
        <v>0.01</v>
      </c>
      <c r="D78" s="11" t="s">
        <v>409</v>
      </c>
      <c r="E78" t="s">
        <v>429</v>
      </c>
      <c r="F78" s="23"/>
    </row>
    <row r="79" spans="2:8" x14ac:dyDescent="0.25">
      <c r="B79" s="11" t="s">
        <v>163</v>
      </c>
      <c r="C79" s="126">
        <v>0.02</v>
      </c>
      <c r="D79" s="11" t="s">
        <v>164</v>
      </c>
      <c r="F79" s="23"/>
    </row>
    <row r="80" spans="2:8" x14ac:dyDescent="0.25">
      <c r="B80" s="11" t="s">
        <v>304</v>
      </c>
      <c r="C80" s="126">
        <v>7.1999999999999995E-2</v>
      </c>
      <c r="D80" s="11" t="s">
        <v>305</v>
      </c>
    </row>
    <row r="81" spans="2:5" x14ac:dyDescent="0.25">
      <c r="B81" s="11" t="s">
        <v>40</v>
      </c>
      <c r="C81" s="126">
        <v>0.55000000000000004</v>
      </c>
      <c r="D81" s="11" t="s">
        <v>38</v>
      </c>
    </row>
    <row r="82" spans="2:5" x14ac:dyDescent="0.25">
      <c r="B82" s="11" t="s">
        <v>41</v>
      </c>
      <c r="C82" s="13">
        <f>TABOR_CURRENT</f>
        <v>0.55000000000000004</v>
      </c>
      <c r="D82" s="11" t="s">
        <v>39</v>
      </c>
    </row>
    <row r="83" spans="2:5" x14ac:dyDescent="0.25">
      <c r="B83" s="11" t="s">
        <v>45</v>
      </c>
      <c r="C83" s="126">
        <v>0.98</v>
      </c>
      <c r="D83" s="11" t="s">
        <v>46</v>
      </c>
    </row>
    <row r="84" spans="2:5" x14ac:dyDescent="0.25">
      <c r="B84" s="11" t="s">
        <v>65</v>
      </c>
      <c r="C84" s="126">
        <v>0</v>
      </c>
      <c r="D84" s="11" t="s">
        <v>47</v>
      </c>
    </row>
    <row r="85" spans="2:5" x14ac:dyDescent="0.25">
      <c r="B85" s="11" t="s">
        <v>362</v>
      </c>
      <c r="C85" s="196">
        <v>0</v>
      </c>
      <c r="D85" s="11" t="s">
        <v>363</v>
      </c>
    </row>
    <row r="86" spans="2:5" x14ac:dyDescent="0.25">
      <c r="B86" s="11" t="s">
        <v>43</v>
      </c>
      <c r="C86" s="126">
        <v>2.5000000000000001E-2</v>
      </c>
      <c r="D86" s="11" t="s">
        <v>44</v>
      </c>
    </row>
    <row r="87" spans="2:5" x14ac:dyDescent="0.25">
      <c r="B87" s="11" t="s">
        <v>335</v>
      </c>
      <c r="C87" s="11" t="s">
        <v>69</v>
      </c>
      <c r="D87" s="11" t="s">
        <v>334</v>
      </c>
    </row>
    <row r="88" spans="2:5" x14ac:dyDescent="0.25">
      <c r="B88" s="11" t="s">
        <v>302</v>
      </c>
      <c r="C88" s="327">
        <v>3</v>
      </c>
      <c r="D88" s="11" t="s">
        <v>303</v>
      </c>
      <c r="E88" t="s">
        <v>307</v>
      </c>
    </row>
    <row r="89" spans="2:5" x14ac:dyDescent="0.25">
      <c r="B89" s="11" t="s">
        <v>64</v>
      </c>
      <c r="C89" s="181">
        <f>MILL_LEVY_DS_CAP</f>
        <v>3</v>
      </c>
      <c r="D89" s="11" t="s">
        <v>59</v>
      </c>
    </row>
    <row r="90" spans="2:5" x14ac:dyDescent="0.25">
      <c r="B90" s="11" t="s">
        <v>63</v>
      </c>
      <c r="C90" s="18">
        <f>IF(GALLAGHERIZATION="Yes", MILL_LEVY_SERVICE_PLAN/(TABOR_CURRENT/TABOR_PRIOR),MILL_LEVY_SERVICE_PLAN)</f>
        <v>3</v>
      </c>
      <c r="D90" s="11" t="s">
        <v>60</v>
      </c>
      <c r="E90" s="217" t="s">
        <v>308</v>
      </c>
    </row>
    <row r="91" spans="2:5" x14ac:dyDescent="0.25">
      <c r="B91" s="11" t="s">
        <v>240</v>
      </c>
      <c r="C91" s="127">
        <v>0</v>
      </c>
      <c r="D91" s="11" t="s">
        <v>239</v>
      </c>
    </row>
    <row r="92" spans="2:5" x14ac:dyDescent="0.25">
      <c r="B92" s="11" t="s">
        <v>61</v>
      </c>
      <c r="C92" s="127">
        <v>0</v>
      </c>
      <c r="D92" s="11" t="s">
        <v>62</v>
      </c>
    </row>
    <row r="93" spans="2:5" x14ac:dyDescent="0.25">
      <c r="B93" s="11" t="s">
        <v>57</v>
      </c>
      <c r="C93" s="127">
        <v>0</v>
      </c>
      <c r="D93" s="11" t="s">
        <v>58</v>
      </c>
    </row>
    <row r="94" spans="2:5" x14ac:dyDescent="0.25">
      <c r="B94" s="11" t="s">
        <v>332</v>
      </c>
      <c r="C94" s="127">
        <v>0</v>
      </c>
      <c r="D94" s="11" t="s">
        <v>333</v>
      </c>
    </row>
    <row r="95" spans="2:5" x14ac:dyDescent="0.25">
      <c r="B95" s="11" t="s">
        <v>441</v>
      </c>
      <c r="C95" s="196">
        <v>0</v>
      </c>
      <c r="D95" s="11" t="s">
        <v>443</v>
      </c>
    </row>
    <row r="96" spans="2:5" x14ac:dyDescent="0.25">
      <c r="B96" s="11" t="s">
        <v>442</v>
      </c>
      <c r="C96" s="196">
        <v>0</v>
      </c>
      <c r="D96" s="11" t="s">
        <v>444</v>
      </c>
    </row>
    <row r="97" spans="2:7" x14ac:dyDescent="0.25">
      <c r="B97" s="11" t="s">
        <v>445</v>
      </c>
      <c r="C97" s="126">
        <v>0.02</v>
      </c>
      <c r="D97" s="11" t="s">
        <v>446</v>
      </c>
      <c r="E97">
        <f>50/62.057</f>
        <v>0.80571087870828428</v>
      </c>
    </row>
    <row r="98" spans="2:7" x14ac:dyDescent="0.25">
      <c r="B98" s="11" t="s">
        <v>226</v>
      </c>
      <c r="C98" s="128">
        <v>0</v>
      </c>
      <c r="D98" s="11" t="s">
        <v>227</v>
      </c>
      <c r="E98" s="101" t="s">
        <v>474</v>
      </c>
    </row>
    <row r="99" spans="2:7" x14ac:dyDescent="0.25">
      <c r="B99" s="11" t="s">
        <v>320</v>
      </c>
      <c r="C99" s="196">
        <v>0</v>
      </c>
      <c r="D99" s="11" t="s">
        <v>319</v>
      </c>
    </row>
    <row r="100" spans="2:7" x14ac:dyDescent="0.25">
      <c r="B100" s="11" t="s">
        <v>452</v>
      </c>
      <c r="C100" s="196">
        <v>0</v>
      </c>
      <c r="D100" s="11" t="s">
        <v>453</v>
      </c>
    </row>
    <row r="101" spans="2:7" x14ac:dyDescent="0.25">
      <c r="B101" s="11" t="s">
        <v>413</v>
      </c>
      <c r="C101" s="336" t="str">
        <f>IF(IG_RATED="Yes", "No", "Yes")</f>
        <v>Yes</v>
      </c>
      <c r="D101" s="11" t="s">
        <v>415</v>
      </c>
    </row>
    <row r="102" spans="2:7" x14ac:dyDescent="0.25">
      <c r="B102" s="11" t="s">
        <v>414</v>
      </c>
      <c r="C102" s="305" t="s">
        <v>68</v>
      </c>
      <c r="D102" s="11" t="s">
        <v>416</v>
      </c>
    </row>
    <row r="103" spans="2:7" x14ac:dyDescent="0.25">
      <c r="B103" s="11" t="s">
        <v>419</v>
      </c>
      <c r="C103" s="305" t="s">
        <v>69</v>
      </c>
      <c r="D103" s="11" t="s">
        <v>421</v>
      </c>
    </row>
    <row r="104" spans="2:7" x14ac:dyDescent="0.25">
      <c r="B104" s="11" t="s">
        <v>420</v>
      </c>
      <c r="C104" s="305" t="s">
        <v>69</v>
      </c>
      <c r="D104" s="11" t="s">
        <v>422</v>
      </c>
    </row>
    <row r="105" spans="2:7" x14ac:dyDescent="0.25">
      <c r="B105" s="11" t="s">
        <v>410</v>
      </c>
      <c r="C105" s="305" t="s">
        <v>69</v>
      </c>
      <c r="D105" s="11" t="s">
        <v>356</v>
      </c>
    </row>
    <row r="106" spans="2:7" x14ac:dyDescent="0.25">
      <c r="B106" s="11" t="s">
        <v>412</v>
      </c>
      <c r="C106" s="305" t="s">
        <v>68</v>
      </c>
      <c r="D106" s="11" t="s">
        <v>411</v>
      </c>
    </row>
    <row r="107" spans="2:7" x14ac:dyDescent="0.25">
      <c r="B107" s="11"/>
      <c r="C107" s="11"/>
      <c r="D107" s="11"/>
    </row>
    <row r="108" spans="2:7" x14ac:dyDescent="0.25">
      <c r="B108" s="11"/>
      <c r="C108" s="11"/>
      <c r="D108" s="11"/>
    </row>
    <row r="109" spans="2:7" x14ac:dyDescent="0.25">
      <c r="B109" s="11"/>
      <c r="C109" s="11"/>
      <c r="D109" s="11"/>
    </row>
    <row r="111" spans="2:7" x14ac:dyDescent="0.25">
      <c r="B111" s="21" t="s">
        <v>35</v>
      </c>
      <c r="C111" s="21"/>
      <c r="D111" s="21"/>
      <c r="E111" s="22"/>
    </row>
    <row r="112" spans="2:7" x14ac:dyDescent="0.25">
      <c r="B112" s="11"/>
      <c r="D112" s="11"/>
      <c r="F112" s="403" t="s">
        <v>502</v>
      </c>
      <c r="G112" s="314"/>
    </row>
    <row r="113" spans="2:7" x14ac:dyDescent="0.25">
      <c r="B113" s="11" t="s">
        <v>228</v>
      </c>
      <c r="C113" s="196">
        <v>365620</v>
      </c>
      <c r="D113" s="11" t="s">
        <v>231</v>
      </c>
      <c r="E113" t="s">
        <v>503</v>
      </c>
      <c r="G113" s="202"/>
    </row>
    <row r="114" spans="2:7" x14ac:dyDescent="0.25">
      <c r="B114" s="11" t="s">
        <v>229</v>
      </c>
      <c r="C114" s="196">
        <v>394910</v>
      </c>
      <c r="D114" s="11" t="s">
        <v>232</v>
      </c>
      <c r="E114" t="s">
        <v>504</v>
      </c>
      <c r="G114" s="202"/>
    </row>
    <row r="115" spans="2:7" x14ac:dyDescent="0.25">
      <c r="B115" s="11" t="s">
        <v>230</v>
      </c>
      <c r="C115" s="196">
        <v>434350</v>
      </c>
      <c r="D115" s="11" t="s">
        <v>233</v>
      </c>
      <c r="E115" t="s">
        <v>505</v>
      </c>
      <c r="G115" s="202"/>
    </row>
    <row r="116" spans="2:7" x14ac:dyDescent="0.25">
      <c r="B116" s="11" t="s">
        <v>280</v>
      </c>
      <c r="C116" s="196">
        <v>492150</v>
      </c>
      <c r="D116" s="11" t="s">
        <v>285</v>
      </c>
      <c r="E116" t="s">
        <v>506</v>
      </c>
      <c r="G116" s="202"/>
    </row>
    <row r="117" spans="2:7" x14ac:dyDescent="0.25">
      <c r="B117" s="11" t="s">
        <v>281</v>
      </c>
      <c r="C117" s="196">
        <v>563750</v>
      </c>
      <c r="D117" s="11" t="s">
        <v>286</v>
      </c>
      <c r="E117" t="s">
        <v>507</v>
      </c>
      <c r="G117" s="202"/>
    </row>
    <row r="118" spans="2:7" x14ac:dyDescent="0.25">
      <c r="B118" s="11" t="s">
        <v>282</v>
      </c>
      <c r="C118" s="196">
        <v>635500</v>
      </c>
      <c r="D118" s="11" t="s">
        <v>287</v>
      </c>
      <c r="E118" t="s">
        <v>508</v>
      </c>
      <c r="G118" s="202"/>
    </row>
    <row r="119" spans="2:7" x14ac:dyDescent="0.25">
      <c r="B119" s="11" t="s">
        <v>283</v>
      </c>
      <c r="C119" s="196">
        <v>709813</v>
      </c>
      <c r="D119" s="11" t="s">
        <v>288</v>
      </c>
      <c r="E119" t="s">
        <v>509</v>
      </c>
      <c r="G119" s="202"/>
    </row>
    <row r="120" spans="2:7" x14ac:dyDescent="0.25">
      <c r="B120" s="11" t="s">
        <v>284</v>
      </c>
      <c r="C120" s="196">
        <v>761063</v>
      </c>
      <c r="D120" s="11" t="s">
        <v>289</v>
      </c>
      <c r="E120" t="s">
        <v>510</v>
      </c>
      <c r="G120" s="202"/>
    </row>
    <row r="121" spans="2:7" x14ac:dyDescent="0.25">
      <c r="B121" s="11" t="s">
        <v>433</v>
      </c>
      <c r="C121" s="196"/>
      <c r="D121" s="11" t="s">
        <v>437</v>
      </c>
      <c r="G121" s="202"/>
    </row>
    <row r="122" spans="2:7" x14ac:dyDescent="0.25">
      <c r="B122" s="11" t="s">
        <v>434</v>
      </c>
      <c r="C122" s="196"/>
      <c r="D122" s="11" t="s">
        <v>438</v>
      </c>
      <c r="G122" s="202"/>
    </row>
    <row r="123" spans="2:7" x14ac:dyDescent="0.25">
      <c r="B123" s="11" t="s">
        <v>435</v>
      </c>
      <c r="C123" s="196"/>
      <c r="D123" s="11" t="s">
        <v>439</v>
      </c>
      <c r="G123" s="202"/>
    </row>
    <row r="124" spans="2:7" x14ac:dyDescent="0.25">
      <c r="B124" s="11" t="s">
        <v>436</v>
      </c>
      <c r="C124" s="196"/>
      <c r="D124" s="11" t="s">
        <v>440</v>
      </c>
      <c r="G124" s="202"/>
    </row>
    <row r="125" spans="2:7" x14ac:dyDescent="0.25">
      <c r="B125" s="11" t="s">
        <v>403</v>
      </c>
      <c r="C125" s="305" t="s">
        <v>69</v>
      </c>
      <c r="D125" s="11" t="s">
        <v>402</v>
      </c>
      <c r="G125" s="202"/>
    </row>
    <row r="126" spans="2:7" x14ac:dyDescent="0.25">
      <c r="B126" s="11" t="s">
        <v>397</v>
      </c>
      <c r="C126" s="126">
        <v>1</v>
      </c>
      <c r="D126" s="11" t="s">
        <v>399</v>
      </c>
      <c r="G126" s="202"/>
    </row>
    <row r="127" spans="2:7" x14ac:dyDescent="0.25">
      <c r="B127" s="11" t="s">
        <v>398</v>
      </c>
      <c r="C127" s="126">
        <v>1</v>
      </c>
      <c r="D127" s="11" t="s">
        <v>400</v>
      </c>
      <c r="G127" s="202"/>
    </row>
    <row r="128" spans="2:7" x14ac:dyDescent="0.25">
      <c r="B128" s="11" t="s">
        <v>177</v>
      </c>
      <c r="C128" s="130">
        <f>EDATE(DELIVERY, 6)</f>
        <v>45742</v>
      </c>
      <c r="D128" s="11" t="s">
        <v>178</v>
      </c>
      <c r="E128" s="139" t="s">
        <v>306</v>
      </c>
    </row>
    <row r="129" spans="2:5" x14ac:dyDescent="0.25">
      <c r="B129" s="11" t="s">
        <v>203</v>
      </c>
      <c r="C129" s="130">
        <f>HOME_FIRST_CLOSE_DATE</f>
        <v>45742</v>
      </c>
      <c r="D129" s="11" t="s">
        <v>204</v>
      </c>
    </row>
    <row r="130" spans="2:5" x14ac:dyDescent="0.25">
      <c r="B130" s="11" t="s">
        <v>238</v>
      </c>
      <c r="C130" s="130">
        <f>HOME_FIRST_CLOSE_DATE</f>
        <v>45742</v>
      </c>
      <c r="D130" s="11" t="s">
        <v>209</v>
      </c>
    </row>
    <row r="131" spans="2:5" x14ac:dyDescent="0.25">
      <c r="B131" s="11" t="s">
        <v>242</v>
      </c>
      <c r="C131" s="191">
        <v>1</v>
      </c>
      <c r="D131" s="11" t="s">
        <v>241</v>
      </c>
    </row>
    <row r="132" spans="2:5" x14ac:dyDescent="0.25">
      <c r="B132" s="129">
        <v>6</v>
      </c>
      <c r="C132" s="130">
        <f>EDATE(HOME_FIRST_CLOSE_DATE,-$B$132)</f>
        <v>45561</v>
      </c>
      <c r="D132" s="11" t="s">
        <v>180</v>
      </c>
      <c r="E132" t="s">
        <v>202</v>
      </c>
    </row>
    <row r="133" spans="2:5" x14ac:dyDescent="0.25">
      <c r="B133" s="298">
        <f>PLATTED_COMM_LOT_VALUE</f>
        <v>0.1</v>
      </c>
      <c r="C133" s="126">
        <v>0.1</v>
      </c>
      <c r="D133" s="11" t="s">
        <v>243</v>
      </c>
    </row>
    <row r="134" spans="2:5" x14ac:dyDescent="0.25">
      <c r="B134" s="299">
        <f>PLATTED_LOT_VALUE</f>
        <v>0.1</v>
      </c>
      <c r="C134" s="126">
        <v>0.1</v>
      </c>
      <c r="D134" s="11" t="s">
        <v>92</v>
      </c>
      <c r="E134" t="s">
        <v>290</v>
      </c>
    </row>
    <row r="135" spans="2:5" x14ac:dyDescent="0.25">
      <c r="B135" s="34">
        <v>1</v>
      </c>
      <c r="C135" s="126">
        <v>0.55000000000000004</v>
      </c>
      <c r="D135" s="11" t="s">
        <v>93</v>
      </c>
    </row>
    <row r="136" spans="2:5" x14ac:dyDescent="0.25">
      <c r="B136" s="300">
        <f>OIL_GAS_VALUE</f>
        <v>0.875</v>
      </c>
      <c r="C136" s="126">
        <v>0.875</v>
      </c>
      <c r="D136" s="11" t="s">
        <v>393</v>
      </c>
    </row>
    <row r="137" spans="2:5" x14ac:dyDescent="0.25">
      <c r="B137" s="11"/>
      <c r="D137" s="11"/>
    </row>
    <row r="138" spans="2:5" x14ac:dyDescent="0.25">
      <c r="B138" s="11"/>
      <c r="D138" s="11"/>
    </row>
    <row r="139" spans="2:5" x14ac:dyDescent="0.25">
      <c r="B139" s="11"/>
      <c r="D139" s="11"/>
    </row>
    <row r="140" spans="2:5" x14ac:dyDescent="0.25">
      <c r="B140" s="11"/>
      <c r="D140" s="11"/>
    </row>
    <row r="141" spans="2:5" x14ac:dyDescent="0.25">
      <c r="B141" s="11"/>
      <c r="D141" s="11"/>
    </row>
    <row r="142" spans="2:5" x14ac:dyDescent="0.25">
      <c r="B142" s="11"/>
      <c r="D142" s="11"/>
    </row>
    <row r="143" spans="2:5" x14ac:dyDescent="0.25">
      <c r="D143" s="11"/>
    </row>
    <row r="144" spans="2:5" x14ac:dyDescent="0.25">
      <c r="D144" s="11"/>
    </row>
    <row r="145" spans="4:4" x14ac:dyDescent="0.25">
      <c r="D145" s="11"/>
    </row>
    <row r="146" spans="4:4" x14ac:dyDescent="0.25">
      <c r="D146" s="11"/>
    </row>
  </sheetData>
  <phoneticPr fontId="39" type="noConversion"/>
  <dataValidations count="1">
    <dataValidation type="list" allowBlank="1" showInputMessage="1" showErrorMessage="1" sqref="C42 C44 C16:C17 C48 C87 C125 C64 C102:C109" xr:uid="{2ED87898-3512-451B-8ECC-AC1937E545EF}">
      <formula1>$G$4:$G$5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1781B-0247-4809-87EE-00670C37A5C4}">
  <dimension ref="D4:E11"/>
  <sheetViews>
    <sheetView workbookViewId="0">
      <selection activeCell="E4" sqref="E4:E10"/>
    </sheetView>
  </sheetViews>
  <sheetFormatPr defaultRowHeight="15" x14ac:dyDescent="0.25"/>
  <cols>
    <col min="4" max="4" width="52" bestFit="1" customWidth="1"/>
    <col min="5" max="5" width="14.5703125" bestFit="1" customWidth="1"/>
  </cols>
  <sheetData>
    <row r="4" spans="4:5" x14ac:dyDescent="0.25">
      <c r="D4" s="274" t="s">
        <v>366</v>
      </c>
      <c r="E4" s="275"/>
    </row>
    <row r="5" spans="4:5" x14ac:dyDescent="0.25">
      <c r="D5" s="274" t="s">
        <v>367</v>
      </c>
      <c r="E5" s="275"/>
    </row>
    <row r="6" spans="4:5" x14ac:dyDescent="0.25">
      <c r="D6" s="274" t="s">
        <v>368</v>
      </c>
      <c r="E6" s="275"/>
    </row>
    <row r="7" spans="4:5" x14ac:dyDescent="0.25">
      <c r="D7" s="274" t="s">
        <v>369</v>
      </c>
      <c r="E7" s="275"/>
    </row>
    <row r="8" spans="4:5" x14ac:dyDescent="0.25">
      <c r="D8" s="274" t="s">
        <v>370</v>
      </c>
      <c r="E8" s="275"/>
    </row>
    <row r="9" spans="4:5" x14ac:dyDescent="0.25">
      <c r="D9" s="276" t="s">
        <v>371</v>
      </c>
      <c r="E9" s="275"/>
    </row>
    <row r="10" spans="4:5" ht="15.75" thickBot="1" x14ac:dyDescent="0.3">
      <c r="D10" s="274" t="s">
        <v>372</v>
      </c>
      <c r="E10" s="277"/>
    </row>
    <row r="11" spans="4:5" x14ac:dyDescent="0.25">
      <c r="D11" s="278" t="s">
        <v>373</v>
      </c>
      <c r="E11" s="279">
        <f>SUM(E4:E10)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C5378-0AD7-4076-B493-735751EEC515}">
  <sheetPr codeName="Sheet10"/>
  <dimension ref="A1:W163"/>
  <sheetViews>
    <sheetView topLeftCell="A3" workbookViewId="0">
      <selection activeCell="C28" sqref="C28"/>
    </sheetView>
  </sheetViews>
  <sheetFormatPr defaultColWidth="9" defaultRowHeight="15" x14ac:dyDescent="0.25"/>
  <cols>
    <col min="1" max="1" width="9" style="369"/>
    <col min="2" max="2" width="44.28515625" style="400" customWidth="1"/>
    <col min="3" max="3" width="18.85546875" style="400" bestFit="1" customWidth="1"/>
    <col min="4" max="4" width="18.85546875" style="400" customWidth="1"/>
    <col min="5" max="5" width="12.42578125" style="400" customWidth="1"/>
    <col min="6" max="8" width="9" style="369"/>
    <col min="9" max="9" width="14.140625" style="369" bestFit="1" customWidth="1"/>
    <col min="10" max="10" width="13.42578125" style="369" bestFit="1" customWidth="1"/>
    <col min="11" max="23" width="9" style="369"/>
    <col min="24" max="16384" width="9" style="400"/>
  </cols>
  <sheetData>
    <row r="1" spans="1:23" s="369" customFormat="1" x14ac:dyDescent="0.25"/>
    <row r="2" spans="1:23" s="369" customFormat="1" ht="28.5" x14ac:dyDescent="0.45">
      <c r="B2" s="370" t="str">
        <f>METRO</f>
        <v>Viridian Farm Public Improvement District</v>
      </c>
    </row>
    <row r="3" spans="1:23" s="369" customFormat="1" ht="18.75" x14ac:dyDescent="0.3">
      <c r="B3" s="371" t="s">
        <v>483</v>
      </c>
    </row>
    <row r="4" spans="1:23" s="369" customFormat="1" x14ac:dyDescent="0.25"/>
    <row r="5" spans="1:23" s="375" customFormat="1" ht="21" customHeight="1" x14ac:dyDescent="0.25">
      <c r="A5" s="372"/>
      <c r="B5" s="373" t="s">
        <v>404</v>
      </c>
      <c r="C5" s="373" t="s">
        <v>484</v>
      </c>
      <c r="D5" s="373" t="s">
        <v>484</v>
      </c>
      <c r="E5" s="374" t="s">
        <v>485</v>
      </c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  <c r="U5" s="372"/>
      <c r="V5" s="372"/>
      <c r="W5" s="372"/>
    </row>
    <row r="6" spans="1:23" s="375" customFormat="1" ht="21" customHeight="1" x14ac:dyDescent="0.25">
      <c r="A6" s="372"/>
      <c r="B6" s="373"/>
      <c r="C6" s="373" t="s">
        <v>494</v>
      </c>
      <c r="D6" s="373" t="s">
        <v>495</v>
      </c>
      <c r="E6" s="374"/>
      <c r="F6" s="372"/>
      <c r="G6" s="372"/>
      <c r="H6" s="372"/>
      <c r="I6" s="372"/>
      <c r="J6" s="372"/>
      <c r="K6" s="372"/>
      <c r="L6" s="372"/>
      <c r="M6" s="372"/>
      <c r="N6" s="372"/>
      <c r="O6" s="372"/>
      <c r="P6" s="372"/>
      <c r="Q6" s="372"/>
      <c r="R6" s="372"/>
      <c r="S6" s="372"/>
      <c r="T6" s="372"/>
      <c r="U6" s="372"/>
      <c r="V6" s="372"/>
      <c r="W6" s="372"/>
    </row>
    <row r="7" spans="1:23" s="369" customFormat="1" ht="9.75" customHeight="1" x14ac:dyDescent="0.25">
      <c r="C7" s="376"/>
      <c r="D7" s="376"/>
      <c r="E7" s="377"/>
      <c r="L7" s="377"/>
    </row>
    <row r="8" spans="1:23" s="369" customFormat="1" x14ac:dyDescent="0.25">
      <c r="B8" s="378" t="s">
        <v>486</v>
      </c>
      <c r="C8" s="379">
        <f ca="1">'Sources and Uses - First'!B12</f>
        <v>5690000</v>
      </c>
      <c r="D8" s="379">
        <f ca="1">'Sources and Uses - First'!D12</f>
        <v>1000000</v>
      </c>
      <c r="E8" s="380"/>
    </row>
    <row r="9" spans="1:23" s="369" customFormat="1" ht="9.75" customHeight="1" x14ac:dyDescent="0.25">
      <c r="C9" s="376"/>
      <c r="D9" s="376"/>
      <c r="E9" s="377"/>
      <c r="L9" s="377"/>
    </row>
    <row r="10" spans="1:23" s="369" customFormat="1" x14ac:dyDescent="0.25">
      <c r="B10" s="381" t="s">
        <v>301</v>
      </c>
      <c r="C10" s="382"/>
      <c r="D10" s="382"/>
      <c r="E10" s="382"/>
      <c r="I10" s="383"/>
      <c r="J10" s="384"/>
    </row>
    <row r="11" spans="1:23" s="369" customFormat="1" ht="22.5" customHeight="1" x14ac:dyDescent="0.25">
      <c r="B11" s="385" t="s">
        <v>487</v>
      </c>
      <c r="C11" s="386">
        <f ca="1">E11*$C$8</f>
        <v>56900</v>
      </c>
      <c r="D11" s="386">
        <f ca="1">F11*$D$8</f>
        <v>15000</v>
      </c>
      <c r="E11" s="387">
        <v>0.01</v>
      </c>
      <c r="F11" s="377">
        <v>1.4999999999999999E-2</v>
      </c>
      <c r="I11" s="383"/>
    </row>
    <row r="12" spans="1:23" s="369" customFormat="1" ht="22.5" customHeight="1" x14ac:dyDescent="0.25">
      <c r="B12" s="388" t="s">
        <v>496</v>
      </c>
      <c r="C12" s="389">
        <v>140000</v>
      </c>
      <c r="D12" s="389"/>
      <c r="E12" s="390">
        <f t="shared" ref="E12:E23" ca="1" si="0">C12/$C$8</f>
        <v>2.4604569420035149E-2</v>
      </c>
      <c r="G12" s="377"/>
      <c r="M12" s="391"/>
    </row>
    <row r="13" spans="1:23" s="369" customFormat="1" ht="22.5" customHeight="1" x14ac:dyDescent="0.25">
      <c r="B13" s="385" t="s">
        <v>497</v>
      </c>
      <c r="C13" s="392"/>
      <c r="D13" s="392"/>
      <c r="E13" s="393">
        <f ca="1">C13/$C$8</f>
        <v>0</v>
      </c>
      <c r="M13" s="391"/>
    </row>
    <row r="14" spans="1:23" s="369" customFormat="1" ht="22.5" customHeight="1" x14ac:dyDescent="0.25">
      <c r="B14" s="385" t="s">
        <v>515</v>
      </c>
      <c r="C14" s="392">
        <v>75000</v>
      </c>
      <c r="D14" s="392"/>
      <c r="E14" s="393">
        <f ca="1">C14/$C$8</f>
        <v>1.3181019332161687E-2</v>
      </c>
      <c r="M14" s="391"/>
    </row>
    <row r="15" spans="1:23" s="369" customFormat="1" ht="22.5" customHeight="1" x14ac:dyDescent="0.25">
      <c r="B15" s="388" t="s">
        <v>498</v>
      </c>
      <c r="C15" s="389">
        <v>45000</v>
      </c>
      <c r="D15" s="389"/>
      <c r="E15" s="390">
        <f t="shared" ca="1" si="0"/>
        <v>7.9086115992970125E-3</v>
      </c>
      <c r="M15" s="391"/>
    </row>
    <row r="16" spans="1:23" s="369" customFormat="1" ht="22.5" customHeight="1" x14ac:dyDescent="0.25">
      <c r="B16" s="388" t="s">
        <v>517</v>
      </c>
      <c r="C16" s="389">
        <v>25000</v>
      </c>
      <c r="D16" s="389"/>
      <c r="E16" s="390">
        <f t="shared" ca="1" si="0"/>
        <v>4.3936731107205628E-3</v>
      </c>
      <c r="M16" s="391"/>
    </row>
    <row r="17" spans="2:13" s="369" customFormat="1" ht="22.5" customHeight="1" x14ac:dyDescent="0.25">
      <c r="B17" s="388" t="s">
        <v>488</v>
      </c>
      <c r="C17" s="394">
        <f ca="1">E17*SUM(C8:D8)</f>
        <v>33450</v>
      </c>
      <c r="D17" s="394"/>
      <c r="E17" s="395">
        <v>5.0000000000000001E-3</v>
      </c>
      <c r="F17" s="384"/>
      <c r="M17" s="391"/>
    </row>
    <row r="18" spans="2:13" s="369" customFormat="1" ht="22.5" customHeight="1" x14ac:dyDescent="0.25">
      <c r="B18" s="385" t="s">
        <v>489</v>
      </c>
      <c r="C18" s="392">
        <v>22500</v>
      </c>
      <c r="D18" s="392"/>
      <c r="E18" s="393">
        <f t="shared" ca="1" si="0"/>
        <v>3.9543057996485062E-3</v>
      </c>
      <c r="M18" s="391"/>
    </row>
    <row r="19" spans="2:13" s="369" customFormat="1" ht="22.5" customHeight="1" x14ac:dyDescent="0.25">
      <c r="B19" s="388" t="s">
        <v>490</v>
      </c>
      <c r="C19" s="389">
        <v>20000</v>
      </c>
      <c r="D19" s="389"/>
      <c r="E19" s="390">
        <f t="shared" ca="1" si="0"/>
        <v>3.5149384885764497E-3</v>
      </c>
      <c r="M19" s="391"/>
    </row>
    <row r="20" spans="2:13" s="369" customFormat="1" ht="22.5" customHeight="1" x14ac:dyDescent="0.25">
      <c r="B20" s="385" t="s">
        <v>491</v>
      </c>
      <c r="C20" s="392">
        <v>16000</v>
      </c>
      <c r="D20" s="392"/>
      <c r="E20" s="393">
        <f t="shared" ca="1" si="0"/>
        <v>2.8119507908611601E-3</v>
      </c>
      <c r="M20" s="391"/>
    </row>
    <row r="21" spans="2:13" s="369" customFormat="1" ht="22.5" customHeight="1" x14ac:dyDescent="0.25">
      <c r="B21" s="385" t="s">
        <v>514</v>
      </c>
      <c r="C21" s="392">
        <v>2500</v>
      </c>
      <c r="D21" s="392"/>
      <c r="E21" s="393">
        <f t="shared" ca="1" si="0"/>
        <v>4.3936731107205621E-4</v>
      </c>
      <c r="M21" s="391"/>
    </row>
    <row r="22" spans="2:13" s="369" customFormat="1" ht="22.5" customHeight="1" x14ac:dyDescent="0.25">
      <c r="B22" s="385" t="s">
        <v>516</v>
      </c>
      <c r="C22" s="392">
        <v>4500</v>
      </c>
      <c r="D22" s="392"/>
      <c r="E22" s="393">
        <f t="shared" ca="1" si="0"/>
        <v>7.9086115992970123E-4</v>
      </c>
      <c r="M22" s="391"/>
    </row>
    <row r="23" spans="2:13" s="369" customFormat="1" ht="22.5" customHeight="1" x14ac:dyDescent="0.25">
      <c r="B23" s="385" t="s">
        <v>492</v>
      </c>
      <c r="C23" s="392">
        <v>25000</v>
      </c>
      <c r="D23" s="392"/>
      <c r="E23" s="393">
        <f t="shared" ca="1" si="0"/>
        <v>4.3936731107205628E-3</v>
      </c>
      <c r="M23" s="391"/>
    </row>
    <row r="24" spans="2:13" s="369" customFormat="1" ht="9.75" customHeight="1" x14ac:dyDescent="0.25">
      <c r="C24" s="396"/>
      <c r="D24" s="396"/>
      <c r="E24" s="384"/>
    </row>
    <row r="25" spans="2:13" s="369" customFormat="1" x14ac:dyDescent="0.25">
      <c r="B25" s="397" t="s">
        <v>88</v>
      </c>
      <c r="C25" s="398">
        <f ca="1">SUM(C11:C24)</f>
        <v>465850</v>
      </c>
      <c r="D25" s="398"/>
      <c r="E25" s="399">
        <f ca="1">SUM(E11:E23)</f>
        <v>8.0992970123022839E-2</v>
      </c>
    </row>
    <row r="26" spans="2:13" s="369" customFormat="1" x14ac:dyDescent="0.25"/>
    <row r="27" spans="2:13" s="369" customFormat="1" x14ac:dyDescent="0.25">
      <c r="C27" s="408">
        <f ca="1">C25-C11-D11</f>
        <v>393950</v>
      </c>
    </row>
    <row r="28" spans="2:13" s="369" customFormat="1" x14ac:dyDescent="0.25"/>
    <row r="29" spans="2:13" s="369" customFormat="1" x14ac:dyDescent="0.25"/>
    <row r="30" spans="2:13" s="369" customFormat="1" x14ac:dyDescent="0.25"/>
    <row r="31" spans="2:13" s="369" customFormat="1" x14ac:dyDescent="0.25"/>
    <row r="32" spans="2:13" s="369" customFormat="1" x14ac:dyDescent="0.25"/>
    <row r="33" s="369" customFormat="1" x14ac:dyDescent="0.25"/>
    <row r="34" s="369" customFormat="1" x14ac:dyDescent="0.25"/>
    <row r="35" s="369" customFormat="1" x14ac:dyDescent="0.25"/>
    <row r="36" s="369" customFormat="1" x14ac:dyDescent="0.25"/>
    <row r="37" s="369" customFormat="1" x14ac:dyDescent="0.25"/>
    <row r="38" s="369" customFormat="1" x14ac:dyDescent="0.25"/>
    <row r="39" s="369" customFormat="1" x14ac:dyDescent="0.25"/>
    <row r="40" s="369" customFormat="1" x14ac:dyDescent="0.25"/>
    <row r="41" s="369" customFormat="1" x14ac:dyDescent="0.25"/>
    <row r="42" s="369" customFormat="1" x14ac:dyDescent="0.25"/>
    <row r="43" s="369" customFormat="1" x14ac:dyDescent="0.25"/>
    <row r="44" s="369" customFormat="1" x14ac:dyDescent="0.25"/>
    <row r="45" s="369" customFormat="1" x14ac:dyDescent="0.25"/>
    <row r="46" s="369" customFormat="1" x14ac:dyDescent="0.25"/>
    <row r="47" s="369" customFormat="1" x14ac:dyDescent="0.25"/>
    <row r="48" s="369" customFormat="1" x14ac:dyDescent="0.25"/>
    <row r="49" s="369" customFormat="1" x14ac:dyDescent="0.25"/>
    <row r="50" s="369" customFormat="1" x14ac:dyDescent="0.25"/>
    <row r="51" s="369" customFormat="1" x14ac:dyDescent="0.25"/>
    <row r="52" s="369" customFormat="1" x14ac:dyDescent="0.25"/>
    <row r="53" s="369" customFormat="1" x14ac:dyDescent="0.25"/>
    <row r="54" s="369" customFormat="1" x14ac:dyDescent="0.25"/>
    <row r="55" s="369" customFormat="1" x14ac:dyDescent="0.25"/>
    <row r="56" s="369" customFormat="1" x14ac:dyDescent="0.25"/>
    <row r="57" s="369" customFormat="1" x14ac:dyDescent="0.25"/>
    <row r="58" s="369" customFormat="1" x14ac:dyDescent="0.25"/>
    <row r="59" s="369" customFormat="1" x14ac:dyDescent="0.25"/>
    <row r="60" s="369" customFormat="1" x14ac:dyDescent="0.25"/>
    <row r="61" s="369" customFormat="1" x14ac:dyDescent="0.25"/>
    <row r="62" s="369" customFormat="1" x14ac:dyDescent="0.25"/>
    <row r="63" s="369" customFormat="1" x14ac:dyDescent="0.25"/>
    <row r="64" s="369" customFormat="1" x14ac:dyDescent="0.25"/>
    <row r="65" s="369" customFormat="1" x14ac:dyDescent="0.25"/>
    <row r="66" s="369" customFormat="1" x14ac:dyDescent="0.25"/>
    <row r="67" s="369" customFormat="1" x14ac:dyDescent="0.25"/>
    <row r="68" s="369" customFormat="1" x14ac:dyDescent="0.25"/>
    <row r="69" s="369" customFormat="1" x14ac:dyDescent="0.25"/>
    <row r="70" s="369" customFormat="1" x14ac:dyDescent="0.25"/>
    <row r="71" s="369" customFormat="1" x14ac:dyDescent="0.25"/>
    <row r="72" s="369" customFormat="1" x14ac:dyDescent="0.25"/>
    <row r="73" s="369" customFormat="1" x14ac:dyDescent="0.25"/>
    <row r="74" s="369" customFormat="1" x14ac:dyDescent="0.25"/>
    <row r="75" s="369" customFormat="1" x14ac:dyDescent="0.25"/>
    <row r="76" s="369" customFormat="1" x14ac:dyDescent="0.25"/>
    <row r="77" s="369" customFormat="1" x14ac:dyDescent="0.25"/>
    <row r="78" s="369" customFormat="1" x14ac:dyDescent="0.25"/>
    <row r="79" s="369" customFormat="1" x14ac:dyDescent="0.25"/>
    <row r="80" s="369" customFormat="1" x14ac:dyDescent="0.25"/>
    <row r="81" s="369" customFormat="1" x14ac:dyDescent="0.25"/>
    <row r="82" s="369" customFormat="1" x14ac:dyDescent="0.25"/>
    <row r="83" s="369" customFormat="1" x14ac:dyDescent="0.25"/>
    <row r="84" s="369" customFormat="1" x14ac:dyDescent="0.25"/>
    <row r="85" s="369" customFormat="1" x14ac:dyDescent="0.25"/>
    <row r="86" s="369" customFormat="1" x14ac:dyDescent="0.25"/>
    <row r="87" s="369" customFormat="1" x14ac:dyDescent="0.25"/>
    <row r="88" s="369" customFormat="1" x14ac:dyDescent="0.25"/>
    <row r="89" s="369" customFormat="1" x14ac:dyDescent="0.25"/>
    <row r="90" s="369" customFormat="1" x14ac:dyDescent="0.25"/>
    <row r="91" s="369" customFormat="1" x14ac:dyDescent="0.25"/>
    <row r="92" s="369" customFormat="1" x14ac:dyDescent="0.25"/>
    <row r="93" s="369" customFormat="1" x14ac:dyDescent="0.25"/>
    <row r="94" s="369" customFormat="1" x14ac:dyDescent="0.25"/>
    <row r="95" s="369" customFormat="1" x14ac:dyDescent="0.25"/>
    <row r="96" s="369" customFormat="1" x14ac:dyDescent="0.25"/>
    <row r="97" s="369" customFormat="1" x14ac:dyDescent="0.25"/>
    <row r="98" s="369" customFormat="1" x14ac:dyDescent="0.25"/>
    <row r="99" s="369" customFormat="1" x14ac:dyDescent="0.25"/>
    <row r="100" s="369" customFormat="1" x14ac:dyDescent="0.25"/>
    <row r="101" s="369" customFormat="1" x14ac:dyDescent="0.25"/>
    <row r="102" s="369" customFormat="1" x14ac:dyDescent="0.25"/>
    <row r="103" s="369" customFormat="1" x14ac:dyDescent="0.25"/>
    <row r="104" s="369" customFormat="1" x14ac:dyDescent="0.25"/>
    <row r="105" s="369" customFormat="1" x14ac:dyDescent="0.25"/>
    <row r="106" s="369" customFormat="1" x14ac:dyDescent="0.25"/>
    <row r="107" s="369" customFormat="1" x14ac:dyDescent="0.25"/>
    <row r="108" s="369" customFormat="1" x14ac:dyDescent="0.25"/>
    <row r="109" s="369" customFormat="1" x14ac:dyDescent="0.25"/>
    <row r="110" s="369" customFormat="1" x14ac:dyDescent="0.25"/>
    <row r="111" s="369" customFormat="1" x14ac:dyDescent="0.25"/>
    <row r="112" s="369" customFormat="1" x14ac:dyDescent="0.25"/>
    <row r="113" s="369" customFormat="1" x14ac:dyDescent="0.25"/>
    <row r="114" s="369" customFormat="1" x14ac:dyDescent="0.25"/>
    <row r="115" s="369" customFormat="1" x14ac:dyDescent="0.25"/>
    <row r="116" s="369" customFormat="1" x14ac:dyDescent="0.25"/>
    <row r="117" s="369" customFormat="1" x14ac:dyDescent="0.25"/>
    <row r="118" s="369" customFormat="1" x14ac:dyDescent="0.25"/>
    <row r="119" s="369" customFormat="1" x14ac:dyDescent="0.25"/>
    <row r="120" s="369" customFormat="1" x14ac:dyDescent="0.25"/>
    <row r="121" s="369" customFormat="1" x14ac:dyDescent="0.25"/>
    <row r="122" s="369" customFormat="1" x14ac:dyDescent="0.25"/>
    <row r="123" s="369" customFormat="1" x14ac:dyDescent="0.25"/>
    <row r="124" s="369" customFormat="1" x14ac:dyDescent="0.25"/>
    <row r="125" s="369" customFormat="1" x14ac:dyDescent="0.25"/>
    <row r="126" s="369" customFormat="1" x14ac:dyDescent="0.25"/>
    <row r="127" s="369" customFormat="1" x14ac:dyDescent="0.25"/>
    <row r="128" s="369" customFormat="1" x14ac:dyDescent="0.25"/>
    <row r="129" s="369" customFormat="1" x14ac:dyDescent="0.25"/>
    <row r="130" s="369" customFormat="1" x14ac:dyDescent="0.25"/>
    <row r="131" s="369" customFormat="1" x14ac:dyDescent="0.25"/>
    <row r="132" s="369" customFormat="1" x14ac:dyDescent="0.25"/>
    <row r="133" s="369" customFormat="1" x14ac:dyDescent="0.25"/>
    <row r="134" s="369" customFormat="1" x14ac:dyDescent="0.25"/>
    <row r="135" s="369" customFormat="1" x14ac:dyDescent="0.25"/>
    <row r="136" s="369" customFormat="1" x14ac:dyDescent="0.25"/>
    <row r="137" s="369" customFormat="1" x14ac:dyDescent="0.25"/>
    <row r="138" s="369" customFormat="1" x14ac:dyDescent="0.25"/>
    <row r="139" s="369" customFormat="1" x14ac:dyDescent="0.25"/>
    <row r="140" s="369" customFormat="1" x14ac:dyDescent="0.25"/>
    <row r="141" s="369" customFormat="1" x14ac:dyDescent="0.25"/>
    <row r="142" s="369" customFormat="1" x14ac:dyDescent="0.25"/>
    <row r="143" s="369" customFormat="1" x14ac:dyDescent="0.25"/>
    <row r="144" s="369" customFormat="1" x14ac:dyDescent="0.25"/>
    <row r="145" s="369" customFormat="1" x14ac:dyDescent="0.25"/>
    <row r="146" s="369" customFormat="1" x14ac:dyDescent="0.25"/>
    <row r="147" s="369" customFormat="1" x14ac:dyDescent="0.25"/>
    <row r="148" s="369" customFormat="1" x14ac:dyDescent="0.25"/>
    <row r="149" s="369" customFormat="1" x14ac:dyDescent="0.25"/>
    <row r="150" s="369" customFormat="1" x14ac:dyDescent="0.25"/>
    <row r="151" s="369" customFormat="1" x14ac:dyDescent="0.25"/>
    <row r="152" s="369" customFormat="1" x14ac:dyDescent="0.25"/>
    <row r="153" s="369" customFormat="1" x14ac:dyDescent="0.25"/>
    <row r="154" s="369" customFormat="1" x14ac:dyDescent="0.25"/>
    <row r="155" s="369" customFormat="1" x14ac:dyDescent="0.25"/>
    <row r="156" s="369" customFormat="1" x14ac:dyDescent="0.25"/>
    <row r="157" s="369" customFormat="1" x14ac:dyDescent="0.25"/>
    <row r="158" s="369" customFormat="1" x14ac:dyDescent="0.25"/>
    <row r="159" s="369" customFormat="1" x14ac:dyDescent="0.25"/>
    <row r="160" s="369" customFormat="1" x14ac:dyDescent="0.25"/>
    <row r="161" s="369" customFormat="1" x14ac:dyDescent="0.25"/>
    <row r="162" s="369" customFormat="1" x14ac:dyDescent="0.25"/>
    <row r="163" s="369" customForma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24CB-6DAC-4656-960C-63D5EC55DC39}">
  <sheetPr codeName="Sheet2">
    <pageSetUpPr fitToPage="1"/>
  </sheetPr>
  <dimension ref="A1:L68"/>
  <sheetViews>
    <sheetView showGridLines="0" topLeftCell="A4" zoomScaleNormal="100" zoomScaleSheetLayoutView="100" workbookViewId="0">
      <selection activeCell="H11" sqref="H11"/>
    </sheetView>
  </sheetViews>
  <sheetFormatPr defaultRowHeight="15" outlineLevelCol="1" x14ac:dyDescent="0.25"/>
  <cols>
    <col min="1" max="1" width="36.28515625" customWidth="1"/>
    <col min="2" max="2" width="20.5703125" style="31" customWidth="1" outlineLevel="1"/>
    <col min="3" max="3" width="2.28515625" style="31" customWidth="1" outlineLevel="1"/>
    <col min="4" max="4" width="23.42578125" style="31" customWidth="1"/>
    <col min="5" max="5" width="2.28515625" style="31" customWidth="1"/>
    <col min="6" max="6" width="20.5703125" style="31" customWidth="1"/>
    <col min="9" max="9" width="11.140625" bestFit="1" customWidth="1"/>
    <col min="11" max="11" width="15.28515625" customWidth="1"/>
    <col min="12" max="12" width="11.140625" bestFit="1" customWidth="1"/>
  </cols>
  <sheetData>
    <row r="1" spans="1:9" ht="26.25" x14ac:dyDescent="0.4">
      <c r="A1" s="112" t="str">
        <f>METRO</f>
        <v>Viridian Farm Public Improvement District</v>
      </c>
    </row>
    <row r="2" spans="1:9" ht="18.75" x14ac:dyDescent="0.3">
      <c r="A2" s="110" t="str">
        <f>"City of " &amp; CITY &amp; " / " &amp; COUNTY &amp; " County "</f>
        <v xml:space="preserve">City of Salem / Utah County </v>
      </c>
    </row>
    <row r="3" spans="1:9" ht="15.75" x14ac:dyDescent="0.25">
      <c r="A3" s="109" t="str">
        <f>ANALYSIS</f>
        <v>Development Projections at 3.000 Mills for Debt Service</v>
      </c>
    </row>
    <row r="4" spans="1:9" x14ac:dyDescent="0.25">
      <c r="A4" s="30" t="str">
        <f ca="1">"Scenario: " &amp;  IF(IG_RATED="Yes", "Investment Grade Rating", "Non-Rated") &amp; " / " &amp; TEXT(BIENNIAL_REASSESS_RATE_SUBORDINATE, "0.00%") &amp; " Reassessment Rate / " &amp; TEXT('Residential Development'!$Q$10,"0,0") &amp; " Lots / " &amp; "Est. Per Lot Reimbursement: " &amp; TEXT($F$24/'Residential Development'!$Q$10,"$0,00")</f>
        <v>Scenario: Non-Rated / 1.00% Reassessment Rate / 716 Lots / Est. Per Lot Reimbursement: $6,797</v>
      </c>
    </row>
    <row r="5" spans="1:9" s="27" customFormat="1" x14ac:dyDescent="0.25">
      <c r="B5" s="32"/>
      <c r="C5" s="32"/>
      <c r="D5" s="32"/>
      <c r="E5" s="32"/>
      <c r="F5" s="32"/>
    </row>
    <row r="6" spans="1:9" ht="15.75" x14ac:dyDescent="0.25">
      <c r="A6" s="185" t="str">
        <f>"---Proposed Series " &amp; YEAR(DELIVERY) &amp; " Financing---"</f>
        <v>---Proposed Series 2024 Financing---</v>
      </c>
    </row>
    <row r="7" spans="1:9" x14ac:dyDescent="0.25">
      <c r="A7" s="91"/>
    </row>
    <row r="8" spans="1:9" ht="15.75" x14ac:dyDescent="0.3">
      <c r="A8" s="92" t="s">
        <v>74</v>
      </c>
      <c r="B8" s="93"/>
      <c r="C8" s="93"/>
      <c r="D8" s="93"/>
      <c r="E8" s="93"/>
      <c r="F8" s="93"/>
    </row>
    <row r="9" spans="1:9" x14ac:dyDescent="0.25">
      <c r="A9" s="11"/>
    </row>
    <row r="10" spans="1:9" s="27" customFormat="1" ht="45" x14ac:dyDescent="0.25">
      <c r="A10" s="30"/>
      <c r="B10" s="89" t="str">
        <f>"Senior Lien Bonds - " &amp; SENIOR_BONDS_SERIES</f>
        <v>Senior Lien Bonds - Series 2024A</v>
      </c>
      <c r="C10" s="89"/>
      <c r="D10" s="89" t="str">
        <f>"Subordinate Lien Cashflow Bonds - " &amp; SUB_BONDS_SERIES</f>
        <v>Subordinate Lien Cashflow Bonds - Series 2024B</v>
      </c>
      <c r="E10" s="89"/>
      <c r="F10" s="89" t="s">
        <v>88</v>
      </c>
      <c r="H10" s="27">
        <v>5645</v>
      </c>
    </row>
    <row r="11" spans="1:9" ht="5.45" customHeight="1" x14ac:dyDescent="0.25">
      <c r="B11" s="78"/>
      <c r="C11" s="78"/>
      <c r="D11" s="78"/>
      <c r="E11" s="78"/>
      <c r="F11" s="78"/>
    </row>
    <row r="12" spans="1:9" x14ac:dyDescent="0.25">
      <c r="A12" t="s">
        <v>75</v>
      </c>
      <c r="B12" s="78">
        <f ca="1">'Senior Lien DS - First'!G96</f>
        <v>5690000</v>
      </c>
      <c r="C12" s="78"/>
      <c r="D12" s="78">
        <f ca="1">'Sub Lien DS - First (Annual)'!G97</f>
        <v>1000000</v>
      </c>
      <c r="E12" s="78"/>
      <c r="F12" s="78">
        <f ca="1">SUM(B12:D12)</f>
        <v>6690000</v>
      </c>
      <c r="I12" s="186"/>
    </row>
    <row r="13" spans="1:9" x14ac:dyDescent="0.25">
      <c r="A13" t="s">
        <v>76</v>
      </c>
      <c r="B13" s="66">
        <f ca="1">'Senior Lien DS - First'!F96</f>
        <v>0</v>
      </c>
      <c r="C13" s="78"/>
      <c r="D13" s="78"/>
      <c r="E13" s="78"/>
      <c r="F13" s="66">
        <f ca="1">SUM(B13:D13)</f>
        <v>0</v>
      </c>
    </row>
    <row r="14" spans="1:9" hidden="1" x14ac:dyDescent="0.25">
      <c r="A14" t="s">
        <v>262</v>
      </c>
      <c r="B14" s="66"/>
      <c r="C14" s="78"/>
      <c r="D14" s="78"/>
      <c r="E14" s="78"/>
      <c r="F14" s="66">
        <f t="shared" ref="F14:F15" si="0">SUM(B14:D14)</f>
        <v>0</v>
      </c>
    </row>
    <row r="15" spans="1:9" ht="17.25" hidden="1" x14ac:dyDescent="0.25">
      <c r="A15" t="s">
        <v>454</v>
      </c>
      <c r="B15" s="325"/>
      <c r="C15" s="78"/>
      <c r="D15" s="78"/>
      <c r="E15" s="78"/>
      <c r="F15" s="66">
        <f t="shared" si="0"/>
        <v>0</v>
      </c>
    </row>
    <row r="16" spans="1:9" x14ac:dyDescent="0.25">
      <c r="B16" s="88"/>
      <c r="C16" s="88"/>
      <c r="D16" s="88"/>
      <c r="E16" s="88"/>
      <c r="F16" s="88"/>
    </row>
    <row r="17" spans="1:11" ht="15.75" x14ac:dyDescent="0.3">
      <c r="A17" s="28" t="s">
        <v>77</v>
      </c>
      <c r="B17" s="78">
        <f ca="1">SUM(B12:B16)</f>
        <v>5690000</v>
      </c>
      <c r="C17" s="78"/>
      <c r="D17" s="78">
        <f ca="1">SUM(D12:D16)</f>
        <v>1000000</v>
      </c>
      <c r="E17" s="78"/>
      <c r="F17" s="78">
        <f t="shared" ref="F17" ca="1" si="1">SUM(B17:D17)</f>
        <v>6690000</v>
      </c>
    </row>
    <row r="19" spans="1:11" ht="15.75" thickBot="1" x14ac:dyDescent="0.3">
      <c r="A19" s="87"/>
      <c r="B19" s="86"/>
      <c r="C19" s="86"/>
      <c r="D19" s="86"/>
      <c r="E19" s="86"/>
      <c r="F19" s="86"/>
    </row>
    <row r="20" spans="1:11" ht="15.75" x14ac:dyDescent="0.3">
      <c r="A20" s="92" t="s">
        <v>78</v>
      </c>
      <c r="B20" s="93"/>
      <c r="C20" s="93"/>
      <c r="D20" s="93"/>
      <c r="E20" s="93"/>
      <c r="F20" s="93"/>
    </row>
    <row r="22" spans="1:11" ht="45" x14ac:dyDescent="0.25">
      <c r="B22" s="89" t="str">
        <f>B10</f>
        <v>Senior Lien Bonds - Series 2024A</v>
      </c>
      <c r="C22" s="89"/>
      <c r="D22" s="89" t="str">
        <f>D10</f>
        <v>Subordinate Lien Cashflow Bonds - Series 2024B</v>
      </c>
      <c r="E22" s="89"/>
      <c r="F22" s="89" t="str">
        <f>F10</f>
        <v>Total</v>
      </c>
    </row>
    <row r="23" spans="1:11" ht="5.45" customHeight="1" x14ac:dyDescent="0.25">
      <c r="B23" s="78"/>
      <c r="C23" s="78"/>
      <c r="D23" s="78"/>
      <c r="E23" s="78"/>
      <c r="F23" s="78"/>
    </row>
    <row r="24" spans="1:11" x14ac:dyDescent="0.25">
      <c r="A24" s="326" t="s">
        <v>477</v>
      </c>
      <c r="B24" s="90">
        <f ca="1">B17-SUM(B25:B28)</f>
        <v>3881590.2705439813</v>
      </c>
      <c r="C24" s="90"/>
      <c r="D24" s="90">
        <f ca="1">D17-SUM(D25:D28)</f>
        <v>985000</v>
      </c>
      <c r="E24" s="90"/>
      <c r="F24" s="90">
        <f ca="1">SUM(B24:D24)</f>
        <v>4866590.2705439813</v>
      </c>
      <c r="I24" s="186"/>
    </row>
    <row r="25" spans="1:11" x14ac:dyDescent="0.25">
      <c r="A25" t="s">
        <v>200</v>
      </c>
      <c r="B25" s="66">
        <f ca="1">SURPLUS_FUND_DEPOSIT</f>
        <v>545055.38917824067</v>
      </c>
      <c r="C25" s="66"/>
      <c r="D25" s="66">
        <v>0</v>
      </c>
      <c r="E25" s="66"/>
      <c r="F25" s="66">
        <f ca="1">SUM(B25:D25)</f>
        <v>545055.38917824067</v>
      </c>
      <c r="I25" s="367"/>
    </row>
    <row r="26" spans="1:11" x14ac:dyDescent="0.25">
      <c r="A26" t="s">
        <v>66</v>
      </c>
      <c r="B26" s="66">
        <f ca="1">'CAPI Fund - First'!F11</f>
        <v>812504.34027777775</v>
      </c>
      <c r="C26" s="66"/>
      <c r="D26" s="66">
        <v>0</v>
      </c>
      <c r="E26" s="66"/>
      <c r="F26" s="66">
        <f t="shared" ref="F26:F28" ca="1" si="2">SUM(B26:D26)</f>
        <v>812504.34027777775</v>
      </c>
      <c r="K26" s="186"/>
    </row>
    <row r="27" spans="1:11" x14ac:dyDescent="0.25">
      <c r="A27" t="s">
        <v>144</v>
      </c>
      <c r="B27" s="66">
        <f ca="1">UWD_SENIOR*B12</f>
        <v>56900</v>
      </c>
      <c r="C27" s="66"/>
      <c r="D27" s="66">
        <f ca="1">UWD_SUB*D12</f>
        <v>15000</v>
      </c>
      <c r="E27" s="66"/>
      <c r="F27" s="66">
        <f t="shared" ca="1" si="2"/>
        <v>71900</v>
      </c>
    </row>
    <row r="28" spans="1:11" x14ac:dyDescent="0.25">
      <c r="A28" t="s">
        <v>80</v>
      </c>
      <c r="B28" s="66">
        <f ca="1">'Deal COI'!C27</f>
        <v>393950</v>
      </c>
      <c r="C28" s="66"/>
      <c r="D28" s="66"/>
      <c r="E28" s="66"/>
      <c r="F28" s="66">
        <f t="shared" ca="1" si="2"/>
        <v>393950</v>
      </c>
    </row>
    <row r="29" spans="1:11" ht="5.45" customHeight="1" x14ac:dyDescent="0.25">
      <c r="B29" s="88"/>
      <c r="C29" s="88"/>
      <c r="D29" s="88"/>
      <c r="E29" s="88"/>
      <c r="F29" s="88"/>
    </row>
    <row r="30" spans="1:11" ht="15.75" x14ac:dyDescent="0.3">
      <c r="A30" s="28" t="s">
        <v>81</v>
      </c>
      <c r="B30" s="78">
        <f ca="1">SUM(B24:B29)</f>
        <v>5690000</v>
      </c>
      <c r="C30" s="78"/>
      <c r="D30" s="78">
        <f ca="1">SUM(D24:D29)</f>
        <v>1000000</v>
      </c>
      <c r="E30" s="78"/>
      <c r="F30" s="78">
        <f ca="1">SUM(F24:F29)</f>
        <v>6690000</v>
      </c>
    </row>
    <row r="33" spans="1:11" ht="15.75" x14ac:dyDescent="0.3">
      <c r="A33" s="157" t="s">
        <v>82</v>
      </c>
      <c r="B33" s="158"/>
      <c r="C33" s="158"/>
      <c r="D33" s="158"/>
      <c r="E33" s="158"/>
      <c r="F33" s="158"/>
    </row>
    <row r="35" spans="1:11" x14ac:dyDescent="0.25">
      <c r="A35" t="s">
        <v>83</v>
      </c>
      <c r="B35" s="79">
        <f>DELIVERY</f>
        <v>45561</v>
      </c>
      <c r="C35" s="79"/>
      <c r="D35" s="79">
        <f>DELIVERY</f>
        <v>45561</v>
      </c>
      <c r="E35" s="79"/>
      <c r="F35" s="79">
        <f>DELIVERY</f>
        <v>45561</v>
      </c>
    </row>
    <row r="36" spans="1:11" x14ac:dyDescent="0.25">
      <c r="A36" t="s">
        <v>143</v>
      </c>
      <c r="B36" s="79">
        <f>FIRST_INT</f>
        <v>45717</v>
      </c>
      <c r="C36" s="79"/>
      <c r="D36" s="79">
        <f>'Sub Lien DS - First (SA)'!A11</f>
        <v>45731</v>
      </c>
      <c r="E36" s="79"/>
      <c r="F36" s="79">
        <f>B36</f>
        <v>45717</v>
      </c>
    </row>
    <row r="37" spans="1:11" x14ac:dyDescent="0.25">
      <c r="A37" t="s">
        <v>84</v>
      </c>
      <c r="B37" s="79">
        <f>FIRST_PRIN</f>
        <v>46813</v>
      </c>
      <c r="C37" s="79"/>
      <c r="D37" s="79">
        <f ca="1">_xlfn.MINIFS('Sub Lien DS - First (SA)'!$A$11:$A$95,'Sub Lien DS - First (SA)'!$G$11:$G$95,"&gt;1")</f>
        <v>56142</v>
      </c>
      <c r="E37" s="79"/>
      <c r="F37" s="79">
        <f>B37</f>
        <v>46813</v>
      </c>
    </row>
    <row r="38" spans="1:11" x14ac:dyDescent="0.25">
      <c r="A38" t="s">
        <v>85</v>
      </c>
      <c r="B38" s="79">
        <f>SURPLUS_FUND_RELEASE_DATE</f>
        <v>56309</v>
      </c>
      <c r="C38" s="79"/>
      <c r="D38" s="79">
        <f ca="1">_xlfn.MAXIFS('Sub Lien DS - First (SA)'!$A$11:$A$95,'Sub Lien DS - First (SA)'!$G$11:$G$95,"&gt;1")</f>
        <v>56688</v>
      </c>
      <c r="E38" s="79"/>
      <c r="F38" s="79">
        <f>B38</f>
        <v>56309</v>
      </c>
    </row>
    <row r="39" spans="1:11" x14ac:dyDescent="0.25">
      <c r="A39" t="s">
        <v>187</v>
      </c>
      <c r="B39" s="79">
        <f>PAR_CALL_FIRST</f>
        <v>47908</v>
      </c>
      <c r="F39" s="79">
        <f>B39</f>
        <v>47908</v>
      </c>
      <c r="K39" s="346"/>
    </row>
    <row r="40" spans="1:11" x14ac:dyDescent="0.25">
      <c r="A40" s="141" t="str">
        <f>"Capitalized Interest Period ("&amp;TEXT(YEARFRAC(B35,B40)*12,"0")&amp;"mos"&amp;")"</f>
        <v>Capitalized Interest Period (29mos)</v>
      </c>
      <c r="B40" s="79">
        <f>CAPI_END_DATE</f>
        <v>46447</v>
      </c>
      <c r="F40" s="79">
        <f>B40</f>
        <v>46447</v>
      </c>
    </row>
    <row r="41" spans="1:11" x14ac:dyDescent="0.25">
      <c r="A41" t="s">
        <v>198</v>
      </c>
      <c r="B41" s="156">
        <f>DSC_SENIOR_LIEN_BONDS</f>
        <v>1.3</v>
      </c>
      <c r="C41" s="156"/>
      <c r="D41" s="156">
        <f>DSC_SUB_LIEN_BONDS</f>
        <v>1</v>
      </c>
    </row>
    <row r="42" spans="1:11" x14ac:dyDescent="0.25">
      <c r="A42" s="182" t="s">
        <v>207</v>
      </c>
      <c r="B42" s="183"/>
      <c r="C42" s="183"/>
      <c r="D42" s="183"/>
      <c r="E42" s="183"/>
      <c r="F42" s="184">
        <f>BIENNIAL_REASSESS_RATE</f>
        <v>0.01</v>
      </c>
    </row>
    <row r="43" spans="1:11" x14ac:dyDescent="0.25">
      <c r="A43" t="s">
        <v>199</v>
      </c>
      <c r="F43" s="156">
        <f ca="1">SUM($B$54:$D$54)/$F$24</f>
        <v>2.8234461221013132</v>
      </c>
    </row>
    <row r="44" spans="1:11" x14ac:dyDescent="0.25">
      <c r="A44" t="s">
        <v>201</v>
      </c>
      <c r="B44" s="78">
        <f ca="1">SURPLUS_FUND_TARGET</f>
        <v>0</v>
      </c>
      <c r="F44" s="155"/>
    </row>
    <row r="45" spans="1:11" x14ac:dyDescent="0.25">
      <c r="B45" s="78"/>
      <c r="F45" s="155"/>
    </row>
    <row r="47" spans="1:11" ht="15.75" x14ac:dyDescent="0.3">
      <c r="A47" s="157" t="s">
        <v>185</v>
      </c>
      <c r="B47" s="158"/>
      <c r="C47" s="158"/>
      <c r="D47" s="158"/>
      <c r="E47" s="158"/>
      <c r="F47" s="158"/>
    </row>
    <row r="49" spans="1:6" x14ac:dyDescent="0.25">
      <c r="A49" t="s">
        <v>190</v>
      </c>
      <c r="B49" s="142">
        <f ca="1">BOND_YEARS_SENIOR/('Senior Lien DS - First'!$F$96+'Senior Lien DS - First'!$G$96)</f>
        <v>22.110696153095102</v>
      </c>
      <c r="C49" s="142"/>
      <c r="D49" s="142">
        <f ca="1">BOND_YEARS_SUB/('Sub Lien DS - First (SA)'!E97+'Sub Lien DS - First (SA)'!G97)</f>
        <v>27.773115349682108</v>
      </c>
    </row>
    <row r="50" spans="1:6" x14ac:dyDescent="0.25">
      <c r="A50" t="s">
        <v>463</v>
      </c>
      <c r="B50" s="149">
        <f>SENIOR_INTEREST_RATE</f>
        <v>5.8749999999999997E-2</v>
      </c>
      <c r="D50" s="149">
        <f>SUB_INTEREST_RATE</f>
        <v>8.1250000000000003E-2</v>
      </c>
    </row>
    <row r="51" spans="1:6" x14ac:dyDescent="0.25">
      <c r="A51" t="s">
        <v>189</v>
      </c>
      <c r="B51" s="149">
        <f ca="1">ARB_TIC_SENIOR</f>
        <v>5.841881549144147E-2</v>
      </c>
      <c r="D51" s="149">
        <f ca="1">ARB_TIC_SUB</f>
        <v>9.0417544073816206E-2</v>
      </c>
    </row>
    <row r="52" spans="1:6" x14ac:dyDescent="0.25">
      <c r="A52" t="s">
        <v>191</v>
      </c>
      <c r="B52" s="149">
        <f ca="1">AIC_SENIOR</f>
        <v>6.5441413677755148E-2</v>
      </c>
      <c r="D52" s="149">
        <f ca="1">AIC_SUB</f>
        <v>9.2584489248494495E-2</v>
      </c>
    </row>
    <row r="53" spans="1:6" x14ac:dyDescent="0.25">
      <c r="A53" t="s">
        <v>192</v>
      </c>
      <c r="B53" s="78">
        <f ca="1">MAX('Senior Lien DS - First'!O11:O72)</f>
        <v>478893.2260923034</v>
      </c>
      <c r="C53" s="78"/>
      <c r="D53" s="78">
        <f ca="1">MAX('Sub Lien DS - First (SA)'!$N$11:$N$95)</f>
        <v>629287.5</v>
      </c>
    </row>
    <row r="54" spans="1:6" x14ac:dyDescent="0.25">
      <c r="A54" t="s">
        <v>193</v>
      </c>
      <c r="B54" s="78">
        <f ca="1">'Senior Lien DS - First'!$O$96</f>
        <v>11321791.261302805</v>
      </c>
      <c r="C54" s="78"/>
      <c r="D54" s="78">
        <f ca="1">'Sub Lien DS - First (SA)'!$N$97</f>
        <v>2418764.1659205798</v>
      </c>
    </row>
    <row r="56" spans="1:6" ht="15.75" x14ac:dyDescent="0.3">
      <c r="A56" s="157" t="s">
        <v>340</v>
      </c>
      <c r="B56" s="158"/>
      <c r="C56" s="158"/>
      <c r="D56" s="158"/>
      <c r="E56" s="158"/>
      <c r="F56" s="158"/>
    </row>
    <row r="58" spans="1:6" x14ac:dyDescent="0.25">
      <c r="A58" s="22" t="s">
        <v>341</v>
      </c>
      <c r="B58" s="263"/>
      <c r="C58" s="263"/>
      <c r="D58" s="263"/>
      <c r="E58" s="263"/>
      <c r="F58" s="263"/>
    </row>
    <row r="59" spans="1:6" x14ac:dyDescent="0.25">
      <c r="A59" t="s">
        <v>343</v>
      </c>
      <c r="F59" s="155">
        <f>TABOR_CURRENT</f>
        <v>0.55000000000000004</v>
      </c>
    </row>
    <row r="61" spans="1:6" x14ac:dyDescent="0.25">
      <c r="A61" s="22" t="s">
        <v>344</v>
      </c>
      <c r="B61" s="263"/>
      <c r="C61" s="263"/>
      <c r="D61" s="263"/>
      <c r="E61" s="263"/>
      <c r="F61" s="263"/>
    </row>
    <row r="62" spans="1:6" x14ac:dyDescent="0.25">
      <c r="A62" t="s">
        <v>345</v>
      </c>
      <c r="F62" s="264">
        <f>MILL_LEVY_SERVICE_PLAN</f>
        <v>3</v>
      </c>
    </row>
    <row r="63" spans="1:6" x14ac:dyDescent="0.25">
      <c r="A63" t="s">
        <v>346</v>
      </c>
      <c r="F63" s="264">
        <f>MILL_LEVY_DS_TARGET</f>
        <v>3</v>
      </c>
    </row>
    <row r="64" spans="1:6" x14ac:dyDescent="0.25">
      <c r="A64" t="s">
        <v>347</v>
      </c>
      <c r="F64" s="264">
        <f>F63</f>
        <v>3</v>
      </c>
    </row>
    <row r="66" spans="1:12" x14ac:dyDescent="0.25">
      <c r="A66" s="22" t="s">
        <v>348</v>
      </c>
      <c r="B66" s="263"/>
      <c r="C66" s="263"/>
      <c r="D66" s="263"/>
      <c r="E66" s="263"/>
      <c r="F66" s="263"/>
    </row>
    <row r="67" spans="1:12" x14ac:dyDescent="0.25">
      <c r="A67" t="s">
        <v>350</v>
      </c>
      <c r="F67" s="265">
        <f>COUNTY_TREASURER_FEE</f>
        <v>0</v>
      </c>
      <c r="L67" t="s">
        <v>465</v>
      </c>
    </row>
    <row r="68" spans="1:12" x14ac:dyDescent="0.25">
      <c r="A68" t="s">
        <v>464</v>
      </c>
      <c r="F68" s="78" t="str">
        <f>TEXT(TRUSTEE_FEE, "$0,00") &amp; " / " &amp; TEXT(TRUSTEE_FEE_SUB, "$0,00")</f>
        <v>$4,000 / $3,000</v>
      </c>
    </row>
  </sheetData>
  <pageMargins left="0.7" right="0.7" top="0.75" bottom="0.75" header="0.3" footer="0.3"/>
  <pageSetup scale="71" orientation="portrait" r:id="rId1"/>
  <headerFooter>
    <oddFooter>&amp;L&amp;"-,Bold Italic"&amp;K002060&amp;GPrepared by Tierra Financial Advisors, LLC&amp;R&amp;"-,Italic"&amp;8Preliminary, subject to change.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AAB59-DFC1-458D-8725-AE0F4A211312}">
  <sheetPr codeName="Sheet16"/>
  <dimension ref="A1:H73"/>
  <sheetViews>
    <sheetView showGridLines="0" view="pageBreakPreview" zoomScaleNormal="100" zoomScaleSheetLayoutView="100" workbookViewId="0">
      <selection activeCell="J18" sqref="J18"/>
    </sheetView>
  </sheetViews>
  <sheetFormatPr defaultRowHeight="15" outlineLevelCol="1" x14ac:dyDescent="0.25"/>
  <cols>
    <col min="1" max="1" width="34.85546875" customWidth="1"/>
    <col min="2" max="2" width="20.5703125" style="31" customWidth="1"/>
    <col min="3" max="3" width="2.28515625" style="31" customWidth="1"/>
    <col min="4" max="4" width="20.5703125" style="31" hidden="1" customWidth="1" outlineLevel="1"/>
    <col min="5" max="5" width="2.28515625" style="31" hidden="1" customWidth="1" outlineLevel="1"/>
    <col min="6" max="6" width="21.42578125" style="31" customWidth="1" collapsed="1"/>
    <col min="8" max="8" width="10.85546875" bestFit="1" customWidth="1"/>
  </cols>
  <sheetData>
    <row r="1" spans="1:6" ht="26.25" x14ac:dyDescent="0.4">
      <c r="A1" s="112" t="str">
        <f>METRO</f>
        <v>Viridian Farm Public Improvement District</v>
      </c>
    </row>
    <row r="2" spans="1:6" ht="18.75" x14ac:dyDescent="0.3">
      <c r="A2" s="110" t="str">
        <f>"City of " &amp; CITY &amp; " / " &amp; COUNTY &amp; " County "</f>
        <v xml:space="preserve">City of Salem / Utah County </v>
      </c>
    </row>
    <row r="3" spans="1:6" ht="15.75" x14ac:dyDescent="0.25">
      <c r="A3" s="109" t="str">
        <f>ANALYSIS</f>
        <v>Development Projections at 3.000 Mills for Debt Service</v>
      </c>
    </row>
    <row r="4" spans="1:6" x14ac:dyDescent="0.25">
      <c r="A4" s="30" t="str">
        <f ca="1">"Scenario: " &amp;  IF(IG_RATED="Yes", "Investment Grade Rating", "Non-Rated") &amp; " / " &amp; TEXT(BIENNIAL_REASSESS_RATE_SUBORDINATE, "0.00%") &amp; " Biennial Reassessment Rate / " &amp; TEXT('Residential Development'!$Q$10,"0,0") &amp; " Lots / " &amp; "Est. Per Lot Reimbursement: " &amp; TEXT($F$25/'Residential Development'!$Q$10,"$0,00")</f>
        <v>Scenario: Non-Rated / 1.00% Biennial Reassessment Rate / 716 Lots / Est. Per Lot Reimbursement: -$9,511</v>
      </c>
    </row>
    <row r="5" spans="1:6" s="27" customFormat="1" x14ac:dyDescent="0.25">
      <c r="B5" s="32"/>
      <c r="C5" s="32"/>
      <c r="D5" s="32"/>
      <c r="E5" s="32"/>
      <c r="F5" s="32"/>
    </row>
    <row r="6" spans="1:6" ht="15.75" x14ac:dyDescent="0.25">
      <c r="A6" s="185" t="str">
        <f>"---Series " &amp; YEAR(DELIVERY_REFUNDING) &amp; " Refinancing and New Money---"</f>
        <v>---Series 2029 Refinancing and New Money---</v>
      </c>
    </row>
    <row r="7" spans="1:6" x14ac:dyDescent="0.25">
      <c r="A7" s="91"/>
    </row>
    <row r="8" spans="1:6" ht="15.75" x14ac:dyDescent="0.3">
      <c r="A8" s="92" t="s">
        <v>74</v>
      </c>
      <c r="B8" s="93"/>
      <c r="C8" s="93"/>
      <c r="D8" s="93"/>
      <c r="E8" s="93"/>
      <c r="F8" s="93"/>
    </row>
    <row r="9" spans="1:6" x14ac:dyDescent="0.25">
      <c r="A9" s="11"/>
    </row>
    <row r="10" spans="1:6" s="27" customFormat="1" ht="30.6" customHeight="1" x14ac:dyDescent="0.25">
      <c r="A10" s="30"/>
      <c r="B10" s="89" t="str">
        <f>"Refunding Senior Lien Bonds - " &amp; REFUND_BONDS_SERIES</f>
        <v>Refunding Senior Lien Bonds - Series 2029</v>
      </c>
      <c r="C10" s="89"/>
      <c r="D10" s="89" t="str">
        <f>"Subordinate Lien Bonds - " &amp; SUB_BONDS_SERIES</f>
        <v>Subordinate Lien Bonds - Series 2024B</v>
      </c>
      <c r="E10" s="89"/>
      <c r="F10" s="89" t="s">
        <v>88</v>
      </c>
    </row>
    <row r="11" spans="1:6" ht="5.45" customHeight="1" x14ac:dyDescent="0.25">
      <c r="B11" s="78"/>
      <c r="C11" s="78"/>
      <c r="D11" s="78"/>
      <c r="E11" s="78"/>
      <c r="F11" s="78"/>
    </row>
    <row r="12" spans="1:6" x14ac:dyDescent="0.25">
      <c r="A12" t="s">
        <v>75</v>
      </c>
      <c r="B12" s="78">
        <f>'Senior Lien DS - Refunding'!G96</f>
        <v>0</v>
      </c>
      <c r="C12" s="78"/>
      <c r="D12" s="78"/>
      <c r="E12" s="78"/>
      <c r="F12" s="78">
        <f>SUM(B12:D12)</f>
        <v>0</v>
      </c>
    </row>
    <row r="13" spans="1:6" x14ac:dyDescent="0.25">
      <c r="A13" t="s">
        <v>76</v>
      </c>
      <c r="B13" s="66">
        <f ca="1">'Senior Lien DS - First'!F96</f>
        <v>0</v>
      </c>
      <c r="C13" s="78"/>
      <c r="D13" s="78"/>
      <c r="E13" s="78"/>
      <c r="F13" s="66">
        <f ca="1">SUM(B13:D13)</f>
        <v>0</v>
      </c>
    </row>
    <row r="14" spans="1:6" x14ac:dyDescent="0.25">
      <c r="A14" t="s">
        <v>262</v>
      </c>
      <c r="B14" s="66"/>
      <c r="C14" s="78"/>
      <c r="D14" s="78"/>
      <c r="E14" s="78"/>
      <c r="F14" s="66"/>
    </row>
    <row r="15" spans="1:6" x14ac:dyDescent="0.25">
      <c r="A15" t="s">
        <v>471</v>
      </c>
      <c r="B15" s="66">
        <f ca="1">'Sources and Uses - First'!B25</f>
        <v>545055.38917824067</v>
      </c>
      <c r="C15" s="78"/>
      <c r="D15" s="78"/>
      <c r="E15" s="78"/>
      <c r="F15" s="66">
        <f t="shared" ref="F15" ca="1" si="0">SUM(B15:D15)</f>
        <v>545055.38917824067</v>
      </c>
    </row>
    <row r="16" spans="1:6" x14ac:dyDescent="0.25">
      <c r="A16" t="s">
        <v>470</v>
      </c>
      <c r="B16" s="66">
        <f ca="1">SUM(Summary!BW59)</f>
        <v>0</v>
      </c>
      <c r="C16" s="78"/>
      <c r="D16" s="78"/>
      <c r="E16" s="78"/>
      <c r="F16" s="66">
        <f t="shared" ref="F16" ca="1" si="1">SUM(B16:D16)</f>
        <v>0</v>
      </c>
    </row>
    <row r="17" spans="1:8" ht="5.45" customHeight="1" x14ac:dyDescent="0.25">
      <c r="B17" s="88"/>
      <c r="C17" s="88"/>
      <c r="D17" s="88"/>
      <c r="E17" s="88"/>
      <c r="F17" s="88"/>
    </row>
    <row r="18" spans="1:8" ht="15.75" x14ac:dyDescent="0.3">
      <c r="A18" s="28" t="s">
        <v>77</v>
      </c>
      <c r="B18" s="78">
        <f ca="1">SUM(B12:B17)</f>
        <v>545055.38917824067</v>
      </c>
      <c r="C18" s="78"/>
      <c r="D18" s="78">
        <f>SUM(D12:D17)</f>
        <v>0</v>
      </c>
      <c r="E18" s="78"/>
      <c r="F18" s="78">
        <f t="shared" ref="F18" ca="1" si="2">SUM(B18:D18)</f>
        <v>545055.38917824067</v>
      </c>
    </row>
    <row r="20" spans="1:8" ht="15.75" thickBot="1" x14ac:dyDescent="0.3">
      <c r="A20" s="87"/>
      <c r="B20" s="86"/>
      <c r="C20" s="86"/>
      <c r="D20" s="86"/>
      <c r="E20" s="86"/>
      <c r="F20" s="86"/>
    </row>
    <row r="21" spans="1:8" ht="15.75" x14ac:dyDescent="0.3">
      <c r="A21" s="92" t="s">
        <v>78</v>
      </c>
      <c r="B21" s="93"/>
      <c r="C21" s="93"/>
      <c r="D21" s="93"/>
      <c r="E21" s="93"/>
      <c r="F21" s="93"/>
    </row>
    <row r="23" spans="1:8" ht="45" x14ac:dyDescent="0.25">
      <c r="B23" s="89" t="str">
        <f>B10</f>
        <v>Refunding Senior Lien Bonds - Series 2029</v>
      </c>
      <c r="C23" s="89"/>
      <c r="D23" s="89" t="str">
        <f>D10</f>
        <v>Subordinate Lien Bonds - Series 2024B</v>
      </c>
      <c r="E23" s="89"/>
      <c r="F23" s="89" t="str">
        <f>F10</f>
        <v>Total</v>
      </c>
    </row>
    <row r="24" spans="1:8" ht="5.45" customHeight="1" x14ac:dyDescent="0.25">
      <c r="B24" s="78"/>
      <c r="C24" s="78"/>
      <c r="D24" s="78"/>
      <c r="E24" s="78"/>
      <c r="F24" s="78"/>
    </row>
    <row r="25" spans="1:8" x14ac:dyDescent="0.25">
      <c r="A25" s="29" t="s">
        <v>79</v>
      </c>
      <c r="B25" s="90">
        <f ca="1">B18-SUM(B26:B30)</f>
        <v>-6810122.6464825599</v>
      </c>
      <c r="C25" s="90"/>
      <c r="D25" s="90">
        <f>D18-SUM(D26:D30)</f>
        <v>0</v>
      </c>
      <c r="E25" s="90"/>
      <c r="F25" s="90">
        <f ca="1">SUM(B25:D25)</f>
        <v>-6810122.6464825599</v>
      </c>
    </row>
    <row r="26" spans="1:8" ht="30" x14ac:dyDescent="0.25">
      <c r="A26" s="349" t="s">
        <v>468</v>
      </c>
      <c r="B26" s="348">
        <f ca="1">SUMIF('Senior Lien DS - First'!$A$11:$A$93,"&gt;"&amp;PREMIUM_CALL_FIRST,'Senior Lien DS - First'!$G$11:$G$93)*(PREMIUM_CALL_FIRST_PRICE/100)</f>
        <v>5860700</v>
      </c>
      <c r="C26" s="348"/>
      <c r="D26" s="348">
        <v>0</v>
      </c>
      <c r="E26" s="348"/>
      <c r="F26" s="348">
        <f ca="1">SUM(B26:D26)</f>
        <v>5860700</v>
      </c>
      <c r="H26" s="14"/>
    </row>
    <row r="27" spans="1:8" ht="30" x14ac:dyDescent="0.25">
      <c r="A27" s="350" t="s">
        <v>469</v>
      </c>
      <c r="B27" s="351">
        <v>1294478.0356608003</v>
      </c>
      <c r="C27" s="351"/>
      <c r="D27" s="351"/>
      <c r="E27" s="351">
        <v>1957829.8983946757</v>
      </c>
      <c r="F27" s="351">
        <f>SUM(B27:D27)</f>
        <v>1294478.0356608003</v>
      </c>
      <c r="H27" s="14"/>
    </row>
    <row r="28" spans="1:8" x14ac:dyDescent="0.25">
      <c r="A28" t="s">
        <v>200</v>
      </c>
      <c r="B28" s="66">
        <f>SURPLUS_FUND_DEPOSIT_REFUNDING</f>
        <v>0</v>
      </c>
      <c r="C28" s="66"/>
      <c r="D28" s="66"/>
      <c r="E28" s="66"/>
      <c r="F28" s="66">
        <f>SUM(B28:D28)</f>
        <v>0</v>
      </c>
    </row>
    <row r="29" spans="1:8" x14ac:dyDescent="0.25">
      <c r="A29" t="s">
        <v>144</v>
      </c>
      <c r="B29" s="66">
        <f>UWD_SENIOR_REFUNDING*B12</f>
        <v>0</v>
      </c>
      <c r="C29" s="66"/>
      <c r="D29" s="66">
        <f>UWD_SUB*D12</f>
        <v>0</v>
      </c>
      <c r="E29" s="66"/>
      <c r="F29" s="66">
        <f t="shared" ref="F29:F30" si="3">SUM(B29:D29)</f>
        <v>0</v>
      </c>
    </row>
    <row r="30" spans="1:8" x14ac:dyDescent="0.25">
      <c r="A30" t="s">
        <v>80</v>
      </c>
      <c r="B30" s="66">
        <f>COI_REFUNDING</f>
        <v>200000</v>
      </c>
      <c r="C30" s="66"/>
      <c r="D30" s="66">
        <v>0</v>
      </c>
      <c r="E30" s="66"/>
      <c r="F30" s="66">
        <f t="shared" si="3"/>
        <v>200000</v>
      </c>
    </row>
    <row r="31" spans="1:8" ht="5.45" customHeight="1" x14ac:dyDescent="0.25">
      <c r="B31" s="88"/>
      <c r="C31" s="88"/>
      <c r="D31" s="88"/>
      <c r="E31" s="88"/>
      <c r="F31" s="88"/>
    </row>
    <row r="32" spans="1:8" ht="15.75" x14ac:dyDescent="0.3">
      <c r="A32" s="28" t="s">
        <v>81</v>
      </c>
      <c r="B32" s="78">
        <f ca="1">SUM(B25:B31)</f>
        <v>545055.38917824044</v>
      </c>
      <c r="C32" s="78"/>
      <c r="D32" s="78">
        <f>SUM(D25:D31)</f>
        <v>0</v>
      </c>
      <c r="E32" s="78"/>
      <c r="F32" s="78">
        <f ca="1">SUM(F25:F31)</f>
        <v>545055.38917824044</v>
      </c>
    </row>
    <row r="35" spans="1:6" ht="15.75" x14ac:dyDescent="0.3">
      <c r="A35" s="157" t="s">
        <v>82</v>
      </c>
      <c r="B35" s="158"/>
      <c r="C35" s="158"/>
      <c r="D35" s="158"/>
      <c r="E35" s="158"/>
      <c r="F35" s="158"/>
    </row>
    <row r="37" spans="1:6" x14ac:dyDescent="0.25">
      <c r="A37" t="s">
        <v>83</v>
      </c>
      <c r="B37" s="79">
        <f>DELIVERY_REFUNDING</f>
        <v>47178</v>
      </c>
      <c r="C37" s="79"/>
      <c r="D37" s="79">
        <f>DELIVERY</f>
        <v>45561</v>
      </c>
      <c r="E37" s="79"/>
      <c r="F37" s="79">
        <f>DELIVERY_REFUNDING</f>
        <v>47178</v>
      </c>
    </row>
    <row r="38" spans="1:6" x14ac:dyDescent="0.25">
      <c r="A38" t="s">
        <v>143</v>
      </c>
      <c r="B38" s="79">
        <f>FIRST_INT_REFUNDING</f>
        <v>47178</v>
      </c>
      <c r="C38" s="79"/>
      <c r="D38" s="79">
        <f>'Sub Lien DS - First (SA)'!A11</f>
        <v>45731</v>
      </c>
      <c r="E38" s="79"/>
      <c r="F38" s="79">
        <f>B38</f>
        <v>47178</v>
      </c>
    </row>
    <row r="39" spans="1:6" x14ac:dyDescent="0.25">
      <c r="A39" t="s">
        <v>84</v>
      </c>
      <c r="B39" s="79">
        <f>_xlfn.MINIFS('Senior Lien DS - Refunding'!$A$11:$A$93,'Senior Lien DS - Refunding'!$G$11:$G$93,"&gt;"&amp;0)</f>
        <v>0</v>
      </c>
      <c r="C39" s="79"/>
      <c r="D39" s="79">
        <f ca="1">_xlfn.MINIFS('Sub Lien DS - First (SA)'!$A$11:$A$95,'Sub Lien DS - First (SA)'!$G$11:$G$95,"&gt;1")</f>
        <v>56142</v>
      </c>
      <c r="E39" s="79"/>
      <c r="F39" s="79">
        <f>B39</f>
        <v>0</v>
      </c>
    </row>
    <row r="40" spans="1:6" x14ac:dyDescent="0.25">
      <c r="A40" t="s">
        <v>85</v>
      </c>
      <c r="B40" s="79">
        <f>_xlfn.MAXIFS('Senior Lien DS - Refunding'!$A$11:$A$93,'Senior Lien DS - Refunding'!$G$11:$G$93,"&gt;"&amp;0)</f>
        <v>0</v>
      </c>
      <c r="C40" s="79"/>
      <c r="D40" s="79">
        <f ca="1">_xlfn.MAXIFS('Sub Lien DS - First (SA)'!$A$11:$A$95,'Sub Lien DS - First (SA)'!$G$11:$G$95,"&gt;1")</f>
        <v>56688</v>
      </c>
      <c r="E40" s="79"/>
      <c r="F40" s="79">
        <f>B40</f>
        <v>0</v>
      </c>
    </row>
    <row r="41" spans="1:6" x14ac:dyDescent="0.25">
      <c r="A41" t="s">
        <v>187</v>
      </c>
      <c r="B41" s="79"/>
      <c r="F41" s="79"/>
    </row>
    <row r="42" spans="1:6" x14ac:dyDescent="0.25">
      <c r="A42" t="s">
        <v>198</v>
      </c>
      <c r="B42" s="156">
        <f>DSC_REFUNDING_BONDS</f>
        <v>1.2</v>
      </c>
      <c r="C42" s="156"/>
      <c r="D42" s="156">
        <f>DSC_SUB_LIEN_BONDS</f>
        <v>1</v>
      </c>
      <c r="F42" s="156">
        <f>B42</f>
        <v>1.2</v>
      </c>
    </row>
    <row r="43" spans="1:6" x14ac:dyDescent="0.25">
      <c r="A43" s="182" t="s">
        <v>207</v>
      </c>
      <c r="B43" s="183"/>
      <c r="C43" s="183"/>
      <c r="D43" s="183"/>
      <c r="E43" s="183"/>
      <c r="F43" s="184">
        <f>BIENNIAL_REASSESS_RATE</f>
        <v>0.01</v>
      </c>
    </row>
    <row r="44" spans="1:6" x14ac:dyDescent="0.25">
      <c r="A44" t="s">
        <v>199</v>
      </c>
      <c r="F44" s="156">
        <f ca="1">SUM($B$55:$D$55)/SUM(F25:F26)</f>
        <v>-2.5476158325079625</v>
      </c>
    </row>
    <row r="45" spans="1:6" x14ac:dyDescent="0.25">
      <c r="A45" t="s">
        <v>201</v>
      </c>
      <c r="B45" s="78">
        <f>SURPLUS_FUND_DEPOSIT_REFUNDING</f>
        <v>0</v>
      </c>
      <c r="F45" s="155"/>
    </row>
    <row r="46" spans="1:6" x14ac:dyDescent="0.25">
      <c r="B46" s="78"/>
      <c r="F46" s="155"/>
    </row>
    <row r="48" spans="1:6" ht="15.75" x14ac:dyDescent="0.3">
      <c r="A48" s="157" t="s">
        <v>185</v>
      </c>
      <c r="B48" s="158"/>
      <c r="C48" s="158"/>
      <c r="D48" s="158"/>
      <c r="E48" s="158"/>
      <c r="F48" s="158"/>
    </row>
    <row r="50" spans="1:6" x14ac:dyDescent="0.25">
      <c r="A50" t="s">
        <v>190</v>
      </c>
      <c r="B50" s="142" t="e">
        <f>BOND_YEARS_SENIOR_REFUNDING/('Senior Lien DS - Refunding'!$F$96+'Senior Lien DS - Refunding'!$G$96)</f>
        <v>#DIV/0!</v>
      </c>
      <c r="C50" s="142"/>
      <c r="D50" s="142">
        <f ca="1">BOND_YEARS_SUB/('Sub Lien DS - First (SA)'!E97+'Sub Lien DS - First (SA)'!G97)</f>
        <v>27.773115349682108</v>
      </c>
    </row>
    <row r="51" spans="1:6" x14ac:dyDescent="0.25">
      <c r="A51" t="s">
        <v>463</v>
      </c>
      <c r="B51" s="149">
        <f>SENIOR_REFUNDING_INTEREST_RATE</f>
        <v>4.4999999999999998E-2</v>
      </c>
      <c r="C51" s="142"/>
      <c r="D51" s="142"/>
    </row>
    <row r="52" spans="1:6" x14ac:dyDescent="0.25">
      <c r="A52" t="s">
        <v>189</v>
      </c>
      <c r="B52" s="149">
        <f ca="1">ARB_TIC_SENIOR_REFUNDING</f>
        <v>4.5839967689685603E-2</v>
      </c>
      <c r="D52" s="149">
        <f ca="1">ARB_TIC_SUB</f>
        <v>9.0417544073816206E-2</v>
      </c>
    </row>
    <row r="53" spans="1:6" x14ac:dyDescent="0.25">
      <c r="A53" t="s">
        <v>191</v>
      </c>
      <c r="B53" s="149">
        <f ca="1">AIC_SENIOR_REFUNDING</f>
        <v>5.7742115025989527E-2</v>
      </c>
      <c r="D53" s="149">
        <f ca="1">AIC_SUB</f>
        <v>9.2584489248494495E-2</v>
      </c>
    </row>
    <row r="54" spans="1:6" s="31" customFormat="1" x14ac:dyDescent="0.25">
      <c r="A54" t="s">
        <v>192</v>
      </c>
      <c r="B54" s="78">
        <f>MAX('Senior Lien DS - Refunding'!O11:O72)</f>
        <v>0</v>
      </c>
      <c r="C54" s="78"/>
      <c r="D54" s="78">
        <f ca="1">MAX('Sub Lien DS - First (SA)'!$N$11:$N$95)</f>
        <v>629287.5</v>
      </c>
    </row>
    <row r="55" spans="1:6" s="31" customFormat="1" x14ac:dyDescent="0.25">
      <c r="A55" t="s">
        <v>193</v>
      </c>
      <c r="B55" s="78">
        <f>'Senior Lien DS - Refunding'!$O$96</f>
        <v>0</v>
      </c>
      <c r="C55" s="78"/>
      <c r="D55" s="78">
        <f ca="1">'Sub Lien DS - First (SA)'!$N$97</f>
        <v>2418764.1659205798</v>
      </c>
    </row>
    <row r="58" spans="1:6" ht="15.75" x14ac:dyDescent="0.3">
      <c r="A58" s="157" t="s">
        <v>340</v>
      </c>
      <c r="B58" s="158"/>
      <c r="C58" s="158"/>
      <c r="D58" s="158"/>
      <c r="E58" s="158"/>
      <c r="F58" s="158"/>
    </row>
    <row r="60" spans="1:6" x14ac:dyDescent="0.25">
      <c r="A60" s="22" t="s">
        <v>341</v>
      </c>
      <c r="B60" s="263"/>
      <c r="C60" s="263"/>
      <c r="D60" s="263"/>
      <c r="E60" s="263"/>
      <c r="F60" s="263"/>
    </row>
    <row r="61" spans="1:6" hidden="1" x14ac:dyDescent="0.25">
      <c r="A61" t="s">
        <v>342</v>
      </c>
      <c r="F61" s="155">
        <f>TABOR_CURRENT</f>
        <v>0.55000000000000004</v>
      </c>
    </row>
    <row r="62" spans="1:6" x14ac:dyDescent="0.25">
      <c r="A62" t="s">
        <v>343</v>
      </c>
      <c r="F62" s="155">
        <f>F61</f>
        <v>0.55000000000000004</v>
      </c>
    </row>
    <row r="64" spans="1:6" x14ac:dyDescent="0.25">
      <c r="A64" s="22" t="s">
        <v>344</v>
      </c>
      <c r="B64" s="263"/>
      <c r="C64" s="263"/>
      <c r="D64" s="263"/>
      <c r="E64" s="263"/>
      <c r="F64" s="263"/>
    </row>
    <row r="65" spans="1:6" x14ac:dyDescent="0.25">
      <c r="A65" t="s">
        <v>345</v>
      </c>
      <c r="F65" s="264">
        <f>MILL_LEVY_SERVICE_PLAN</f>
        <v>3</v>
      </c>
    </row>
    <row r="66" spans="1:6" x14ac:dyDescent="0.25">
      <c r="A66" t="s">
        <v>346</v>
      </c>
      <c r="F66" s="264">
        <f>MILL_LEVY_DS_TARGET</f>
        <v>3</v>
      </c>
    </row>
    <row r="67" spans="1:6" x14ac:dyDescent="0.25">
      <c r="A67" t="s">
        <v>347</v>
      </c>
      <c r="F67" s="264">
        <f>F66</f>
        <v>3</v>
      </c>
    </row>
    <row r="69" spans="1:6" x14ac:dyDescent="0.25">
      <c r="A69" s="22" t="s">
        <v>348</v>
      </c>
      <c r="B69" s="263"/>
      <c r="C69" s="263"/>
      <c r="D69" s="263"/>
      <c r="E69" s="263"/>
      <c r="F69" s="263"/>
    </row>
    <row r="70" spans="1:6" x14ac:dyDescent="0.25">
      <c r="A70" t="s">
        <v>349</v>
      </c>
      <c r="F70" s="265">
        <f>TAX_COLLECT_SO_PRC</f>
        <v>0</v>
      </c>
    </row>
    <row r="71" spans="1:6" x14ac:dyDescent="0.25">
      <c r="A71" t="s">
        <v>364</v>
      </c>
      <c r="F71" s="78">
        <f>TAX_COLLECT_SO_AV_THRESHOLD</f>
        <v>0</v>
      </c>
    </row>
    <row r="72" spans="1:6" x14ac:dyDescent="0.25">
      <c r="A72" t="s">
        <v>350</v>
      </c>
      <c r="F72" s="265">
        <f>COUNTY_TREASURER_FEE</f>
        <v>0</v>
      </c>
    </row>
    <row r="73" spans="1:6" x14ac:dyDescent="0.25">
      <c r="A73" t="s">
        <v>472</v>
      </c>
      <c r="F73" s="78" t="str">
        <f>TEXT(TRUSTEE_FEE, "$0,00")</f>
        <v>$4,000</v>
      </c>
    </row>
  </sheetData>
  <pageMargins left="0.7" right="0.7" top="0.75" bottom="0.75" header="0.3" footer="0.3"/>
  <pageSetup scale="61" orientation="portrait" horizontalDpi="1200" verticalDpi="1200" r:id="rId1"/>
  <headerFooter>
    <oddFooter>&amp;L&amp;"-,Bold Italic"&amp;K002060&amp;GPrepared by Tierra Financial Advisors, LLC</oddFooter>
  </headerFooter>
  <ignoredErrors>
    <ignoredError sqref="F27" formulaRange="1"/>
  </ignoredErrors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AA30C-3F3B-4A87-AFC1-49D30876F876}">
  <sheetPr codeName="Sheet4">
    <pageSetUpPr fitToPage="1"/>
  </sheetPr>
  <dimension ref="A1:CY65"/>
  <sheetViews>
    <sheetView showGridLines="0" view="pageBreakPreview" topLeftCell="A17" zoomScale="70" zoomScaleNormal="70" zoomScaleSheetLayoutView="70" zoomScalePageLayoutView="55" workbookViewId="0">
      <selection activeCell="A42" sqref="A42"/>
    </sheetView>
  </sheetViews>
  <sheetFormatPr defaultRowHeight="15" outlineLevelCol="2" x14ac:dyDescent="0.25"/>
  <cols>
    <col min="2" max="2" width="13.5703125" customWidth="1"/>
    <col min="3" max="4" width="17.7109375" style="11" customWidth="1"/>
    <col min="5" max="5" width="20.140625" customWidth="1" outlineLevel="1"/>
    <col min="6" max="6" width="24.140625" customWidth="1" outlineLevel="1"/>
    <col min="7" max="7" width="20.42578125" customWidth="1"/>
    <col min="8" max="8" width="17.7109375" customWidth="1" outlineLevel="1"/>
    <col min="9" max="9" width="24.140625" customWidth="1" outlineLevel="1"/>
    <col min="10" max="10" width="19.140625" customWidth="1"/>
    <col min="11" max="11" width="17.7109375" customWidth="1"/>
    <col min="12" max="12" width="19.28515625" customWidth="1" outlineLevel="2" collapsed="1"/>
    <col min="13" max="13" width="17.7109375" customWidth="1" outlineLevel="2"/>
    <col min="14" max="14" width="15.42578125" customWidth="1"/>
    <col min="15" max="16" width="17.7109375" hidden="1" customWidth="1"/>
    <col min="17" max="17" width="17.7109375" customWidth="1"/>
    <col min="18" max="30" width="17.7109375" hidden="1" customWidth="1" outlineLevel="1"/>
    <col min="31" max="31" width="19.5703125" hidden="1" customWidth="1" outlineLevel="1"/>
    <col min="32" max="32" width="3.140625" customWidth="1" collapsed="1"/>
    <col min="33" max="33" width="17.7109375" customWidth="1"/>
    <col min="34" max="34" width="21.140625" customWidth="1"/>
    <col min="35" max="36" width="17.7109375" customWidth="1"/>
    <col min="37" max="42" width="17.7109375" hidden="1" customWidth="1" outlineLevel="1"/>
    <col min="43" max="43" width="17.7109375" hidden="1" customWidth="1" collapsed="1"/>
    <col min="44" max="44" width="18.85546875" customWidth="1"/>
    <col min="45" max="45" width="3.140625" customWidth="1"/>
    <col min="46" max="46" width="21" customWidth="1"/>
    <col min="47" max="47" width="19.140625" bestFit="1" customWidth="1"/>
    <col min="48" max="48" width="19.28515625" bestFit="1" customWidth="1"/>
    <col min="49" max="49" width="3.140625" customWidth="1"/>
    <col min="50" max="50" width="22.42578125" customWidth="1"/>
    <col min="51" max="51" width="3.140625" customWidth="1"/>
    <col min="52" max="52" width="17.7109375" customWidth="1"/>
    <col min="53" max="53" width="21.140625" customWidth="1"/>
    <col min="54" max="55" width="17.7109375" customWidth="1"/>
    <col min="56" max="62" width="17.7109375" customWidth="1" outlineLevel="1"/>
    <col min="63" max="63" width="18.85546875" customWidth="1"/>
    <col min="64" max="64" width="3.140625" customWidth="1"/>
    <col min="65" max="65" width="21" customWidth="1"/>
    <col min="66" max="66" width="3.140625" customWidth="1"/>
    <col min="67" max="67" width="22.28515625" bestFit="1" customWidth="1"/>
    <col min="68" max="68" width="3.140625" customWidth="1"/>
    <col min="69" max="69" width="22.42578125" customWidth="1" outlineLevel="1"/>
    <col min="70" max="70" width="18.5703125" hidden="1" customWidth="1" outlineLevel="1"/>
    <col min="71" max="73" width="18.5703125" customWidth="1"/>
    <col min="74" max="74" width="17.85546875" hidden="1" customWidth="1"/>
    <col min="75" max="75" width="16.5703125" hidden="1" customWidth="1"/>
    <col min="76" max="76" width="17.85546875" bestFit="1" customWidth="1"/>
    <col min="77" max="77" width="16" bestFit="1" customWidth="1" outlineLevel="1"/>
    <col min="78" max="78" width="16.28515625" customWidth="1" outlineLevel="1"/>
    <col min="79" max="79" width="13.5703125" customWidth="1" outlineLevel="1"/>
    <col min="80" max="81" width="17" customWidth="1"/>
    <col min="82" max="82" width="16.7109375" customWidth="1"/>
    <col min="83" max="83" width="16.7109375" bestFit="1" customWidth="1"/>
    <col min="84" max="84" width="3.140625" customWidth="1"/>
    <col min="85" max="85" width="16.140625" customWidth="1"/>
    <col min="86" max="86" width="17" customWidth="1"/>
    <col min="87" max="87" width="18.42578125" customWidth="1"/>
    <col min="88" max="91" width="19" customWidth="1"/>
    <col min="92" max="93" width="18.140625" customWidth="1"/>
    <col min="94" max="94" width="2.7109375" customWidth="1" outlineLevel="1"/>
    <col min="95" max="95" width="18.140625" customWidth="1" outlineLevel="2"/>
    <col min="96" max="96" width="23" customWidth="1" outlineLevel="2"/>
    <col min="97" max="97" width="23" hidden="1" customWidth="1" outlineLevel="2"/>
    <col min="98" max="98" width="23" hidden="1" customWidth="1" outlineLevel="1"/>
    <col min="99" max="99" width="23" hidden="1" customWidth="1" outlineLevel="2"/>
    <col min="100" max="100" width="23" hidden="1" customWidth="1" outlineLevel="1" collapsed="1"/>
    <col min="101" max="103" width="21.5703125" customWidth="1" outlineLevel="1"/>
  </cols>
  <sheetData>
    <row r="1" spans="1:103" ht="26.25" x14ac:dyDescent="0.4">
      <c r="E1" s="111" t="str">
        <f>METRO</f>
        <v>Viridian Farm Public Improvement District</v>
      </c>
      <c r="H1" s="111" t="str">
        <f>METRO</f>
        <v>Viridian Farm Public Improvement District</v>
      </c>
      <c r="AG1" s="111" t="str">
        <f>METRO</f>
        <v>Viridian Farm Public Improvement District</v>
      </c>
      <c r="AX1" s="111"/>
      <c r="AZ1" s="111" t="str">
        <f>METRO</f>
        <v>Viridian Farm Public Improvement District</v>
      </c>
      <c r="BO1" s="111"/>
      <c r="BQ1" s="111" t="str">
        <f>METRO</f>
        <v>Viridian Farm Public Improvement District</v>
      </c>
      <c r="CH1" s="111" t="str">
        <f>METRO</f>
        <v>Viridian Farm Public Improvement District</v>
      </c>
    </row>
    <row r="2" spans="1:103" ht="18.75" x14ac:dyDescent="0.3">
      <c r="E2" s="110" t="str">
        <f>"City of " &amp; CITY &amp; " / " &amp; COUNTY &amp; " County "</f>
        <v xml:space="preserve">City of Salem / Utah County </v>
      </c>
      <c r="H2" s="110" t="s">
        <v>476</v>
      </c>
      <c r="M2" s="6"/>
      <c r="AG2" s="110" t="str">
        <f>H2</f>
        <v>Adams County, Colorado</v>
      </c>
      <c r="AN2" s="7"/>
      <c r="AO2" s="7"/>
      <c r="AP2" s="7"/>
      <c r="AX2" s="110"/>
      <c r="AZ2" s="110" t="str">
        <f>AG2</f>
        <v>Adams County, Colorado</v>
      </c>
      <c r="BG2" s="7"/>
      <c r="BH2" s="7"/>
      <c r="BI2" s="7"/>
      <c r="BO2" s="110"/>
      <c r="BQ2" s="110" t="str">
        <f>AZ2</f>
        <v>Adams County, Colorado</v>
      </c>
      <c r="BZ2" s="27"/>
      <c r="CA2" s="27"/>
      <c r="CB2" s="27"/>
      <c r="CH2" s="110" t="str">
        <f>BQ2</f>
        <v>Adams County, Colorado</v>
      </c>
    </row>
    <row r="3" spans="1:103" ht="15.75" x14ac:dyDescent="0.25">
      <c r="C3" s="273"/>
      <c r="E3" s="109" t="str">
        <f>ANALYSIS</f>
        <v>Development Projections at 3.000 Mills for Debt Service</v>
      </c>
      <c r="F3" s="80"/>
      <c r="H3" s="109" t="str">
        <f>ANALYSIS</f>
        <v>Development Projections at 3.000 Mills for Debt Service</v>
      </c>
      <c r="I3" s="80"/>
      <c r="M3" s="6"/>
      <c r="N3" s="6"/>
      <c r="AG3" s="109" t="str">
        <f>ANALYSIS</f>
        <v>Development Projections at 3.000 Mills for Debt Service</v>
      </c>
      <c r="AL3" s="6"/>
      <c r="AO3" s="139"/>
      <c r="AX3" s="109"/>
      <c r="AZ3" s="109" t="str">
        <f>ANALYSIS</f>
        <v>Development Projections at 3.000 Mills for Debt Service</v>
      </c>
      <c r="BE3" s="6"/>
      <c r="BH3" s="139"/>
      <c r="BO3" s="109"/>
      <c r="BQ3" s="109" t="str">
        <f>ANALYSIS</f>
        <v>Development Projections at 3.000 Mills for Debt Service</v>
      </c>
      <c r="BZ3" s="27"/>
      <c r="CA3" s="27"/>
      <c r="CB3" s="27"/>
      <c r="CH3" s="109" t="str">
        <f>ANALYSIS</f>
        <v>Development Projections at 3.000 Mills for Debt Service</v>
      </c>
      <c r="CI3" s="8"/>
    </row>
    <row r="4" spans="1:103" x14ac:dyDescent="0.25">
      <c r="E4" s="99" t="str">
        <f ca="1">SENIOR_BONDS_SERIES &amp; " - " &amp;TEXT('Sources and Uses - First'!$B$12/1000000,"$0.00") &amp; "MM " &amp; "(" &amp; TEXT(DSC_SENIOR_LIEN_BONDS,"0.00x") &amp; ")" &amp; " and " &amp; SUB_BONDS_SERIES &amp; " - " &amp;TEXT('Sources and Uses - First'!$D$12/1000000,"$0.00") &amp; "MM " &amp; "(" &amp; TEXT(DSC_SUB_LIEN_BONDS,"0.00x") &amp; ")"</f>
        <v>Series 2024A - $5.69MM (1.30x) and Series 2024B - $1.00MM (1.00x)</v>
      </c>
      <c r="H4" s="99" t="str">
        <f ca="1">SENIOR_BONDS_SERIES &amp; " - " &amp;TEXT('Sources and Uses - First'!$B$12/1000000,"$0.00") &amp; "MM " &amp; "(" &amp; TEXT(DSC_SENIOR_LIEN_BONDS,"0.00x") &amp; ")" &amp; " and " &amp; SUB_BONDS_SERIES &amp; " - " &amp;TEXT('Sources and Uses - First'!$D$12/1000000,"$0.00") &amp; "MM " &amp; "(" &amp; TEXT(DSC_SUB_LIEN_BONDS,"0.00x") &amp; ")"</f>
        <v>Series 2024A - $5.69MM (1.30x) and Series 2024B - $1.00MM (1.00x)</v>
      </c>
      <c r="K4" s="4"/>
      <c r="M4" s="216"/>
      <c r="N4" s="4"/>
      <c r="V4" s="6"/>
      <c r="W4" s="7"/>
      <c r="X4" s="6"/>
      <c r="Y4" s="6"/>
      <c r="Z4" s="6"/>
      <c r="AG4" s="99" t="str">
        <f ca="1">SENIOR_BONDS_SERIES &amp; " - " &amp;TEXT('Sources and Uses - First'!$B$12/1000000,"$0.00") &amp; "MM " &amp; "(" &amp; TEXT(DSC_SENIOR_LIEN_BONDS,"0.00x") &amp; ")" &amp; " and " &amp; SUB_BONDS_SERIES &amp; " - " &amp;TEXT('Sources and Uses - First'!$D$12/1000000,"$0.00") &amp; "MM " &amp; "(" &amp; TEXT(DSC_SUB_LIEN_BONDS,"0.00x") &amp; ")"</f>
        <v>Series 2024A - $5.69MM (1.30x) and Series 2024B - $1.00MM (1.00x)</v>
      </c>
      <c r="AN4" s="7"/>
      <c r="AO4" s="7"/>
      <c r="AX4" s="99"/>
      <c r="AZ4" s="99" t="str">
        <f ca="1">SENIOR_BONDS_SERIES &amp; " - " &amp;TEXT('Sources and Uses - First'!$B$12/1000000,"$0.00") &amp; "MM " &amp; "(" &amp; TEXT(DSC_SENIOR_LIEN_BONDS,"0.00x") &amp; ")" &amp; " and " &amp; SUB_BONDS_SERIES &amp; " - " &amp;TEXT('Sources and Uses - First'!$D$12/1000000,"$0.00") &amp; "MM " &amp; "(" &amp; TEXT(DSC_SUB_LIEN_BONDS,"0.00x") &amp; ")"</f>
        <v>Series 2024A - $5.69MM (1.30x) and Series 2024B - $1.00MM (1.00x)</v>
      </c>
      <c r="BG4" s="7"/>
      <c r="BH4" s="7"/>
      <c r="BO4" s="99"/>
      <c r="BQ4" s="99" t="str">
        <f ca="1">SENIOR_BONDS_SERIES &amp; " - " &amp;TEXT('Sources and Uses - First'!$B$12/1000000,"$0.00") &amp; "MM " &amp; "(" &amp; TEXT(DSC_SENIOR_LIEN_BONDS,"0.00x") &amp; ")" &amp; " and " &amp; SUB_BONDS_SERIES &amp; " - " &amp;TEXT('Sources and Uses - First'!$D$12/1000000,"$0.00") &amp; "MM " &amp; "(" &amp; TEXT(DSC_SUB_LIEN_BONDS,"0.00x") &amp; ")"</f>
        <v>Series 2024A - $5.69MM (1.30x) and Series 2024B - $1.00MM (1.00x)</v>
      </c>
      <c r="CH4" s="99" t="str">
        <f ca="1">SENIOR_BONDS_SERIES &amp; " - " &amp;TEXT('Sources and Uses - First'!$B$12/1000000,"$0.00") &amp; "MM " &amp; "(" &amp; TEXT(DSC_SENIOR_LIEN_BONDS,"0.00x") &amp; ")" &amp; " and " &amp; SUB_BONDS_SERIES &amp; " - " &amp;TEXT('Sources and Uses - First'!$D$12/1000000,"$0.00") &amp; "MM " &amp; "(" &amp; TEXT(DSC_SUB_LIEN_BONDS,"0.00x") &amp; ")"</f>
        <v>Series 2024A - $5.69MM (1.30x) and Series 2024B - $1.00MM (1.00x)</v>
      </c>
      <c r="CI4" s="8"/>
      <c r="CM4" s="7"/>
    </row>
    <row r="5" spans="1:103" ht="8.25" customHeight="1" x14ac:dyDescent="0.25">
      <c r="C5" s="99"/>
      <c r="D5" s="99"/>
      <c r="M5" s="216"/>
      <c r="N5" s="4"/>
      <c r="V5" s="6"/>
      <c r="W5" s="7"/>
      <c r="X5" s="6"/>
      <c r="Y5" s="6"/>
      <c r="Z5" s="6"/>
      <c r="AG5" s="99"/>
      <c r="AN5" s="7"/>
      <c r="AO5" s="7"/>
      <c r="AX5" s="99"/>
      <c r="AZ5" s="99"/>
      <c r="BG5" s="7"/>
      <c r="BH5" s="7"/>
      <c r="BO5" s="99"/>
      <c r="BQ5" s="99"/>
      <c r="CH5" s="99"/>
      <c r="CI5" s="8"/>
      <c r="CM5" s="7"/>
    </row>
    <row r="6" spans="1:103" ht="18.75" x14ac:dyDescent="0.3">
      <c r="C6" s="99"/>
      <c r="E6" s="110" t="s">
        <v>325</v>
      </c>
      <c r="H6" s="110" t="s">
        <v>325</v>
      </c>
      <c r="I6" s="6"/>
      <c r="K6" s="346"/>
      <c r="L6" s="7"/>
      <c r="M6" s="216"/>
      <c r="N6" s="4"/>
      <c r="V6" s="6"/>
      <c r="W6" s="7"/>
      <c r="X6" s="6"/>
      <c r="Y6" s="6"/>
      <c r="Z6" s="6"/>
      <c r="AG6" s="110" t="s">
        <v>418</v>
      </c>
      <c r="AN6" s="7"/>
      <c r="AO6" s="7"/>
      <c r="AX6" s="110"/>
      <c r="AZ6" s="110" t="s">
        <v>423</v>
      </c>
      <c r="BG6" s="7"/>
      <c r="BH6" s="7"/>
      <c r="BO6" s="110"/>
      <c r="BQ6" s="110" t="s">
        <v>329</v>
      </c>
      <c r="BU6" s="203"/>
      <c r="CH6" s="110" t="s">
        <v>328</v>
      </c>
      <c r="CI6" s="8"/>
      <c r="CM6" s="7"/>
    </row>
    <row r="7" spans="1:103" ht="26.25" customHeight="1" x14ac:dyDescent="0.25">
      <c r="C7" s="99" t="str">
        <f>IF(SECOND_FINANCING="No","",SENIOR_BONDS_SERIES_SECOND &amp; " - " &amp;TEXT(#REF!/1000000,"$0.00") &amp; "MM " &amp; "(" &amp; TEXT(DSC_SENIOR_LIEN_BONDS_SECOND,"0.00x") &amp; ")" &amp; " and " &amp; SUB_BONDS_SERIES_SECOND &amp; " - " &amp;TEXT(#REF!/1000000,"$0.00") &amp; "MM " &amp; "(" &amp; TEXT(DSC_SUB_LIEN_BONDS_SECOND,"0.00x") &amp; ")")</f>
        <v/>
      </c>
      <c r="D7" s="99"/>
      <c r="I7" s="6"/>
      <c r="M7" s="6"/>
      <c r="AN7" s="7"/>
      <c r="BG7" s="7"/>
      <c r="CM7" s="16"/>
      <c r="CN7" s="4"/>
      <c r="CO7" s="4"/>
    </row>
    <row r="8" spans="1:103" ht="15.75" x14ac:dyDescent="0.25">
      <c r="C8" s="99"/>
      <c r="D8" s="99"/>
      <c r="E8" s="237" t="s">
        <v>406</v>
      </c>
      <c r="H8" s="237"/>
      <c r="K8" s="237"/>
      <c r="M8" s="4"/>
      <c r="AG8" s="237"/>
      <c r="AO8" s="15"/>
      <c r="AZ8" s="237" t="s">
        <v>396</v>
      </c>
      <c r="BH8" s="15"/>
      <c r="CM8" s="16"/>
      <c r="CN8" s="4"/>
      <c r="CO8" s="4"/>
    </row>
    <row r="9" spans="1:103" x14ac:dyDescent="0.25">
      <c r="D9" s="132"/>
      <c r="E9" s="239"/>
      <c r="F9" s="241"/>
      <c r="G9" s="241"/>
      <c r="H9" s="355"/>
      <c r="I9" s="355"/>
      <c r="J9" s="355"/>
      <c r="K9" s="356"/>
      <c r="L9" s="355"/>
      <c r="M9" s="355"/>
      <c r="N9" s="355"/>
      <c r="O9" s="355" t="s">
        <v>326</v>
      </c>
      <c r="P9" s="355"/>
      <c r="Q9" s="356"/>
      <c r="R9" s="121" t="s">
        <v>390</v>
      </c>
      <c r="S9" s="121"/>
      <c r="T9" s="121"/>
      <c r="U9" s="121"/>
      <c r="V9" s="192" t="s">
        <v>391</v>
      </c>
      <c r="W9" s="192"/>
      <c r="X9" s="192"/>
      <c r="Y9" s="192"/>
      <c r="Z9" s="192"/>
      <c r="AA9" s="295" t="s">
        <v>352</v>
      </c>
      <c r="AB9" s="295"/>
      <c r="AC9" s="294"/>
      <c r="AD9" s="294"/>
      <c r="AE9" s="301" t="s">
        <v>394</v>
      </c>
      <c r="AG9" s="358"/>
      <c r="AH9" s="359"/>
      <c r="AI9" s="359"/>
      <c r="AJ9" s="359"/>
      <c r="AK9" s="359"/>
      <c r="AL9" s="359"/>
      <c r="AM9" s="359"/>
      <c r="AN9" s="359"/>
      <c r="AO9" s="359"/>
      <c r="AP9" s="359"/>
      <c r="AQ9" s="359"/>
      <c r="AR9" s="226"/>
      <c r="AS9" s="360"/>
      <c r="AT9" s="363" t="s">
        <v>301</v>
      </c>
      <c r="AU9" s="363"/>
      <c r="AV9" s="359"/>
      <c r="AW9" s="360"/>
      <c r="AX9" s="226"/>
      <c r="AZ9" s="269"/>
      <c r="BA9" s="240"/>
      <c r="BB9" s="240"/>
      <c r="BC9" s="240"/>
      <c r="BD9" s="240"/>
      <c r="BE9" s="240"/>
      <c r="BF9" s="240"/>
      <c r="BG9" s="240"/>
      <c r="BH9" s="240"/>
      <c r="BI9" s="240"/>
      <c r="BJ9" s="240"/>
      <c r="BK9" s="95"/>
      <c r="BM9" s="211" t="s">
        <v>301</v>
      </c>
      <c r="BO9" s="98"/>
      <c r="BQ9" s="226"/>
      <c r="BR9" s="226"/>
      <c r="BS9" s="226"/>
      <c r="BT9" s="226"/>
      <c r="BU9" s="226"/>
      <c r="BV9" s="226"/>
      <c r="BW9" s="226"/>
      <c r="BX9" s="226"/>
      <c r="BY9" s="226"/>
      <c r="BZ9" s="226"/>
      <c r="CA9" s="226"/>
      <c r="CB9" s="226"/>
      <c r="CC9" s="226"/>
      <c r="CD9" s="226"/>
      <c r="CE9" s="353"/>
      <c r="CH9" s="226"/>
      <c r="CI9" s="226"/>
      <c r="CJ9" s="226"/>
      <c r="CK9" s="226"/>
      <c r="CL9" s="226"/>
      <c r="CM9" s="226"/>
      <c r="CN9" s="226"/>
      <c r="CO9" s="226"/>
      <c r="CQ9" s="4"/>
    </row>
    <row r="10" spans="1:103" s="1" customFormat="1" ht="90" x14ac:dyDescent="0.25">
      <c r="B10" s="33"/>
      <c r="C10" s="108" t="s">
        <v>365</v>
      </c>
      <c r="D10" s="226" t="s">
        <v>183</v>
      </c>
      <c r="E10" s="5" t="str">
        <f>" Home Market Value Biennial Reassement @ " &amp; TEXT(BIENNIAL_REASSESS_RATE,"0.00%")</f>
        <v xml:space="preserve"> Home Market Value Biennial Reassement @ 1.00%</v>
      </c>
      <c r="F10" s="5" t="s">
        <v>405</v>
      </c>
      <c r="G10" s="5" t="str">
        <f>"AV @ " &amp; TEXT(TABOR_CURRENT,"0.00%")</f>
        <v>AV @ 55.00%</v>
      </c>
      <c r="H10" s="357" t="s">
        <v>327</v>
      </c>
      <c r="I10" s="357" t="s">
        <v>499</v>
      </c>
      <c r="J10" s="357" t="str">
        <f>"AV @ " &amp; TEXT(DEVELOPED_LOT_VALUE, "0.00%") &amp; " of Market (1yr Lag)"</f>
        <v>AV @ 55.00% of Market (1yr Lag)</v>
      </c>
      <c r="K10" s="357" t="s">
        <v>1</v>
      </c>
      <c r="L10" s="357" t="str">
        <f>" Home Market Value Reassement @ " &amp; TEXT(BIENNIAL_REASSESS_RATE_SUBORDINATE,"0.00%")</f>
        <v xml:space="preserve"> Home Market Value Reassement @ 1.00%</v>
      </c>
      <c r="M10" s="357" t="s">
        <v>500</v>
      </c>
      <c r="N10" s="357" t="str">
        <f>"AV @ " &amp; TEXT(TABOR_CURRENT,"0.00%")</f>
        <v>AV @ 55.00%</v>
      </c>
      <c r="O10" s="357" t="s">
        <v>385</v>
      </c>
      <c r="P10" s="357" t="s">
        <v>451</v>
      </c>
      <c r="Q10" s="357" t="s">
        <v>324</v>
      </c>
      <c r="R10" s="5" t="s">
        <v>386</v>
      </c>
      <c r="S10" s="5" t="str">
        <f>" Commercial Market Value Biennial Reassement @ " &amp; TEXT(BIENNIAL_REASSESS_RATE,"0.00%")</f>
        <v xml:space="preserve"> Commercial Market Value Biennial Reassement @ 1.00%</v>
      </c>
      <c r="T10" s="5" t="s">
        <v>2</v>
      </c>
      <c r="U10" s="5" t="str">
        <f>"AV @ " &amp; TEXT(PLATTED_COMM_LOT_VALUE, "0.00%") &amp; " of Market (2yr Lag)"</f>
        <v>AV @ 10.00% of Market (2yr Lag)</v>
      </c>
      <c r="V10" s="5" t="s">
        <v>389</v>
      </c>
      <c r="W10" s="5" t="str">
        <f>"Commercial Market Value Biennial Reassement @ " &amp; TEXT(BIENNIAL_REASSESS_RATE,"0.00%")</f>
        <v>Commercial Market Value Biennial Reassement @ 1.00%</v>
      </c>
      <c r="X10" s="5" t="s">
        <v>2</v>
      </c>
      <c r="Y10" s="5" t="str">
        <f>"AV @ " &amp; TEXT(DEVELOPED_LOT_VALUE, "0.00%") &amp; " of Market (2yr Lag)"</f>
        <v>AV @ 55.00% of Market (2yr Lag)</v>
      </c>
      <c r="Z10" s="193" t="s">
        <v>246</v>
      </c>
      <c r="AA10" s="5" t="s">
        <v>353</v>
      </c>
      <c r="AB10" s="5" t="s">
        <v>392</v>
      </c>
      <c r="AC10" s="5" t="s">
        <v>354</v>
      </c>
      <c r="AD10" s="193" t="s">
        <v>355</v>
      </c>
      <c r="AE10" s="193" t="s">
        <v>395</v>
      </c>
      <c r="AG10" s="357" t="s">
        <v>3</v>
      </c>
      <c r="AH10" s="357" t="str">
        <f>"District Debt Service Mill Levy [" &amp; TEXT(MILL_LEVY_DS_TARGET,"0.000")&amp; " Target] / [" &amp; TEXT(MILL_LEVY_DS_CAP,"0.000")&amp; " Cap]"</f>
        <v>District Debt Service Mill Levy [3.000 Target] / [3.000 Cap]</v>
      </c>
      <c r="AI10" s="357" t="str">
        <f>"District Debt Service Mill Levy Collections @ " &amp; TEXT(TAX_COLLECT_MILL_PRC, "0.00%")</f>
        <v>District Debt Service Mill Levy Collections @ 98.00%</v>
      </c>
      <c r="AJ10" s="357" t="str">
        <f>"District S.O. Taxes Collected @ " &amp; TEXT(TAX_COLLECT_SO_PRC, "0.00%")</f>
        <v>District S.O. Taxes Collected @ 0.00%</v>
      </c>
      <c r="AK10" s="357" t="s">
        <v>3</v>
      </c>
      <c r="AL10" s="357" t="str">
        <f>"District Debt Service Mill Levy [" &amp; TEXT(MILL_LEVY_COMM,"0.000")&amp; " Target] / [" &amp; TEXT(MILL_LEVY_COMM,"0.000")&amp; " Cap]"</f>
        <v>District Debt Service Mill Levy [0.000 Target] / [0.000 Cap]</v>
      </c>
      <c r="AM10" s="357" t="str">
        <f>"District Debt Service Mill Levy Collections @ " &amp; TEXT(TAX_COLLECT_MILL_PRC, "0.00%")</f>
        <v>District Debt Service Mill Levy Collections @ 98.00%</v>
      </c>
      <c r="AN10" s="357" t="str">
        <f>"District S.O. Taxes Collected @ " &amp; TEXT(TAX_COLLECT_SO_PRC, "0.00%")</f>
        <v>District S.O. Taxes Collected @ 0.00%</v>
      </c>
      <c r="AO10" s="357" t="str">
        <f>"Annual Taxable Sales Revenue (inflated @ " &amp; TEXT(INFLATION_RATE_COMM_SALES, "0.0%") &amp;")"</f>
        <v>Annual Taxable Sales Revenue (inflated @ 1.0%)</v>
      </c>
      <c r="AP10" s="357" t="str">
        <f>"Annual Sales Public Improvement Fee (PIF) Revenue @" &amp; TEXT(INFLATION_RATE, "0.0%")</f>
        <v>Annual Sales Public Improvement Fee (PIF) Revenue @3.0%</v>
      </c>
      <c r="AQ10" s="357" t="s">
        <v>473</v>
      </c>
      <c r="AR10" s="357" t="s">
        <v>417</v>
      </c>
      <c r="AS10" s="362"/>
      <c r="AT10" s="361" t="str">
        <f>"County Treasurer Fee " &amp; TEXT(COUNTY_TREASURER_FEE,"0.00%")</f>
        <v>County Treasurer Fee 0.00%</v>
      </c>
      <c r="AU10" s="361" t="str">
        <f>"Annual Trustee Fee " &amp; TEXT(TRUSTEE_FEE, "$0,00")</f>
        <v>Annual Trustee Fee $4,000</v>
      </c>
      <c r="AV10" s="361" t="s">
        <v>513</v>
      </c>
      <c r="AW10" s="362"/>
      <c r="AX10" s="357" t="s">
        <v>426</v>
      </c>
      <c r="AZ10" s="5" t="s">
        <v>3</v>
      </c>
      <c r="BA10" s="5" t="str">
        <f>"District Debt Service Mill Levy [" &amp; TEXT(MILL_LEVY_DS_TARGET,"0.000")&amp; " Target] / [" &amp; TEXT(MILL_LEVY_DS_CAP,"0.000")&amp; " Cap]"</f>
        <v>District Debt Service Mill Levy [3.000 Target] / [3.000 Cap]</v>
      </c>
      <c r="BB10" s="5" t="str">
        <f>"District Debt Service Mill Levy Collections @ " &amp; TEXT(TAX_COLLECT_MILL_PRC, "0.00%")</f>
        <v>District Debt Service Mill Levy Collections @ 98.00%</v>
      </c>
      <c r="BC10" s="5" t="str">
        <f>"District S.O. Taxes Collected @ " &amp; TEXT(TAX_COLLECT_SO_PRC, "0.00%")</f>
        <v>District S.O. Taxes Collected @ 0.00%</v>
      </c>
      <c r="BD10" s="5" t="s">
        <v>3</v>
      </c>
      <c r="BE10" s="5" t="str">
        <f>"District Debt Service Mill Levy [" &amp; TEXT(MILL_LEVY_COMM,"0.000")&amp; " Target] / [" &amp; TEXT(MILL_LEVY_COMM,"0.000")&amp; " Cap]"</f>
        <v>District Debt Service Mill Levy [0.000 Target] / [0.000 Cap]</v>
      </c>
      <c r="BF10" s="5" t="str">
        <f>"District Debt Service Mill Levy Collections @ " &amp; TEXT(TAX_COLLECT_MILL_PRC, "0.00%")</f>
        <v>District Debt Service Mill Levy Collections @ 98.00%</v>
      </c>
      <c r="BG10" s="5" t="str">
        <f>"District S.O. Taxes Collected @ " &amp; TEXT(TAX_COLLECT_SO_PRC, "0.00%")</f>
        <v>District S.O. Taxes Collected @ 0.00%</v>
      </c>
      <c r="BH10" s="5" t="str">
        <f>"Annual Taxable Sales Revenue (inflated @ " &amp; TEXT(INFLATION_RATE_COMM_SALES, "0.0%") &amp;")"</f>
        <v>Annual Taxable Sales Revenue (inflated @ 1.0%)</v>
      </c>
      <c r="BI10" s="5" t="str">
        <f>"Annual Sales Public Improvement Fee (PIF) Revenue @" &amp; TEXT(INFLATION_RATE, "0.0%")</f>
        <v>Annual Sales Public Improvement Fee (PIF) Revenue @3.0%</v>
      </c>
      <c r="BJ10" s="5" t="s">
        <v>358</v>
      </c>
      <c r="BK10" s="95" t="s">
        <v>424</v>
      </c>
      <c r="BM10" s="212" t="str">
        <f>"Annual Trustee Fee " &amp; TEXT(TRUSTEE_FEE_SUB, "$0,00")</f>
        <v>Annual Trustee Fee $3,000</v>
      </c>
      <c r="BO10" s="98" t="s">
        <v>427</v>
      </c>
      <c r="BQ10" s="357" t="str">
        <f ca="1">'Sources and Uses - First'!$B$10 &amp; " " &amp; TEXT('Sources and Uses - First'!$B$12/1000000,"$0.00") &amp; "MM " &amp; "Par Net Debt Service"</f>
        <v>Senior Lien Bonds - Series 2024A $5.69MM Par Net Debt Service</v>
      </c>
      <c r="BR10" s="357" t="str">
        <f>'Sources and Uses - Refunding'!$B$10 &amp; " " &amp; TEXT('Sources and Uses - Refunding'!$B$12/1000000,"$0.00") &amp; "MM " &amp; "Par Net Debt Service"</f>
        <v>Refunding Senior Lien Bonds - Series 2029 $0.00MM Par Net Debt Service</v>
      </c>
      <c r="BS10" s="357" t="s">
        <v>221</v>
      </c>
      <c r="BT10" s="357" t="s">
        <v>222</v>
      </c>
      <c r="BU10" s="357" t="str">
        <f>'Sources and Uses - First'!$B$10 &amp; " Surplus"</f>
        <v>Senior Lien Bonds - Series 2024A Surplus</v>
      </c>
      <c r="BV10" s="357" t="str">
        <f>'Sources and Uses - Refunding'!$B$10 &amp; " Surplus"</f>
        <v>Refunding Senior Lien Bonds - Series 2029 Surplus</v>
      </c>
      <c r="BW10" s="357" t="s">
        <v>251</v>
      </c>
      <c r="BX10" s="357" t="s">
        <v>4</v>
      </c>
      <c r="BY10" s="357" t="str">
        <f>'Sources and Uses - First'!$B$10 &amp; " Surplus Release"</f>
        <v>Senior Lien Bonds - Series 2024A Surplus Release</v>
      </c>
      <c r="BZ10" s="357" t="str">
        <f>'Sources and Uses - First'!$B$10 &amp; " Surplus"</f>
        <v>Senior Lien Bonds - Series 2024A Surplus</v>
      </c>
      <c r="CA10" s="357" t="s">
        <v>6</v>
      </c>
      <c r="CB10" s="357" t="s">
        <v>7</v>
      </c>
      <c r="CC10" s="357" t="s">
        <v>10</v>
      </c>
      <c r="CD10" s="357" t="str">
        <f>"Coverage of Net DS: @ " &amp; TEXT(MILL_LEVY_DS_TARGET,"0.000") &amp; " Target"</f>
        <v>Coverage of Net DS: @ 3.000 Target</v>
      </c>
      <c r="CE10" s="94" t="str">
        <f>"Coverage of Net DS: @ " &amp; TEXT(MILL_LEVY_DS_CAP,"0.000") &amp; " Cap"</f>
        <v>Coverage of Net DS: @ 3.000 Cap</v>
      </c>
      <c r="CH10" s="357" t="s">
        <v>13</v>
      </c>
      <c r="CI10" s="357" t="s">
        <v>11</v>
      </c>
      <c r="CJ10" s="357" t="s">
        <v>12</v>
      </c>
      <c r="CK10" s="357" t="str">
        <f>'Sources and Uses - First'!$D$10 &amp;" Sub. Bond Interest on Balance " &amp; TEXT(SUB_INTEREST_RATE, "0.00%")</f>
        <v>Subordinate Lien Cashflow Bonds - Series 2024B Sub. Bond Interest on Balance 8.13%</v>
      </c>
      <c r="CL10" s="357" t="str">
        <f>'Sources and Uses - First'!$D$10 &amp; " Less Payments Toward Sub. Bond Interest"</f>
        <v>Subordinate Lien Cashflow Bonds - Series 2024B Less Payments Toward Sub. Bond Interest</v>
      </c>
      <c r="CM10" s="357" t="str">
        <f>'Sources and Uses - First'!$D$10 &amp;" Accrued Interest + Interest on Balance @ " &amp; TEXT(SUB_INTEREST_RATE, "0.00%")</f>
        <v>Subordinate Lien Cashflow Bonds - Series 2024B Accrued Interest + Interest on Balance @ 8.13%</v>
      </c>
      <c r="CN10" s="357" t="str">
        <f>'Sources and Uses - First'!$D$10 &amp; " Less Payments Toward Accrued Interest"</f>
        <v>Subordinate Lien Cashflow Bonds - Series 2024B Less Payments Toward Accrued Interest</v>
      </c>
      <c r="CO10" s="357" t="s">
        <v>16</v>
      </c>
      <c r="CP10" s="226"/>
      <c r="CQ10" s="357" t="str">
        <f>'Sources and Uses - First'!$B$10&amp; " Total Sub. Bonds Principal Issued"</f>
        <v>Senior Lien Bonds - Series 2024A Total Sub. Bonds Principal Issued</v>
      </c>
      <c r="CR10" s="357" t="str">
        <f>'Sources and Uses - First'!$B$10&amp;"  Less Payments Toward Bond Principal"</f>
        <v>Senior Lien Bonds - Series 2024A  Less Payments Toward Bond Principal</v>
      </c>
      <c r="CS10" s="100" t="str">
        <f>'Sources and Uses - First'!$B$10&amp; " Balance of Sub. Bond Principal"</f>
        <v>Senior Lien Bonds - Series 2024A Balance of Sub. Bond Principal</v>
      </c>
      <c r="CT10" s="100" t="s">
        <v>220</v>
      </c>
      <c r="CU10" s="100" t="str">
        <f>'Sources and Uses - First'!$B$10&amp; " Total Sub. Debt Payments"</f>
        <v>Senior Lien Bonds - Series 2024A Total Sub. Debt Payments</v>
      </c>
      <c r="CV10" s="100" t="s">
        <v>17</v>
      </c>
      <c r="CW10" s="357" t="s">
        <v>18</v>
      </c>
      <c r="CX10" s="100" t="s">
        <v>5</v>
      </c>
      <c r="CY10" s="100" t="s">
        <v>6</v>
      </c>
    </row>
    <row r="11" spans="1:103" s="224" customFormat="1" hidden="1" x14ac:dyDescent="0.25">
      <c r="B11" s="225"/>
      <c r="C11" s="229" t="s">
        <v>317</v>
      </c>
      <c r="D11" s="229"/>
      <c r="E11" s="231"/>
      <c r="F11" s="3"/>
      <c r="G11" s="227"/>
      <c r="H11" s="231"/>
      <c r="I11" s="3"/>
      <c r="J11" s="227"/>
      <c r="K11" s="227"/>
      <c r="L11" s="227"/>
      <c r="M11" s="227"/>
      <c r="N11" s="227"/>
      <c r="O11" s="226"/>
      <c r="P11" s="226"/>
      <c r="Q11" s="226"/>
      <c r="R11" s="226"/>
      <c r="S11" s="226"/>
      <c r="T11" s="226"/>
      <c r="U11" s="227"/>
      <c r="V11" s="227"/>
      <c r="W11" s="227"/>
      <c r="X11" s="227"/>
      <c r="Y11" s="227"/>
      <c r="Z11" s="226"/>
      <c r="AA11" s="4"/>
      <c r="AB11" s="4"/>
      <c r="AC11" s="4"/>
      <c r="AD11" s="4"/>
      <c r="AE11" s="4"/>
      <c r="AG11" s="227"/>
      <c r="AH11" s="227"/>
      <c r="AI11" s="227"/>
      <c r="AJ11" s="227"/>
      <c r="AK11" s="227"/>
      <c r="AL11" s="227"/>
      <c r="AM11" s="4">
        <f t="shared" ref="AM11:AM12" si="0">AK11/1000*AL11*TAX_COLLECT_MILL_PRC</f>
        <v>0</v>
      </c>
      <c r="AN11" s="4">
        <f t="shared" ref="AN11:AN12" si="1">AM11*TAX_COLLECT_SO_PRC</f>
        <v>0</v>
      </c>
      <c r="AO11" s="97"/>
      <c r="AP11" s="4">
        <f t="shared" ref="AP11:AP12" si="2">AO11*INFLATION_RATE</f>
        <v>0</v>
      </c>
      <c r="AQ11" s="4">
        <f t="shared" ref="AQ11:AQ53" si="3">CAPITAL_IMPROV_FEE*$K11</f>
        <v>0</v>
      </c>
      <c r="AR11" s="226"/>
      <c r="AT11" s="228"/>
      <c r="AU11" s="228"/>
      <c r="AV11" s="228"/>
      <c r="AX11" s="226"/>
      <c r="AZ11" s="227"/>
      <c r="BA11" s="227"/>
      <c r="BB11" s="227"/>
      <c r="BC11" s="227"/>
      <c r="BD11" s="227"/>
      <c r="BE11" s="227"/>
      <c r="BF11" s="4">
        <f t="shared" ref="BF11:BF56" si="4">BD11/1000*BE11*TAX_COLLECT_MILL_PRC</f>
        <v>0</v>
      </c>
      <c r="BG11" s="4">
        <f t="shared" ref="BG11:BG56" si="5">BF11*TAX_COLLECT_SO_PRC</f>
        <v>0</v>
      </c>
      <c r="BH11" s="97"/>
      <c r="BI11" s="4">
        <f t="shared" ref="BI11:BI56" si="6">BH11*INFLATION_RATE</f>
        <v>0</v>
      </c>
      <c r="BJ11" s="4">
        <f t="shared" ref="BJ11:BJ53" si="7">CAPITAL_IMPROV_FEE*$K11</f>
        <v>0</v>
      </c>
      <c r="BK11" s="226"/>
      <c r="BM11" s="228"/>
      <c r="BO11" s="226"/>
      <c r="BQ11" s="227"/>
      <c r="BR11" s="227"/>
      <c r="BS11" s="227"/>
      <c r="BT11" s="227"/>
      <c r="BU11" s="227"/>
      <c r="BV11" s="227"/>
      <c r="BW11" s="227"/>
      <c r="BX11" s="227"/>
      <c r="BY11" s="227"/>
      <c r="BZ11" s="227"/>
      <c r="CA11" s="227"/>
      <c r="CB11" s="227"/>
      <c r="CC11" s="227"/>
      <c r="CD11" s="227"/>
      <c r="CE11" s="227"/>
      <c r="CH11" s="226"/>
      <c r="CI11" s="226"/>
      <c r="CJ11" s="226"/>
      <c r="CK11" s="226"/>
      <c r="CL11" s="226"/>
      <c r="CM11" s="226"/>
      <c r="CN11" s="226"/>
      <c r="CO11" s="226"/>
      <c r="CP11" s="226"/>
      <c r="CQ11" s="226"/>
      <c r="CR11" s="226"/>
      <c r="CS11" s="226"/>
      <c r="CT11" s="226"/>
      <c r="CU11" s="226"/>
      <c r="CV11" s="226"/>
      <c r="CW11" s="226"/>
      <c r="CX11" s="226"/>
      <c r="CY11" s="226"/>
    </row>
    <row r="12" spans="1:103" x14ac:dyDescent="0.25">
      <c r="C12" s="354">
        <f>DATE(FIRST_YEAR,PRIN_MATURITY,1)</f>
        <v>44986</v>
      </c>
      <c r="D12" s="75">
        <f>EDATE(C12,12)</f>
        <v>45352</v>
      </c>
      <c r="E12" s="3"/>
      <c r="F12" s="3"/>
      <c r="G12" s="4"/>
      <c r="H12" s="3">
        <f>VLOOKUP($C12,'Residential Development'!$D$14:$Q$33,COLUMNS('Residential Development'!$D$14:$Q$14))</f>
        <v>4</v>
      </c>
      <c r="I12" s="3">
        <f ca="1">VLOOKUP($C12,'Residential Development'!$AW13:$BK$33,COLUMNS('Residential Development'!$AW$13:$BK$33))</f>
        <v>0</v>
      </c>
      <c r="J12" s="4"/>
      <c r="K12" s="4">
        <f>VLOOKUP($C12,'Residential Development'!$CD$14:$CQ$33,COLUMNS('Residential Development'!$CD$14:$CQ$14))</f>
        <v>0</v>
      </c>
      <c r="M12" s="231"/>
      <c r="N12" s="3"/>
      <c r="O12" s="322"/>
      <c r="P12" s="4">
        <f>VLOOKUP($C12,'Residential Development'!$AH$14:$AI$38,2)</f>
        <v>0</v>
      </c>
      <c r="Q12" s="4">
        <f t="shared" ref="Q12:Q56" si="8">G12+J12+N12+P12</f>
        <v>0</v>
      </c>
      <c r="R12" s="4"/>
      <c r="S12" s="4"/>
      <c r="T12" s="4"/>
      <c r="U12" s="3"/>
      <c r="V12" s="3"/>
      <c r="AA12" s="4"/>
      <c r="AB12" s="4"/>
      <c r="AC12" s="4"/>
      <c r="AD12" s="4"/>
      <c r="AE12" s="4"/>
      <c r="AG12" s="4">
        <f t="shared" ref="AG12:AG56" si="9">$Q12+IF(OIL_GAS="Yes",$AD12,0)+$AE12</f>
        <v>0</v>
      </c>
      <c r="AH12" s="18"/>
      <c r="AI12" s="4">
        <f t="shared" ref="AI12" si="10">AG12/1000*AH12*TAX_COLLECT_MILL_PRC</f>
        <v>0</v>
      </c>
      <c r="AJ12" s="4">
        <f t="shared" ref="AJ12:AJ56" si="11">IF($AG12&lt;TAX_COLLECT_SO_AV_THRESHOLD,AI12*(TAX_COLLECT_SO_PRC/2),AI12*TAX_COLLECT_SO_PRC)</f>
        <v>0</v>
      </c>
      <c r="AK12" s="3">
        <f t="shared" ref="AK12:AK56" si="12">IF(COMM_NEW_VALUE_ADD="Yes",Z12,0)</f>
        <v>0</v>
      </c>
      <c r="AL12" s="194">
        <f t="shared" ref="AL12:AL56" si="13">MILL_LEVY_COMM</f>
        <v>0</v>
      </c>
      <c r="AM12" s="4">
        <f t="shared" si="0"/>
        <v>0</v>
      </c>
      <c r="AN12" s="4">
        <f t="shared" si="1"/>
        <v>0</v>
      </c>
      <c r="AO12" s="97"/>
      <c r="AP12" s="4">
        <f t="shared" si="2"/>
        <v>0</v>
      </c>
      <c r="AQ12" s="4">
        <f t="shared" si="3"/>
        <v>0</v>
      </c>
      <c r="AR12" s="364">
        <f t="shared" ref="AR12:AR56" si="14">+AI12+AJ12+AM12+AN12+AP12+AQ12</f>
        <v>0</v>
      </c>
      <c r="AT12" s="213"/>
      <c r="AU12" s="213"/>
      <c r="AV12" s="311">
        <f>-OM_CARVEOUT</f>
        <v>0</v>
      </c>
      <c r="AX12" s="4">
        <f>AR12+SUM(AT12:AV12)</f>
        <v>0</v>
      </c>
      <c r="AZ12" s="4">
        <f t="shared" ref="AZ12:AZ56" si="15">$Q12+IF(OIL_GAS="Yes",$AD12,0)+$AE12</f>
        <v>0</v>
      </c>
      <c r="BA12" s="18"/>
      <c r="BB12" s="4">
        <f t="shared" ref="BB12:BB58" si="16">AZ12/1000*BA12*TAX_COLLECT_MILL_PRC</f>
        <v>0</v>
      </c>
      <c r="BC12" s="4">
        <f t="shared" ref="BC12:BC56" si="17">IF($AG12&lt;TAX_COLLECT_SO_AV_THRESHOLD,BB12*(TAX_COLLECT_SO_PRC/2),BB12*TAX_COLLECT_SO_PRC)</f>
        <v>0</v>
      </c>
      <c r="BD12" s="3">
        <f t="shared" ref="BD12:BD56" si="18">IF(COMM_NEW_VALUE_ADD_SUB="Yes",$Z12,0)</f>
        <v>0</v>
      </c>
      <c r="BE12" s="194">
        <f t="shared" ref="BE12:BE56" si="19">MILL_LEVY_COMM</f>
        <v>0</v>
      </c>
      <c r="BF12" s="4">
        <f t="shared" si="4"/>
        <v>0</v>
      </c>
      <c r="BG12" s="4">
        <f t="shared" si="5"/>
        <v>0</v>
      </c>
      <c r="BH12" s="97"/>
      <c r="BI12" s="4">
        <f t="shared" si="6"/>
        <v>0</v>
      </c>
      <c r="BJ12" s="4">
        <f t="shared" si="7"/>
        <v>0</v>
      </c>
      <c r="BK12" s="96">
        <f t="shared" ref="BK12:BK13" si="20">+BB12+BC12+BF12+BG12+BI12+BJ12</f>
        <v>0</v>
      </c>
      <c r="BM12" s="213"/>
      <c r="BO12" s="4">
        <f t="shared" ref="BO12:BO56" si="21">BK12+SUM(BM12:BM12)</f>
        <v>0</v>
      </c>
    </row>
    <row r="13" spans="1:103" x14ac:dyDescent="0.25">
      <c r="A13">
        <f t="shared" ref="A13:A56" si="22">IF(YEAR(DELIVERY)=YEAR($C13),1,(IF(YEAR(DELIVERY)&gt;YEAR($C13),0,A12+1)))</f>
        <v>1</v>
      </c>
      <c r="C13" s="75">
        <f>EDATE(C12,12)</f>
        <v>45352</v>
      </c>
      <c r="D13" s="75">
        <f>EDATE(D12,12)</f>
        <v>45717</v>
      </c>
      <c r="E13" s="3"/>
      <c r="F13" s="3">
        <f>VLOOKUP($C13,'Residential Development'!$DW$14:$EL$33,COLUMNS('Residential Development'!$DW$14:$DX$14))+F12+E13</f>
        <v>0</v>
      </c>
      <c r="G13" s="4">
        <f t="shared" ref="G13:G56" si="23">F13*TABOR_CURRENT</f>
        <v>0</v>
      </c>
      <c r="H13" s="3">
        <f>VLOOKUP($C13,'Residential Development'!$D$14:$Q$33,COLUMNS('Residential Development'!$D$14:$Q$14))</f>
        <v>172</v>
      </c>
      <c r="I13" s="3">
        <f ca="1">VLOOKUP($C13,'Residential Development'!$AW14:$BK$33,COLUMNS('Residential Development'!$AW$13:$BK$33))</f>
        <v>239850</v>
      </c>
      <c r="J13" s="4">
        <f t="shared" ref="J13:J56" ca="1" si="24">I13*DEVELOPED_LOT_VALUE</f>
        <v>131917.5</v>
      </c>
      <c r="K13" s="4">
        <f>VLOOKUP($C13,'Residential Development'!$CD$14:$CQ$33,COLUMNS('Residential Development'!$CD$14:$CQ$14))</f>
        <v>4</v>
      </c>
      <c r="L13" s="3"/>
      <c r="M13" s="3">
        <f ca="1">VLOOKUP($C13,'Residential Development'!$EN$14:$FC$33,COLUMNS('Residential Development'!$EN$14:$FC$14))+M12+L13</f>
        <v>0</v>
      </c>
      <c r="N13" s="3"/>
      <c r="O13" s="322"/>
      <c r="P13" s="4">
        <f>VLOOKUP($C13,'Residential Development'!$AH$14:$AI$38,2)</f>
        <v>0</v>
      </c>
      <c r="Q13" s="4">
        <f t="shared" ca="1" si="8"/>
        <v>131917.5</v>
      </c>
      <c r="R13" s="4">
        <f>VLOOKUP($C13,'Comm Development'!$D$14:$O$33,COLUMNS('Comm Development'!$D$14:$O$14))</f>
        <v>0</v>
      </c>
      <c r="S13" s="4">
        <f t="shared" ref="S13:S56" si="25">IF(S12&lt;=0,T12*BIENNIAL_REASSESS_COMM_RATE,0)</f>
        <v>0</v>
      </c>
      <c r="T13" s="4">
        <f>VLOOKUP($C13,'Comm Development'!$CG$14:$CR$33,COLUMNS('Comm Development'!$CG$14:$CR$14))+T12+S13</f>
        <v>0</v>
      </c>
      <c r="U13" s="3">
        <f>T11*PLATTED_COMM_LOT_VALUE</f>
        <v>0</v>
      </c>
      <c r="V13" s="3">
        <f>VLOOKUP($C13,'Comm Development'!$BG$14:$BR$33,COLUMNS('Comm Development'!$BG$14:$BR$14))</f>
        <v>0</v>
      </c>
      <c r="W13" s="4">
        <f t="shared" ref="W13:W56" si="26">IF(W12&lt;=0,X12*BIENNIAL_REASSESS_COMM_RATE,0)</f>
        <v>0</v>
      </c>
      <c r="X13" s="4">
        <f>VLOOKUP($C13,'Comm Development'!$CG$14:$CR$33,COLUMNS('Comm Development'!$CG$14:$CR$14))+X12+W13</f>
        <v>0</v>
      </c>
      <c r="Y13" s="3"/>
      <c r="Z13" s="3"/>
      <c r="AA13" s="4"/>
      <c r="AB13" s="4"/>
      <c r="AC13" s="268"/>
      <c r="AD13" s="4"/>
      <c r="AE13" s="4"/>
      <c r="AG13" s="4">
        <f t="shared" ca="1" si="9"/>
        <v>131917.5</v>
      </c>
      <c r="AH13" s="18">
        <f t="shared" ref="AH13:AH56" si="27">MILL_LEVY_DS_TARGET</f>
        <v>3</v>
      </c>
      <c r="AI13" s="4">
        <f t="shared" ref="AI13:AI58" ca="1" si="28">AG13/1000*AH13*TAX_COLLECT_MILL_PRC</f>
        <v>387.83744999999993</v>
      </c>
      <c r="AJ13" s="4">
        <f t="shared" ca="1" si="11"/>
        <v>0</v>
      </c>
      <c r="AK13" s="3">
        <f t="shared" si="12"/>
        <v>0</v>
      </c>
      <c r="AL13" s="194">
        <f t="shared" si="13"/>
        <v>0</v>
      </c>
      <c r="AM13" s="4">
        <f t="shared" ref="AM13:AM14" si="29">AK13/1000*AL13*TAX_COLLECT_MILL_PRC</f>
        <v>0</v>
      </c>
      <c r="AN13" s="4">
        <f t="shared" ref="AN13:AN14" si="30">AM13*TAX_COLLECT_SO_PRC</f>
        <v>0</v>
      </c>
      <c r="AO13" s="97"/>
      <c r="AP13" s="4">
        <f t="shared" ref="AP13:AP14" si="31">AO13*INFLATION_RATE</f>
        <v>0</v>
      </c>
      <c r="AQ13" s="4">
        <f>CAPITAL_IMPROV_FEE*$K13</f>
        <v>0</v>
      </c>
      <c r="AR13" s="364">
        <f t="shared" ca="1" si="14"/>
        <v>387.83744999999993</v>
      </c>
      <c r="AT13" s="213"/>
      <c r="AU13" s="213"/>
      <c r="AV13" s="311"/>
      <c r="AX13" s="4">
        <f t="shared" ref="AX13:AX56" ca="1" si="32">AR13+SUM(AT13:AV13)</f>
        <v>387.83744999999993</v>
      </c>
      <c r="AZ13" s="4">
        <f t="shared" ca="1" si="15"/>
        <v>131917.5</v>
      </c>
      <c r="BA13" s="18"/>
      <c r="BB13" s="4">
        <f t="shared" ca="1" si="16"/>
        <v>0</v>
      </c>
      <c r="BC13" s="4">
        <f t="shared" ca="1" si="17"/>
        <v>0</v>
      </c>
      <c r="BD13" s="3">
        <f t="shared" si="18"/>
        <v>0</v>
      </c>
      <c r="BE13" s="194">
        <f t="shared" si="19"/>
        <v>0</v>
      </c>
      <c r="BF13" s="4">
        <f t="shared" si="4"/>
        <v>0</v>
      </c>
      <c r="BG13" s="4">
        <f t="shared" si="5"/>
        <v>0</v>
      </c>
      <c r="BH13" s="97"/>
      <c r="BI13" s="4">
        <f t="shared" si="6"/>
        <v>0</v>
      </c>
      <c r="BJ13" s="4">
        <f>CAPITAL_IMPROV_FEE*$K13</f>
        <v>0</v>
      </c>
      <c r="BK13" s="96">
        <f t="shared" ca="1" si="20"/>
        <v>0</v>
      </c>
      <c r="BM13" s="213"/>
      <c r="BO13" s="4">
        <f t="shared" ca="1" si="21"/>
        <v>0</v>
      </c>
      <c r="BQ13" s="4">
        <f ca="1">IF(AND(REFUND_FINANCING="Yes",$D13&gt;PREMIUM_CALL_FIRST),0, IF(ISERROR(VLOOKUP($D13,'Senior Lien DS - First'!$A$11:$O$81,COLUMNS('Senior Lien DS - First'!$A$11:$O$11),0)),0,VLOOKUP($D13,'Senior Lien DS - First'!$A$11:$O$81,COLUMNS('Senior Lien DS - First'!$A$11:$O$11),0)))</f>
        <v>-6813.1923647280091</v>
      </c>
      <c r="BS13" s="4">
        <f t="shared" ref="BS13:BS56" ca="1" si="33">SUM(BQ13:BR13)</f>
        <v>-6813.1923647280091</v>
      </c>
      <c r="BT13" s="84">
        <f t="shared" ref="BT13:BT56" ca="1" si="34">IF(ISERROR(AX13/BS13),0,AX13/BS13)</f>
        <v>-5.6924482568236262E-2</v>
      </c>
      <c r="BX13" s="4"/>
      <c r="CA13" s="4">
        <f t="shared" ref="CA13:CA56" ca="1" si="35">IF(C13&gt;=IF(REFUND_FINANCING="Yes", SURPLUS_FUND_RELEASE_DATE_REFUNDING,SURPLUS_FUND_RELEASE_DATE),0,IF($BZ13&gt;=SURPLUS_FUND_TARGET,SURPLUS_FUND_TARGET,CA12+BX13))</f>
        <v>0</v>
      </c>
      <c r="CD13" s="9">
        <f t="shared" ref="CD13:CD42" ca="1" si="36">IF(ISERROR(AX13/BS13),"",AX13/BS13)</f>
        <v>-5.6924482568236262E-2</v>
      </c>
      <c r="CG13" s="4"/>
      <c r="CH13" s="4">
        <f ca="1">IF(D13=SURPLUS_FUND_RELEASE_DATE,BY13+SURPLUS_FUND_TARGET+(BO13-AX13), BY13+(BO13-AX13))</f>
        <v>-387.83744999999993</v>
      </c>
      <c r="CK13" s="4">
        <f ca="1">IF(ISNA(VLOOKUP(DATE(YEAR($D13),PRIN_MATURITY,PRIN_MATURITY_DAY_SUB),'Sub Lien DS - First (Annual)'!$A$12:$H$96,COLUMNS('Sub Lien DS - First (Annual)'!$A$12:$H$12),0)),0,VLOOKUP(DATE(YEAR($D13),PRIN_MATURITY,PRIN_MATURITY_DAY_SUB),'Sub Lien DS - First (Annual)'!$A$12:$H$96,COLUMNS('Sub Lien DS - First (Annual)'!$A$12:$H$12),0))</f>
        <v>35434.253472222219</v>
      </c>
      <c r="CM13" s="4">
        <f t="shared" ref="CM13:CM56" ca="1" si="37">IF($C13&gt;(EDATE(DATE(YEAR(DELIVERY),PRIN_MATURITY,PRIN_MATURITY_DAY_SUB),12*FINAL_MAT_SUB_YRS)),0,CK13+(CO12*SUB_INTEREST_RATE)-CL13)</f>
        <v>35434.253472222219</v>
      </c>
      <c r="CO13" s="368">
        <f ca="1">CO12-$CL13+$CM13-$CN13</f>
        <v>35434.253472222219</v>
      </c>
      <c r="CQ13" s="4">
        <f>IF(YEAR(DELIVERY)=YEAR($D13),'Sources and Uses - First'!$D$12,0)</f>
        <v>0</v>
      </c>
      <c r="CR13" s="4">
        <f>IF(ISNA(VLOOKUP(DATE(YEAR($D13),PRIN_MATURITY, PRIN_MATURITY_DAY_SUB),'Sub Lien DS - First (Annual)'!$A$12:$G$41,COLUMNS('Sub Lien DS - First (Annual)'!$A$12:$G$12),0)),0,VLOOKUP(DATE(YEAR($D13),PRIN_MATURITY, PRIN_MATURITY_DAY_SUB),'Sub Lien DS - First (Annual)'!$A$12:$G$41,COLUMNS('Sub Lien DS - First (Annual)'!$A$12:$G$12),0))</f>
        <v>0</v>
      </c>
    </row>
    <row r="14" spans="1:103" x14ac:dyDescent="0.25">
      <c r="A14">
        <f t="shared" si="22"/>
        <v>2</v>
      </c>
      <c r="C14" s="75">
        <f t="shared" ref="C14:D56" si="38">EDATE(C13,12)</f>
        <v>45717</v>
      </c>
      <c r="D14" s="75">
        <f t="shared" si="38"/>
        <v>46082</v>
      </c>
      <c r="E14" s="3">
        <f t="shared" ref="E14:E56" si="39">IF(E13&lt;=0,F13*BIENNIAL_REASSESS_RATE,0)</f>
        <v>0</v>
      </c>
      <c r="F14" s="3">
        <f>VLOOKUP($C14,'Residential Development'!$DW$14:$EL$33,COLUMNS('Residential Development'!$DW$14:$DX$14))+F13+E14</f>
        <v>0</v>
      </c>
      <c r="G14" s="4">
        <f t="shared" si="23"/>
        <v>0</v>
      </c>
      <c r="H14" s="3">
        <f>VLOOKUP($C14,'Residential Development'!$D$14:$Q$33,COLUMNS('Residential Development'!$D$14:$Q$14))</f>
        <v>202</v>
      </c>
      <c r="I14" s="3">
        <f ca="1">VLOOKUP($C14,'Residential Development'!$AW15:$BK$33,COLUMNS('Residential Development'!$AW$13:$BK$33))</f>
        <v>8413000.9000000004</v>
      </c>
      <c r="J14" s="4">
        <f t="shared" ca="1" si="24"/>
        <v>4627150.495000001</v>
      </c>
      <c r="K14" s="4">
        <f>VLOOKUP($C14,'Residential Development'!$CD$14:$CQ$33,COLUMNS('Residential Development'!$CD$14:$CQ$14))</f>
        <v>172</v>
      </c>
      <c r="L14" s="3">
        <f t="shared" ref="L14" si="40">M12*BIENNIAL_REASSESS_RATE</f>
        <v>0</v>
      </c>
      <c r="M14" s="3">
        <f ca="1">VLOOKUP($C14,'Residential Development'!$EN$14:$FC$33,COLUMNS('Residential Development'!$EN$14:$FC$14))+M13+L14</f>
        <v>2398500</v>
      </c>
      <c r="N14" s="3">
        <f t="shared" ref="N14:N56" ca="1" si="41">M14*TABOR_CURRENT</f>
        <v>1319175</v>
      </c>
      <c r="O14" s="322"/>
      <c r="P14" s="4">
        <f>VLOOKUP($C14,'Residential Development'!$AH$14:$AI$38,2)</f>
        <v>0</v>
      </c>
      <c r="Q14" s="4">
        <f t="shared" ca="1" si="8"/>
        <v>5946325.495000001</v>
      </c>
      <c r="R14" s="4">
        <f>VLOOKUP($C14,'Comm Development'!$D$14:$O$33,COLUMNS('Comm Development'!$D$14:$O$14))</f>
        <v>0</v>
      </c>
      <c r="S14" s="4">
        <f t="shared" si="25"/>
        <v>0</v>
      </c>
      <c r="T14" s="4">
        <f>VLOOKUP($C14,'Comm Development'!$CG$14:$CR$33,COLUMNS('Comm Development'!$CG$14:$CR$14))+T13+S14</f>
        <v>0</v>
      </c>
      <c r="U14" s="3"/>
      <c r="V14" s="3">
        <f>VLOOKUP($C14,'Comm Development'!$BG$14:$BR$33,COLUMNS('Comm Development'!$BG$14:$BR$14))</f>
        <v>0</v>
      </c>
      <c r="W14" s="4">
        <f t="shared" si="26"/>
        <v>0</v>
      </c>
      <c r="X14" s="4">
        <f>VLOOKUP($C14,'Comm Development'!$CG$14:$CR$33,COLUMNS('Comm Development'!$CG$14:$CR$14))+X13+W14</f>
        <v>0</v>
      </c>
      <c r="Y14" s="3">
        <f t="shared" ref="Y14:Y56" si="42">X12*DEVELOPED_LOT_VALUE</f>
        <v>0</v>
      </c>
      <c r="Z14" s="3">
        <f>U14+Y14</f>
        <v>0</v>
      </c>
      <c r="AA14" s="322">
        <f t="shared" ref="AA14:AA56" si="43">OIL_GAS_ASSETS</f>
        <v>0</v>
      </c>
      <c r="AB14" s="296"/>
      <c r="AC14" s="268"/>
      <c r="AD14" s="4">
        <f t="shared" ref="AD14:AD46" si="44">AA14*OIL_GAS_VALUE+AB14*DEVELOPED_LOT_VALUE</f>
        <v>0</v>
      </c>
      <c r="AE14" s="4">
        <f t="shared" ref="AE14:AE56" si="45">STATE_ASSESSED</f>
        <v>0</v>
      </c>
      <c r="AG14" s="4">
        <f t="shared" ca="1" si="9"/>
        <v>5946325.495000001</v>
      </c>
      <c r="AH14" s="18">
        <f t="shared" si="27"/>
        <v>3</v>
      </c>
      <c r="AI14" s="4">
        <f t="shared" ca="1" si="28"/>
        <v>17482.196955300002</v>
      </c>
      <c r="AJ14" s="4">
        <f t="shared" ca="1" si="11"/>
        <v>0</v>
      </c>
      <c r="AK14" s="3">
        <f t="shared" si="12"/>
        <v>0</v>
      </c>
      <c r="AL14" s="194">
        <f t="shared" si="13"/>
        <v>0</v>
      </c>
      <c r="AM14" s="4">
        <f t="shared" si="29"/>
        <v>0</v>
      </c>
      <c r="AN14" s="4">
        <f t="shared" si="30"/>
        <v>0</v>
      </c>
      <c r="AO14" s="97"/>
      <c r="AP14" s="4">
        <f t="shared" si="31"/>
        <v>0</v>
      </c>
      <c r="AQ14" s="4">
        <f t="shared" si="3"/>
        <v>0</v>
      </c>
      <c r="AR14" s="364">
        <f ca="1">+AI14+AJ14+AM14+AN14+AP14+AQ14</f>
        <v>17482.196955300002</v>
      </c>
      <c r="AT14" s="213">
        <f t="shared" ref="AT14:AT56" ca="1" si="46">-AI14*COUNTY_TREASURER_FEE-AM14*COUNTY_TREASURER_FEE</f>
        <v>0</v>
      </c>
      <c r="AU14" s="213"/>
      <c r="AV14" s="312"/>
      <c r="AX14" s="4">
        <f t="shared" ca="1" si="32"/>
        <v>17482.196955300002</v>
      </c>
      <c r="AZ14" s="4">
        <f t="shared" ca="1" si="15"/>
        <v>5946325.495000001</v>
      </c>
      <c r="BA14" s="18">
        <f t="shared" ref="BA14:BA56" si="47">MILL_LEVY_DS_TARGET</f>
        <v>3</v>
      </c>
      <c r="BB14" s="4">
        <f t="shared" ca="1" si="16"/>
        <v>17482.196955300002</v>
      </c>
      <c r="BC14" s="4">
        <f t="shared" ca="1" si="17"/>
        <v>0</v>
      </c>
      <c r="BD14" s="3">
        <f t="shared" si="18"/>
        <v>0</v>
      </c>
      <c r="BE14" s="194">
        <f t="shared" si="19"/>
        <v>0</v>
      </c>
      <c r="BF14" s="4">
        <f t="shared" si="4"/>
        <v>0</v>
      </c>
      <c r="BG14" s="4">
        <f t="shared" si="5"/>
        <v>0</v>
      </c>
      <c r="BH14" s="97"/>
      <c r="BI14" s="4">
        <f t="shared" si="6"/>
        <v>0</v>
      </c>
      <c r="BJ14" s="4">
        <f t="shared" si="7"/>
        <v>0</v>
      </c>
      <c r="BK14" s="96">
        <f ca="1">+BB14+BC14+BF14+BG14+BI14+BJ14</f>
        <v>17482.196955300002</v>
      </c>
      <c r="BM14" s="213">
        <f t="shared" ref="BM14:BM56" si="48">-TRUSTEE_FEE_SUB</f>
        <v>-3000</v>
      </c>
      <c r="BO14" s="4">
        <f t="shared" ca="1" si="21"/>
        <v>14482.196955300002</v>
      </c>
      <c r="BQ14" s="4">
        <f ca="1">IF(AND(REFUND_FINANCING="Yes",$D14&gt;PREMIUM_CALL_FIRST),0, IF(ISERROR(VLOOKUP($D14,'Senior Lien DS - First'!$A$11:$O$81,COLUMNS('Senior Lien DS - First'!$A$11:$O$11),0)),0,VLOOKUP($D14,'Senior Lien DS - First'!$A$11:$O$81,COLUMNS('Senior Lien DS - First'!$A$11:$O$11),0)))</f>
        <v>-13626.384729456018</v>
      </c>
      <c r="BS14" s="4">
        <f t="shared" ca="1" si="33"/>
        <v>-13626.384729456018</v>
      </c>
      <c r="BT14" s="84">
        <f t="shared" ca="1" si="34"/>
        <v>-1.2829666343934143</v>
      </c>
      <c r="BU14" s="4">
        <f t="shared" ref="BU14:BU56" ca="1" si="49">IF(AND(REFUND_FINANCING="Yes", $D14&gt;DELIVERY_REFUNDING),0,AX14-BQ14)</f>
        <v>31108.58168475602</v>
      </c>
      <c r="BX14" s="4">
        <f t="shared" ref="BX14:BX56" ca="1" si="50">AX14-BS14-BW14</f>
        <v>31108.58168475602</v>
      </c>
      <c r="BY14" s="4">
        <f t="shared" ref="BY14:BY56" ca="1" si="51">IF(OR(BZ14&gt;=SURPLUS_FUND_TARGET,D14&gt;=SURPLUS_FUND_RELEASE_DATE),$BU14-($BZ14-$BZ13),IF($BZ14&lt;SURPLUS_FUND_TARGET,IF(D14=SURPLUS_FUND_RELEASE_DATE,SURPLUS_FUND_TARGET-ABS(BU14),0),SURPLUS_FUND_TARGET+$BU14))</f>
        <v>31108.58168475602</v>
      </c>
      <c r="BZ14" s="4">
        <f t="shared" ref="BZ14:BZ56" ca="1" si="52">IF(AND(REFUND_FINANCING="Yes",$C14&gt;DELIVERY_REFUNDING), 0,IF(C14&gt;=SURPLUS_FUND_RELEASE_DATE,0,IF((BU14+BZ13)&gt;SURPLUS_FUND_TARGET,SURPLUS_FUND_TARGET,BU14+BZ13)))</f>
        <v>0</v>
      </c>
      <c r="CA14" s="4">
        <f t="shared" ca="1" si="35"/>
        <v>0</v>
      </c>
      <c r="CB14" s="14">
        <f ca="1">IF(ISERROR((VLOOKUP($D14,'Senior Lien DS - First'!$A$11:$P$71,COLUMNS('Senior Lien DS - First'!$A$11:$P$11)))/Summary!$AG15),"",(IF(REFUND_FINANCING="Yes",0,VLOOKUP($D14,'Senior Lien DS - First'!$A$11:$P$71,COLUMNS('Senior Lien DS - First'!$A$11:$P$11))))/Summary!$AG15)</f>
        <v>0.1048531598712131</v>
      </c>
      <c r="CC14" s="10">
        <f ca="1">IF(ISERROR((VLOOKUP($C14,'Senior Lien DS - First'!$A$11:$P$71,COLUMNS('Senior Lien DS - First'!$A$11:$P$11)))/Summary!$M15),"",(VLOOKUP($C14,'Senior Lien DS - First'!$A$11:$P$71,COLUMNS('Senior Lien DS - First'!$A$11:$P$11)))/Summary!$M15)</f>
        <v>6.3877753995665865E-2</v>
      </c>
      <c r="CD14" s="9">
        <f t="shared" ca="1" si="36"/>
        <v>-1.2829666343934143</v>
      </c>
      <c r="CE14" s="9">
        <f t="shared" ref="CE14:CE56" ca="1" si="53">IF(ISERROR(AX14/BQ14),"",AX14/BQ14)</f>
        <v>-1.2829666343934143</v>
      </c>
      <c r="CG14" s="4"/>
      <c r="CH14" s="4">
        <f t="shared" ref="CH14:CH17" ca="1" si="54">IF(D14=SURPLUS_FUND_RELEASE_DATE,BY14+SURPLUS_FUND_TARGET+(BO14-AX14), IF(BY14=0,0,BY14+(BO14-AX14)))</f>
        <v>28108.58168475602</v>
      </c>
      <c r="CI14" s="309">
        <v>0</v>
      </c>
      <c r="CJ14" s="4">
        <f ca="1">(CH14+CI14)/DSC_SUB_LIEN_BONDS</f>
        <v>28108.58168475602</v>
      </c>
      <c r="CK14" s="4">
        <f ca="1">IF(ISNA(VLOOKUP(DATE(YEAR($D14),PRIN_MATURITY,PRIN_MATURITY_DAY_SUB),'Sub Lien DS - First (Annual)'!$A$12:$H$96,COLUMNS('Sub Lien DS - First (Annual)'!$A$12:$H$12),0)),0,VLOOKUP(DATE(YEAR($D14),PRIN_MATURITY,PRIN_MATURITY_DAY_SUB),'Sub Lien DS - First (Annual)'!$A$12:$H$96,COLUMNS('Sub Lien DS - First (Annual)'!$A$12:$H$12),0))</f>
        <v>75481.25</v>
      </c>
      <c r="CL14" s="4">
        <f t="shared" ref="CL14:CL56" ca="1" si="55">MIN(CK14,$CH14)</f>
        <v>28108.58168475602</v>
      </c>
      <c r="CM14" s="4">
        <f ca="1">IF($C14&gt;(EDATE(DATE(YEAR(DELIVERY),PRIN_MATURITY,PRIN_MATURITY_DAY_SUB),12*FINAL_MAT_SUB_YRS)),0,CK14+(CO13*SUB_INTEREST_RATE)-CL14)</f>
        <v>50251.701409862042</v>
      </c>
      <c r="CN14" s="4">
        <f t="shared" ref="CN14:CN56" ca="1" si="56">IF($C14&gt;(EDATE(DATE(YEAR(DELIVERY),PRIN_MATURITY,PRIN_MATURITY_DAY_SUB),12*FINAL_MAT_SUB_YRS)),0,IF(($CJ14-CK14-$CR14)&lt;0,0,MIN(($CJ14-CK14-$CR14),$CO13+$CM14)))</f>
        <v>0</v>
      </c>
      <c r="CO14" s="4">
        <f ca="1">CO13+$CM14-$CN14</f>
        <v>85685.954882084261</v>
      </c>
      <c r="CP14" s="4"/>
      <c r="CQ14" s="4">
        <f>IF(YEAR(DELIVERY)=YEAR($D14),'Sources and Uses - First'!$D$12,0)</f>
        <v>0</v>
      </c>
      <c r="CR14" s="4">
        <f>IF(ISNA(VLOOKUP(DATE(YEAR($D14),PRIN_MATURITY, PRIN_MATURITY_DAY_SUB),'Sub Lien DS - First (Annual)'!$A$12:$G$41,COLUMNS('Sub Lien DS - First (Annual)'!$A$12:$G$12),0)),0,VLOOKUP(DATE(YEAR($D14),PRIN_MATURITY, PRIN_MATURITY_DAY_SUB),'Sub Lien DS - First (Annual)'!$A$12:$G$41,COLUMNS('Sub Lien DS - First (Annual)'!$A$12:$G$12),0))</f>
        <v>0</v>
      </c>
      <c r="CS14" s="4">
        <f>SUM($CQ$14:CQ14)-SUM($CR$14:CR14)</f>
        <v>0</v>
      </c>
      <c r="CT14" s="4">
        <f>SUM($CQ$14:CQ14)-SUM($CR$14:CR14)</f>
        <v>0</v>
      </c>
      <c r="CU14" s="4">
        <f t="shared" ref="CU14:CU56" ca="1" si="57">CL14+CN14+CR14</f>
        <v>28108.58168475602</v>
      </c>
      <c r="CV14" s="4">
        <f t="shared" ref="CV14:CV56" ca="1" si="58">SUM(CU14:CU14)</f>
        <v>28108.58168475602</v>
      </c>
      <c r="CW14" s="4">
        <f t="shared" ref="CW14:CW56" ca="1" si="59">CJ14-CV14</f>
        <v>0</v>
      </c>
      <c r="CX14" s="4">
        <f ca="1">CW14</f>
        <v>0</v>
      </c>
      <c r="CY14" s="4">
        <f ca="1">SUM($CW$14:CW14)-SUM($CX$14:CX14)</f>
        <v>0</v>
      </c>
    </row>
    <row r="15" spans="1:103" x14ac:dyDescent="0.25">
      <c r="A15">
        <f t="shared" si="22"/>
        <v>3</v>
      </c>
      <c r="B15" s="3"/>
      <c r="C15" s="75">
        <f t="shared" si="38"/>
        <v>46082</v>
      </c>
      <c r="D15" s="75">
        <f t="shared" si="38"/>
        <v>46447</v>
      </c>
      <c r="E15" s="3">
        <f t="shared" si="39"/>
        <v>0</v>
      </c>
      <c r="F15" s="3">
        <f>VLOOKUP($C15,'Residential Development'!$DW$14:$EL$33,COLUMNS('Residential Development'!$DW$14:$DX$14))+F14+E15</f>
        <v>0</v>
      </c>
      <c r="G15" s="4">
        <f t="shared" si="23"/>
        <v>0</v>
      </c>
      <c r="H15" s="3">
        <f>VLOOKUP($C15,'Residential Development'!$D$14:$Q$33,COLUMNS('Residential Development'!$D$14:$Q$14))</f>
        <v>151</v>
      </c>
      <c r="I15" s="3">
        <f ca="1">VLOOKUP($C15,'Residential Development'!$AW16:$BK$33,COLUMNS('Residential Development'!$AW$13:$BK$33))</f>
        <v>9589726.5999999996</v>
      </c>
      <c r="J15" s="4">
        <f t="shared" ca="1" si="24"/>
        <v>5274349.63</v>
      </c>
      <c r="K15" s="4">
        <f>VLOOKUP($C15,'Residential Development'!$CD$14:$CQ$33,COLUMNS('Residential Development'!$CD$14:$CQ$14))</f>
        <v>202</v>
      </c>
      <c r="L15" s="3">
        <f t="shared" ref="L15:L56" ca="1" si="60">M14*BIENNIAL_REASSESS_RATE</f>
        <v>23985</v>
      </c>
      <c r="M15" s="3">
        <f ca="1">VLOOKUP($C15,'Residential Development'!$EN$14:$FC$33,COLUMNS('Residential Development'!$EN$14:$FC$14))+M14+L15</f>
        <v>89076394.269999996</v>
      </c>
      <c r="N15" s="3">
        <f t="shared" ca="1" si="41"/>
        <v>48992016.848499998</v>
      </c>
      <c r="O15" s="3">
        <f>N13*TABOR_CURRENT</f>
        <v>0</v>
      </c>
      <c r="P15" s="3">
        <f>O13*TABOR_CURRENT</f>
        <v>0</v>
      </c>
      <c r="Q15" s="4">
        <f t="shared" ca="1" si="8"/>
        <v>54266366.478500001</v>
      </c>
      <c r="R15" s="4">
        <f>VLOOKUP($C15,'Comm Development'!$D$14:$O$33,COLUMNS('Comm Development'!$D$14:$O$14))</f>
        <v>0</v>
      </c>
      <c r="S15" s="4">
        <f t="shared" si="25"/>
        <v>0</v>
      </c>
      <c r="T15" s="4">
        <f>VLOOKUP($C15,'Comm Development'!$CG$14:$CR$33,COLUMNS('Comm Development'!$CG$14:$CR$14))+T14+S15</f>
        <v>0</v>
      </c>
      <c r="U15" s="3"/>
      <c r="V15" s="3">
        <f>VLOOKUP($C15,'Comm Development'!$BG$14:$BR$33,COLUMNS('Comm Development'!$BG$14:$BR$14))</f>
        <v>0</v>
      </c>
      <c r="W15" s="4">
        <f t="shared" si="26"/>
        <v>0</v>
      </c>
      <c r="X15" s="4">
        <f>VLOOKUP($C15,'Comm Development'!$CG$14:$CR$33,COLUMNS('Comm Development'!$CG$14:$CR$14))+X14+W15</f>
        <v>0</v>
      </c>
      <c r="Y15" s="3">
        <f t="shared" si="42"/>
        <v>0</v>
      </c>
      <c r="Z15" s="3">
        <f t="shared" ref="Z15:Z55" si="61">U15+Y15</f>
        <v>0</v>
      </c>
      <c r="AA15" s="322">
        <f t="shared" si="43"/>
        <v>0</v>
      </c>
      <c r="AB15" s="296"/>
      <c r="AC15" s="268"/>
      <c r="AD15" s="4">
        <f t="shared" si="44"/>
        <v>0</v>
      </c>
      <c r="AE15" s="4">
        <f t="shared" si="45"/>
        <v>0</v>
      </c>
      <c r="AG15" s="4">
        <f t="shared" ca="1" si="9"/>
        <v>54266366.478500001</v>
      </c>
      <c r="AH15" s="18">
        <f t="shared" si="27"/>
        <v>3</v>
      </c>
      <c r="AI15" s="4">
        <f t="shared" ca="1" si="28"/>
        <v>159543.11744678998</v>
      </c>
      <c r="AJ15" s="4">
        <f t="shared" ca="1" si="11"/>
        <v>0</v>
      </c>
      <c r="AK15" s="3">
        <f t="shared" si="12"/>
        <v>0</v>
      </c>
      <c r="AL15" s="194">
        <f t="shared" si="13"/>
        <v>0</v>
      </c>
      <c r="AM15" s="4">
        <f t="shared" ref="AM15:AM56" si="62">AK15/1000*AL15*TAX_COLLECT_MILL_PRC</f>
        <v>0</v>
      </c>
      <c r="AN15" s="4">
        <f t="shared" ref="AN15:AN56" si="63">AM15*TAX_COLLECT_SO_PRC</f>
        <v>0</v>
      </c>
      <c r="AO15" s="97"/>
      <c r="AP15" s="4">
        <f t="shared" ref="AP15:AP56" si="64">AO15*INFLATION_RATE</f>
        <v>0</v>
      </c>
      <c r="AQ15" s="4">
        <f t="shared" si="3"/>
        <v>0</v>
      </c>
      <c r="AR15" s="364">
        <f t="shared" ca="1" si="14"/>
        <v>159543.11744678998</v>
      </c>
      <c r="AT15" s="213">
        <f t="shared" ca="1" si="46"/>
        <v>0</v>
      </c>
      <c r="AU15" s="213">
        <f t="shared" ref="AU15:AU56" ca="1" si="65">IF($AI15=0,0,-TRUSTEE_FEE)</f>
        <v>-4000</v>
      </c>
      <c r="AV15" s="407">
        <v>-53060</v>
      </c>
      <c r="AX15" s="4">
        <f ca="1">AR15+SUM(AT15:AV15)</f>
        <v>102483.11744678998</v>
      </c>
      <c r="AZ15" s="4">
        <f t="shared" ca="1" si="15"/>
        <v>54266366.478500001</v>
      </c>
      <c r="BA15" s="18">
        <f t="shared" si="47"/>
        <v>3</v>
      </c>
      <c r="BB15" s="4">
        <f t="shared" ca="1" si="16"/>
        <v>159543.11744678998</v>
      </c>
      <c r="BC15" s="4">
        <f t="shared" ca="1" si="17"/>
        <v>0</v>
      </c>
      <c r="BD15" s="3">
        <f t="shared" si="18"/>
        <v>0</v>
      </c>
      <c r="BE15" s="194">
        <f t="shared" si="19"/>
        <v>0</v>
      </c>
      <c r="BF15" s="4">
        <f t="shared" si="4"/>
        <v>0</v>
      </c>
      <c r="BG15" s="4">
        <f t="shared" si="5"/>
        <v>0</v>
      </c>
      <c r="BH15" s="97"/>
      <c r="BI15" s="4">
        <f t="shared" si="6"/>
        <v>0</v>
      </c>
      <c r="BJ15" s="4">
        <f t="shared" si="7"/>
        <v>0</v>
      </c>
      <c r="BK15" s="96">
        <f ca="1">+BB15+BC15+BF15+BG15+BI15+BJ15</f>
        <v>159543.11744678998</v>
      </c>
      <c r="BM15" s="213">
        <f t="shared" si="48"/>
        <v>-3000</v>
      </c>
      <c r="BO15" s="4">
        <f t="shared" ca="1" si="21"/>
        <v>156543.11744678998</v>
      </c>
      <c r="BQ15" s="4">
        <f ca="1">IF(AND(REFUND_FINANCING="Yes",$D15&gt;PREMIUM_CALL_FIRST),0, IF(ISERROR(VLOOKUP($D15,'Senior Lien DS - First'!$A$11:$O$81,COLUMNS('Senior Lien DS - First'!$A$11:$O$11),0)),0,VLOOKUP($D15,'Senior Lien DS - First'!$A$11:$O$81,COLUMNS('Senior Lien DS - First'!$A$11:$O$11),0)))</f>
        <v>-13626.384729456018</v>
      </c>
      <c r="BR15" s="4">
        <f>IF(ISERROR(VLOOKUP($D15,'Senior Lien DS - Refunding'!$A$11:$O$81,COLUMNS('Senior Lien DS - Refunding'!$A$11:$O$11),0)),0,VLOOKUP($D15,'Senior Lien DS - Refunding'!$A$11:$O$81,COLUMNS('Senior Lien DS - Refunding'!$A$11:$O$11),0))</f>
        <v>0</v>
      </c>
      <c r="BS15" s="4">
        <f t="shared" ca="1" si="33"/>
        <v>-13626.384729456018</v>
      </c>
      <c r="BT15" s="84">
        <f t="shared" ca="1" si="34"/>
        <v>-7.5209323295601118</v>
      </c>
      <c r="BU15" s="4">
        <f ca="1">IF(AND(REFUND_FINANCING="Yes", $D15&gt;DELIVERY_REFUNDING),0,AX15-BQ15)</f>
        <v>116109.50217624599</v>
      </c>
      <c r="BV15" s="4">
        <f t="shared" ref="BV15:BV56" si="66">IF(OR(DELIVERY_REFUNDING&gt;=$C15,REFUND_FINANCING="No"),0,AX15-BQ15-BR15)</f>
        <v>0</v>
      </c>
      <c r="BW15" s="4">
        <f t="shared" ref="BW15:BW56" ca="1" si="67">IF(REFUND_FINANCING="No",0,ROUNDDOWN(IF($C15=PREMIUM_CALL_FIRST,OFFSET(CA15,-1,0),0),-4))</f>
        <v>0</v>
      </c>
      <c r="BX15" s="4">
        <f t="shared" ca="1" si="50"/>
        <v>116109.50217624599</v>
      </c>
      <c r="BY15" s="4">
        <f ca="1">IF(OR(BZ15&gt;=SURPLUS_FUND_TARGET,D15&gt;=SURPLUS_FUND_RELEASE_DATE),$BU15-($BZ15-$BZ14),IF($BZ15&lt;SURPLUS_FUND_TARGET,IF(D15=SURPLUS_FUND_RELEASE_DATE,SURPLUS_FUND_TARGET-ABS(BU15),0),SURPLUS_FUND_TARGET+$BU15))</f>
        <v>116109.50217624599</v>
      </c>
      <c r="BZ15" s="4">
        <f t="shared" ca="1" si="52"/>
        <v>0</v>
      </c>
      <c r="CA15" s="4">
        <f t="shared" ca="1" si="35"/>
        <v>0</v>
      </c>
      <c r="CB15" s="14">
        <f ca="1">IF(ISERROR((VLOOKUP($D15,'Senior Lien DS - First'!$A$11:$P$71,COLUMNS('Senior Lien DS - First'!$A$11:$P$11)))/Summary!$AG16),"",(IF(REFUND_FINANCING="Yes",0,VLOOKUP($D15,'Senior Lien DS - First'!$A$11:$P$71,COLUMNS('Senior Lien DS - First'!$A$11:$P$11))))/Summary!$AG16)</f>
        <v>5.2184504796887098E-2</v>
      </c>
      <c r="CC15" s="10">
        <f ca="1">IF(ISERROR((VLOOKUP($C15,'Senior Lien DS - First'!$A$11:$P$71,COLUMNS('Senior Lien DS - First'!$A$11:$P$11)))/Summary!$M16),"",(VLOOKUP($C15,'Senior Lien DS - First'!$A$11:$P$71,COLUMNS('Senior Lien DS - First'!$A$11:$P$11)))/Summary!$M16)</f>
        <v>2.9681087247462903E-2</v>
      </c>
      <c r="CD15" s="9">
        <f t="shared" ca="1" si="36"/>
        <v>-7.5209323295601118</v>
      </c>
      <c r="CE15" s="9">
        <f t="shared" ca="1" si="53"/>
        <v>-7.5209323295601118</v>
      </c>
      <c r="CG15" s="4"/>
      <c r="CH15" s="4">
        <f ca="1">IF(D15=SURPLUS_FUND_RELEASE_DATE,BY15+SURPLUS_FUND_TARGET+(BO15-AX15), IF(BY15=0,0,BY15+(BO15-AX15)))</f>
        <v>170169.50217624599</v>
      </c>
      <c r="CI15" s="309">
        <v>0</v>
      </c>
      <c r="CJ15" s="4">
        <f ca="1">(CH15+CI15)/DSC_SUB_LIEN_BONDS</f>
        <v>170169.50217624599</v>
      </c>
      <c r="CK15" s="4">
        <f ca="1">IF(ISNA(VLOOKUP(DATE(YEAR($D15),PRIN_MATURITY,PRIN_MATURITY_DAY_SUB),'Sub Lien DS - First (Annual)'!$A$12:$H$96,COLUMNS('Sub Lien DS - First (Annual)'!$A$12:$H$12),0)),0,VLOOKUP(DATE(YEAR($D15),PRIN_MATURITY,PRIN_MATURITY_DAY_SUB),'Sub Lien DS - First (Annual)'!$A$12:$H$96,COLUMNS('Sub Lien DS - First (Annual)'!$A$12:$H$12),0))</f>
        <v>75481.25</v>
      </c>
      <c r="CL15" s="4">
        <f t="shared" ca="1" si="55"/>
        <v>75481.25</v>
      </c>
      <c r="CM15" s="4">
        <f t="shared" ca="1" si="37"/>
        <v>6961.9838341693394</v>
      </c>
      <c r="CN15" s="4">
        <f t="shared" ca="1" si="56"/>
        <v>92647.9387162536</v>
      </c>
      <c r="CO15" s="4">
        <f t="shared" ref="CO15:CO43" ca="1" si="68">CO14+$CM15-$CN15</f>
        <v>0</v>
      </c>
      <c r="CP15" s="4"/>
      <c r="CQ15" s="4">
        <f>IF(YEAR(DELIVERY)=YEAR($D15),'Sources and Uses - First'!$D$12,0)</f>
        <v>0</v>
      </c>
      <c r="CR15" s="4">
        <f>IF(ISNA(VLOOKUP(DATE(YEAR($D15),PRIN_MATURITY, PRIN_MATURITY_DAY_SUB),'Sub Lien DS - First (Annual)'!$A$12:$G$41,COLUMNS('Sub Lien DS - First (Annual)'!$A$12:$G$12),0)),0,VLOOKUP(DATE(YEAR($D15),PRIN_MATURITY, PRIN_MATURITY_DAY_SUB),'Sub Lien DS - First (Annual)'!$A$12:$G$41,COLUMNS('Sub Lien DS - First (Annual)'!$A$12:$G$12),0))</f>
        <v>0</v>
      </c>
      <c r="CS15" s="4">
        <f>SUM($CQ$14:CQ15)-SUM($CR$14:CR15)</f>
        <v>0</v>
      </c>
      <c r="CT15" s="4">
        <f>SUM($CQ$14:CQ15)-SUM($CR$14:CR15)</f>
        <v>0</v>
      </c>
      <c r="CU15" s="4">
        <f t="shared" ca="1" si="57"/>
        <v>168129.18871625361</v>
      </c>
      <c r="CV15" s="4">
        <f t="shared" ca="1" si="58"/>
        <v>168129.18871625361</v>
      </c>
      <c r="CW15" s="4">
        <f t="shared" ca="1" si="59"/>
        <v>2040.3134599923796</v>
      </c>
      <c r="CX15" s="4">
        <f t="shared" ref="CX15:CX44" ca="1" si="69">CW15</f>
        <v>2040.3134599923796</v>
      </c>
      <c r="CY15" s="4">
        <f ca="1">SUM($CW$14:CW15)-SUM($CX$14:CX15)</f>
        <v>0</v>
      </c>
    </row>
    <row r="16" spans="1:103" x14ac:dyDescent="0.25">
      <c r="A16">
        <f t="shared" si="22"/>
        <v>4</v>
      </c>
      <c r="B16" s="3"/>
      <c r="C16" s="75">
        <f t="shared" si="38"/>
        <v>46447</v>
      </c>
      <c r="D16" s="75">
        <f t="shared" si="38"/>
        <v>46813</v>
      </c>
      <c r="E16" s="3">
        <f t="shared" si="39"/>
        <v>0</v>
      </c>
      <c r="F16" s="3">
        <f>VLOOKUP($C16,'Residential Development'!$DW$14:$EL$33,COLUMNS('Residential Development'!$DW$14:$DX$14))+F15+E16</f>
        <v>0</v>
      </c>
      <c r="G16" s="4">
        <f t="shared" si="23"/>
        <v>0</v>
      </c>
      <c r="H16" s="3">
        <f>VLOOKUP($C16,'Residential Development'!$D$14:$Q$33,COLUMNS('Residential Development'!$D$14:$Q$14))</f>
        <v>96</v>
      </c>
      <c r="I16" s="3">
        <f ca="1">VLOOKUP($C16,'Residential Development'!$AW17:$BK$33,COLUMNS('Residential Development'!$AW$13:$BK$33))</f>
        <v>6543065.0999999996</v>
      </c>
      <c r="J16" s="4">
        <f t="shared" ca="1" si="24"/>
        <v>3598685.8050000002</v>
      </c>
      <c r="K16" s="4">
        <f>VLOOKUP($C16,'Residential Development'!$CD$14:$CQ$33,COLUMNS('Residential Development'!$CD$14:$CQ$14))</f>
        <v>151</v>
      </c>
      <c r="L16" s="3">
        <f t="shared" ca="1" si="60"/>
        <v>890763.94270000001</v>
      </c>
      <c r="M16" s="3">
        <f ca="1">VLOOKUP($C16,'Residential Development'!$EN$14:$FC$33,COLUMNS('Residential Development'!$EN$14:$FC$14))+M15+L16</f>
        <v>191704567.7121</v>
      </c>
      <c r="N16" s="3">
        <f t="shared" ca="1" si="41"/>
        <v>105437512.24165501</v>
      </c>
      <c r="O16" s="322"/>
      <c r="P16" s="4">
        <f>VLOOKUP($C16,'Residential Development'!$AH$14:$AI$38,2)</f>
        <v>0</v>
      </c>
      <c r="Q16" s="4">
        <f t="shared" ca="1" si="8"/>
        <v>109036198.04665501</v>
      </c>
      <c r="R16" s="4">
        <f>VLOOKUP($C16,'Comm Development'!$D$14:$O$33,COLUMNS('Comm Development'!$D$14:$O$14))</f>
        <v>0</v>
      </c>
      <c r="S16" s="4">
        <f t="shared" si="25"/>
        <v>0</v>
      </c>
      <c r="T16" s="4">
        <f>VLOOKUP($C16,'Comm Development'!$CG$14:$CR$33,COLUMNS('Comm Development'!$CG$14:$CR$14))+T15+S16</f>
        <v>0</v>
      </c>
      <c r="U16" s="3"/>
      <c r="V16" s="3">
        <f>VLOOKUP($C16,'Comm Development'!$BG$14:$BR$33,COLUMNS('Comm Development'!$BG$14:$BR$14))</f>
        <v>0</v>
      </c>
      <c r="W16" s="4">
        <f t="shared" si="26"/>
        <v>0</v>
      </c>
      <c r="X16" s="4">
        <f>VLOOKUP($C16,'Comm Development'!$CG$14:$CR$33,COLUMNS('Comm Development'!$CG$14:$CR$14))+X15+W16</f>
        <v>0</v>
      </c>
      <c r="Y16" s="3">
        <f t="shared" si="42"/>
        <v>0</v>
      </c>
      <c r="Z16" s="3">
        <f t="shared" si="61"/>
        <v>0</v>
      </c>
      <c r="AA16" s="322">
        <f t="shared" si="43"/>
        <v>0</v>
      </c>
      <c r="AB16" s="296"/>
      <c r="AC16" s="268"/>
      <c r="AD16" s="4">
        <f t="shared" si="44"/>
        <v>0</v>
      </c>
      <c r="AE16" s="4">
        <f t="shared" si="45"/>
        <v>0</v>
      </c>
      <c r="AG16" s="4">
        <f t="shared" ca="1" si="9"/>
        <v>109036198.04665501</v>
      </c>
      <c r="AH16" s="18">
        <f t="shared" si="27"/>
        <v>3</v>
      </c>
      <c r="AI16" s="4">
        <f t="shared" ca="1" si="28"/>
        <v>320566.42225716572</v>
      </c>
      <c r="AJ16" s="4">
        <f t="shared" ca="1" si="11"/>
        <v>0</v>
      </c>
      <c r="AK16" s="3">
        <f t="shared" si="12"/>
        <v>0</v>
      </c>
      <c r="AL16" s="194">
        <f t="shared" si="13"/>
        <v>0</v>
      </c>
      <c r="AM16" s="4">
        <f t="shared" si="62"/>
        <v>0</v>
      </c>
      <c r="AN16" s="4">
        <f t="shared" si="63"/>
        <v>0</v>
      </c>
      <c r="AO16" s="97"/>
      <c r="AP16" s="4">
        <f t="shared" si="64"/>
        <v>0</v>
      </c>
      <c r="AQ16" s="4">
        <f t="shared" si="3"/>
        <v>0</v>
      </c>
      <c r="AR16" s="364">
        <f t="shared" ca="1" si="14"/>
        <v>320566.42225716572</v>
      </c>
      <c r="AT16" s="213">
        <f t="shared" ca="1" si="46"/>
        <v>0</v>
      </c>
      <c r="AU16" s="213">
        <f t="shared" ca="1" si="65"/>
        <v>-4000</v>
      </c>
      <c r="AV16" s="312">
        <f t="shared" ref="AV16:AV56" si="70">AV15*(1+OM_GROWTH_RATE)</f>
        <v>-54121.200000000004</v>
      </c>
      <c r="AX16" s="4">
        <f ca="1">AR16+SUM(AT16:AV16)</f>
        <v>262445.2222571657</v>
      </c>
      <c r="AZ16" s="4">
        <f t="shared" ca="1" si="15"/>
        <v>109036198.04665501</v>
      </c>
      <c r="BA16" s="18">
        <f t="shared" si="47"/>
        <v>3</v>
      </c>
      <c r="BB16" s="4">
        <f t="shared" ca="1" si="16"/>
        <v>320566.42225716572</v>
      </c>
      <c r="BC16" s="4">
        <f t="shared" ca="1" si="17"/>
        <v>0</v>
      </c>
      <c r="BD16" s="3">
        <f t="shared" si="18"/>
        <v>0</v>
      </c>
      <c r="BE16" s="194">
        <f t="shared" si="19"/>
        <v>0</v>
      </c>
      <c r="BF16" s="4">
        <f t="shared" si="4"/>
        <v>0</v>
      </c>
      <c r="BG16" s="4">
        <f t="shared" si="5"/>
        <v>0</v>
      </c>
      <c r="BH16" s="97"/>
      <c r="BI16" s="4">
        <f t="shared" si="6"/>
        <v>0</v>
      </c>
      <c r="BJ16" s="4">
        <f t="shared" si="7"/>
        <v>0</v>
      </c>
      <c r="BK16" s="96">
        <f t="shared" ref="BK16:BK55" ca="1" si="71">+BB16+BC16+BF16+BG16+BI16+BJ16</f>
        <v>320566.42225716572</v>
      </c>
      <c r="BM16" s="213">
        <f t="shared" si="48"/>
        <v>-3000</v>
      </c>
      <c r="BO16" s="4">
        <f t="shared" ca="1" si="21"/>
        <v>317566.42225716572</v>
      </c>
      <c r="BQ16" s="4">
        <f ca="1">IF(AND(REFUND_FINANCING="Yes",$D16&gt;PREMIUM_CALL_FIRST),0, IF(ISERROR(VLOOKUP($D16,'Senior Lien DS - First'!$A$11:$O$81,COLUMNS('Senior Lien DS - First'!$A$11:$O$11),0)),0,VLOOKUP($D16,'Senior Lien DS - First'!$A$11:$O$81,COLUMNS('Senior Lien DS - First'!$A$11:$O$11),0)))</f>
        <v>320661.11527054396</v>
      </c>
      <c r="BR16" s="4">
        <f>IF(ISERROR(VLOOKUP($D16,'Senior Lien DS - Refunding'!$A$11:$O$81,COLUMNS('Senior Lien DS - Refunding'!$A$11:$O$11),0)),0,VLOOKUP($D16,'Senior Lien DS - Refunding'!$A$11:$O$81,COLUMNS('Senior Lien DS - Refunding'!$A$11:$O$11),0))</f>
        <v>0</v>
      </c>
      <c r="BS16" s="4">
        <f t="shared" ca="1" si="33"/>
        <v>320661.11527054396</v>
      </c>
      <c r="BT16" s="84">
        <f t="shared" ca="1" si="34"/>
        <v>0.81845041309651434</v>
      </c>
      <c r="BU16" s="4">
        <f t="shared" ca="1" si="49"/>
        <v>-58215.893013378256</v>
      </c>
      <c r="BV16" s="4">
        <f t="shared" si="66"/>
        <v>0</v>
      </c>
      <c r="BW16" s="4">
        <f t="shared" ca="1" si="67"/>
        <v>0</v>
      </c>
      <c r="BX16" s="4">
        <f t="shared" ca="1" si="50"/>
        <v>-58215.893013378256</v>
      </c>
      <c r="BY16" s="4">
        <f t="shared" ca="1" si="51"/>
        <v>0</v>
      </c>
      <c r="BZ16" s="4">
        <f t="shared" ca="1" si="52"/>
        <v>-58215.893013378256</v>
      </c>
      <c r="CA16" s="4">
        <f t="shared" ca="1" si="35"/>
        <v>-58215.893013378256</v>
      </c>
      <c r="CB16" s="14">
        <f ca="1">IF(ISERROR((VLOOKUP($D16,'Senior Lien DS - First'!$A$11:$P$71,COLUMNS('Senior Lien DS - First'!$A$11:$P$11)))/Summary!$AG17),"",(IF(REFUND_FINANCING="Yes",0,VLOOKUP($D16,'Senior Lien DS - First'!$A$11:$P$71,COLUMNS('Senior Lien DS - First'!$A$11:$P$11))))/Summary!$AG17)</f>
        <v>3.8471726265503818E-2</v>
      </c>
      <c r="CC16" s="10">
        <f ca="1">IF(ISERROR((VLOOKUP($C16,'Senior Lien DS - First'!$A$11:$P$71,COLUMNS('Senior Lien DS - First'!$A$11:$P$11)))/Summary!$M17),"",(VLOOKUP($C16,'Senior Lien DS - First'!$A$11:$P$71,COLUMNS('Senior Lien DS - First'!$A$11:$P$11)))/Summary!$M17)</f>
        <v>2.1462023813239983E-2</v>
      </c>
      <c r="CD16" s="9">
        <f t="shared" ca="1" si="36"/>
        <v>0.81845041309651434</v>
      </c>
      <c r="CE16" s="9">
        <f t="shared" ca="1" si="53"/>
        <v>0.81845041309651434</v>
      </c>
      <c r="CG16" s="4"/>
      <c r="CH16" s="4">
        <f t="shared" ca="1" si="54"/>
        <v>0</v>
      </c>
      <c r="CI16" s="309">
        <v>0</v>
      </c>
      <c r="CJ16" s="4">
        <f t="shared" ref="CJ16:CJ56" ca="1" si="72">(CH16+CI16)/DSC_SUB_LIEN_BONDS</f>
        <v>0</v>
      </c>
      <c r="CK16" s="4">
        <f ca="1">IF(ISNA(VLOOKUP(DATE(YEAR($D16),PRIN_MATURITY,PRIN_MATURITY_DAY_SUB),'Sub Lien DS - First (Annual)'!$A$12:$H$96,COLUMNS('Sub Lien DS - First (Annual)'!$A$12:$H$12),0)),0,VLOOKUP(DATE(YEAR($D16),PRIN_MATURITY,PRIN_MATURITY_DAY_SUB),'Sub Lien DS - First (Annual)'!$A$12:$H$96,COLUMNS('Sub Lien DS - First (Annual)'!$A$12:$H$12),0))</f>
        <v>75481.25</v>
      </c>
      <c r="CL16" s="4">
        <f t="shared" ca="1" si="55"/>
        <v>0</v>
      </c>
      <c r="CM16" s="4">
        <f t="shared" ca="1" si="37"/>
        <v>75481.25</v>
      </c>
      <c r="CN16" s="4">
        <f t="shared" ca="1" si="56"/>
        <v>0</v>
      </c>
      <c r="CO16" s="4">
        <f t="shared" ca="1" si="68"/>
        <v>75481.25</v>
      </c>
      <c r="CP16" s="4"/>
      <c r="CQ16" s="4">
        <f>IF(YEAR(DELIVERY)=YEAR($D16),'Sources and Uses - First'!$D$12,0)</f>
        <v>0</v>
      </c>
      <c r="CR16" s="4">
        <f>IF(ISNA(VLOOKUP(DATE(YEAR($D16),PRIN_MATURITY, PRIN_MATURITY_DAY_SUB),'Sub Lien DS - First (Annual)'!$A$12:$G$41,COLUMNS('Sub Lien DS - First (Annual)'!$A$12:$G$12),0)),0,VLOOKUP(DATE(YEAR($D16),PRIN_MATURITY, PRIN_MATURITY_DAY_SUB),'Sub Lien DS - First (Annual)'!$A$12:$G$41,COLUMNS('Sub Lien DS - First (Annual)'!$A$12:$G$12),0))</f>
        <v>0</v>
      </c>
      <c r="CS16" s="4">
        <f>SUM($CQ$14:CQ16)-SUM($CR$14:CR16)</f>
        <v>0</v>
      </c>
      <c r="CT16" s="4">
        <f>SUM($CQ$14:CQ16)-SUM($CR$14:CR16)</f>
        <v>0</v>
      </c>
      <c r="CU16" s="4">
        <f t="shared" ca="1" si="57"/>
        <v>0</v>
      </c>
      <c r="CV16" s="4">
        <f t="shared" ca="1" si="58"/>
        <v>0</v>
      </c>
      <c r="CW16" s="4">
        <f t="shared" ca="1" si="59"/>
        <v>0</v>
      </c>
      <c r="CX16" s="4">
        <f t="shared" ca="1" si="69"/>
        <v>0</v>
      </c>
      <c r="CY16" s="4">
        <f ca="1">SUM($CW$14:CW16)-SUM($CX$14:CX16)</f>
        <v>0</v>
      </c>
    </row>
    <row r="17" spans="1:103" x14ac:dyDescent="0.25">
      <c r="A17">
        <f t="shared" si="22"/>
        <v>5</v>
      </c>
      <c r="B17" s="3"/>
      <c r="C17" s="75">
        <f t="shared" si="38"/>
        <v>46813</v>
      </c>
      <c r="D17" s="75">
        <f t="shared" si="38"/>
        <v>47178</v>
      </c>
      <c r="E17" s="3">
        <f t="shared" si="39"/>
        <v>0</v>
      </c>
      <c r="F17" s="3">
        <f>VLOOKUP($C17,'Residential Development'!$DW$14:$EL$33,COLUMNS('Residential Development'!$DW$14:$DX$14))+F16+E17</f>
        <v>0</v>
      </c>
      <c r="G17" s="4">
        <f t="shared" si="23"/>
        <v>0</v>
      </c>
      <c r="H17" s="3">
        <f>VLOOKUP($C17,'Residential Development'!$D$14:$Q$33,COLUMNS('Residential Development'!$D$14:$Q$14))</f>
        <v>91</v>
      </c>
      <c r="I17" s="3">
        <f ca="1">VLOOKUP($C17,'Residential Development'!$AW18:$BK$33,COLUMNS('Residential Development'!$AW$13:$BK$33))</f>
        <v>3791136</v>
      </c>
      <c r="J17" s="4">
        <f t="shared" ca="1" si="24"/>
        <v>2085124.8000000003</v>
      </c>
      <c r="K17" s="4">
        <f>VLOOKUP($C17,'Residential Development'!$CD$14:$CQ$33,COLUMNS('Residential Development'!$CD$14:$CQ$14))</f>
        <v>96</v>
      </c>
      <c r="L17" s="3">
        <f t="shared" ca="1" si="60"/>
        <v>1917045.6771210001</v>
      </c>
      <c r="M17" s="3">
        <f ca="1">VLOOKUP($C17,'Residential Development'!$EN$14:$FC$33,COLUMNS('Residential Development'!$EN$14:$FC$14))+M16+L17</f>
        <v>265119452.36449802</v>
      </c>
      <c r="N17" s="3">
        <f t="shared" ca="1" si="41"/>
        <v>145815698.80047393</v>
      </c>
      <c r="O17" s="322"/>
      <c r="P17" s="4">
        <f>VLOOKUP($C17,'Residential Development'!$AH$14:$AI$38,2)</f>
        <v>0</v>
      </c>
      <c r="Q17" s="4">
        <f t="shared" ca="1" si="8"/>
        <v>147900823.60047394</v>
      </c>
      <c r="R17" s="4">
        <f>VLOOKUP($C17,'Comm Development'!$D$14:$O$33,COLUMNS('Comm Development'!$D$14:$O$14))</f>
        <v>0</v>
      </c>
      <c r="S17" s="4">
        <f t="shared" si="25"/>
        <v>0</v>
      </c>
      <c r="T17" s="4">
        <f>VLOOKUP($C17,'Comm Development'!$CG$14:$CR$33,COLUMNS('Comm Development'!$CG$14:$CR$14))+T16+S17</f>
        <v>0</v>
      </c>
      <c r="U17" s="3"/>
      <c r="V17" s="3">
        <f>VLOOKUP($C17,'Comm Development'!$BG$14:$BR$33,COLUMNS('Comm Development'!$BG$14:$BR$14))</f>
        <v>0</v>
      </c>
      <c r="W17" s="4">
        <f t="shared" si="26"/>
        <v>0</v>
      </c>
      <c r="X17" s="4">
        <f>VLOOKUP($C17,'Comm Development'!$CG$14:$CR$33,COLUMNS('Comm Development'!$CG$14:$CR$14))+X16+W17</f>
        <v>0</v>
      </c>
      <c r="Y17" s="3">
        <f t="shared" si="42"/>
        <v>0</v>
      </c>
      <c r="Z17" s="3">
        <f t="shared" si="61"/>
        <v>0</v>
      </c>
      <c r="AA17" s="322">
        <f t="shared" si="43"/>
        <v>0</v>
      </c>
      <c r="AB17" s="296"/>
      <c r="AC17" s="268"/>
      <c r="AD17" s="4">
        <f t="shared" si="44"/>
        <v>0</v>
      </c>
      <c r="AE17" s="4">
        <f t="shared" si="45"/>
        <v>0</v>
      </c>
      <c r="AG17" s="4">
        <f t="shared" ca="1" si="9"/>
        <v>147900823.60047394</v>
      </c>
      <c r="AH17" s="18">
        <f t="shared" si="27"/>
        <v>3</v>
      </c>
      <c r="AI17" s="4">
        <f t="shared" ca="1" si="28"/>
        <v>434828.42138539336</v>
      </c>
      <c r="AJ17" s="4">
        <f t="shared" ca="1" si="11"/>
        <v>0</v>
      </c>
      <c r="AK17" s="3">
        <f t="shared" si="12"/>
        <v>0</v>
      </c>
      <c r="AL17" s="194">
        <f t="shared" si="13"/>
        <v>0</v>
      </c>
      <c r="AM17" s="4">
        <f t="shared" si="62"/>
        <v>0</v>
      </c>
      <c r="AN17" s="4">
        <f t="shared" si="63"/>
        <v>0</v>
      </c>
      <c r="AO17" s="97"/>
      <c r="AP17" s="4">
        <f t="shared" si="64"/>
        <v>0</v>
      </c>
      <c r="AQ17" s="4">
        <f t="shared" si="3"/>
        <v>0</v>
      </c>
      <c r="AR17" s="364">
        <f t="shared" ca="1" si="14"/>
        <v>434828.42138539336</v>
      </c>
      <c r="AT17" s="213">
        <f t="shared" ca="1" si="46"/>
        <v>0</v>
      </c>
      <c r="AU17" s="213">
        <f t="shared" ca="1" si="65"/>
        <v>-4000</v>
      </c>
      <c r="AV17" s="312">
        <f t="shared" si="70"/>
        <v>-55203.624000000003</v>
      </c>
      <c r="AX17" s="4">
        <f t="shared" ca="1" si="32"/>
        <v>375624.79738539335</v>
      </c>
      <c r="AZ17" s="4">
        <f t="shared" ca="1" si="15"/>
        <v>147900823.60047394</v>
      </c>
      <c r="BA17" s="18">
        <f t="shared" si="47"/>
        <v>3</v>
      </c>
      <c r="BB17" s="4">
        <f t="shared" ca="1" si="16"/>
        <v>434828.42138539336</v>
      </c>
      <c r="BC17" s="4">
        <f t="shared" ca="1" si="17"/>
        <v>0</v>
      </c>
      <c r="BD17" s="3">
        <f t="shared" si="18"/>
        <v>0</v>
      </c>
      <c r="BE17" s="194">
        <f t="shared" si="19"/>
        <v>0</v>
      </c>
      <c r="BF17" s="4">
        <f t="shared" si="4"/>
        <v>0</v>
      </c>
      <c r="BG17" s="4">
        <f t="shared" si="5"/>
        <v>0</v>
      </c>
      <c r="BH17" s="97"/>
      <c r="BI17" s="4">
        <f t="shared" si="6"/>
        <v>0</v>
      </c>
      <c r="BJ17" s="4">
        <f t="shared" si="7"/>
        <v>0</v>
      </c>
      <c r="BK17" s="96">
        <f t="shared" ca="1" si="71"/>
        <v>434828.42138539336</v>
      </c>
      <c r="BM17" s="213">
        <f t="shared" si="48"/>
        <v>-3000</v>
      </c>
      <c r="BO17" s="4">
        <f t="shared" ca="1" si="21"/>
        <v>431828.42138539336</v>
      </c>
      <c r="BQ17" s="4">
        <f ca="1">IF(AND(REFUND_FINANCING="Yes",$D17&gt;PREMIUM_CALL_FIRST),0, IF(ISERROR(VLOOKUP($D17,'Senior Lien DS - First'!$A$11:$O$81,COLUMNS('Senior Lien DS - First'!$A$11:$O$11),0)),0,VLOOKUP($D17,'Senior Lien DS - First'!$A$11:$O$81,COLUMNS('Senior Lien DS - First'!$A$11:$O$11),0)))</f>
        <v>320661.11527054396</v>
      </c>
      <c r="BR17" s="4">
        <f>IF(ISERROR(VLOOKUP($D17,'Senior Lien DS - Refunding'!$A$11:$O$81,COLUMNS('Senior Lien DS - Refunding'!$A$11:$O$11),0)),0,VLOOKUP($D17,'Senior Lien DS - Refunding'!$A$11:$O$81,COLUMNS('Senior Lien DS - Refunding'!$A$11:$O$11),0))</f>
        <v>0</v>
      </c>
      <c r="BS17" s="4">
        <f t="shared" ca="1" si="33"/>
        <v>320661.11527054396</v>
      </c>
      <c r="BT17" s="84">
        <f t="shared" ca="1" si="34"/>
        <v>1.1714073814920658</v>
      </c>
      <c r="BU17" s="4">
        <f ca="1">IF(AND(REFUND_FINANCING="Yes", $D17&gt;DELIVERY_REFUNDING),0,AX17-BQ17)</f>
        <v>54963.682114849391</v>
      </c>
      <c r="BV17" s="4">
        <f t="shared" si="66"/>
        <v>0</v>
      </c>
      <c r="BW17" s="4">
        <f t="shared" ca="1" si="67"/>
        <v>0</v>
      </c>
      <c r="BX17" s="4">
        <f t="shared" ca="1" si="50"/>
        <v>54963.682114849391</v>
      </c>
      <c r="BY17" s="4">
        <f t="shared" ca="1" si="51"/>
        <v>0</v>
      </c>
      <c r="BZ17" s="4">
        <f t="shared" ca="1" si="52"/>
        <v>-3252.2108985288651</v>
      </c>
      <c r="CA17" s="4">
        <f t="shared" ca="1" si="35"/>
        <v>-3252.2108985288651</v>
      </c>
      <c r="CB17" s="14">
        <f ca="1">IF(ISERROR((VLOOKUP($D17,'Senior Lien DS - First'!$A$11:$P$71,COLUMNS('Senior Lien DS - First'!$A$11:$P$11)))/Summary!$AG18),"",(IF(REFUND_FINANCING="Yes",0,VLOOKUP($D17,'Senior Lien DS - First'!$A$11:$P$71,COLUMNS('Senior Lien DS - First'!$A$11:$P$11))))/Summary!$AG18)</f>
        <v>3.2943751058721021E-2</v>
      </c>
      <c r="CC17" s="10">
        <f ca="1">IF(ISERROR((VLOOKUP($C17,'Senior Lien DS - First'!$A$11:$P$71,COLUMNS('Senior Lien DS - First'!$A$11:$P$11)))/Summary!$M18),"",(VLOOKUP($C17,'Senior Lien DS - First'!$A$11:$P$71,COLUMNS('Senior Lien DS - First'!$A$11:$P$11)))/Summary!$M18)</f>
        <v>1.8328810818774355E-2</v>
      </c>
      <c r="CD17" s="9">
        <f t="shared" ca="1" si="36"/>
        <v>1.1714073814920658</v>
      </c>
      <c r="CE17" s="9">
        <f t="shared" ca="1" si="53"/>
        <v>1.1714073814920658</v>
      </c>
      <c r="CG17" s="4"/>
      <c r="CH17" s="4">
        <f t="shared" ca="1" si="54"/>
        <v>0</v>
      </c>
      <c r="CI17" s="309">
        <v>0</v>
      </c>
      <c r="CJ17" s="4">
        <f t="shared" ca="1" si="72"/>
        <v>0</v>
      </c>
      <c r="CK17" s="4">
        <f ca="1">IF(ISNA(VLOOKUP(DATE(YEAR($D17),PRIN_MATURITY,PRIN_MATURITY_DAY_SUB),'Sub Lien DS - First (Annual)'!$A$12:$H$96,COLUMNS('Sub Lien DS - First (Annual)'!$A$12:$H$12),0)),0,VLOOKUP(DATE(YEAR($D17),PRIN_MATURITY,PRIN_MATURITY_DAY_SUB),'Sub Lien DS - First (Annual)'!$A$12:$H$96,COLUMNS('Sub Lien DS - First (Annual)'!$A$12:$H$12),0))</f>
        <v>75481.25</v>
      </c>
      <c r="CL17" s="4">
        <f t="shared" ca="1" si="55"/>
        <v>0</v>
      </c>
      <c r="CM17" s="4">
        <f ca="1">IF($C17&gt;(EDATE(DATE(YEAR(DELIVERY),PRIN_MATURITY,PRIN_MATURITY_DAY_SUB),12*FINAL_MAT_SUB_YRS)),0,CK17+(CO16*SUB_INTEREST_RATE)-CL17)</f>
        <v>81614.1015625</v>
      </c>
      <c r="CN17" s="4">
        <f t="shared" ca="1" si="56"/>
        <v>0</v>
      </c>
      <c r="CO17" s="4">
        <f t="shared" ca="1" si="68"/>
        <v>157095.3515625</v>
      </c>
      <c r="CP17" s="4"/>
      <c r="CQ17" s="4">
        <f>IF(YEAR(DELIVERY)=YEAR($D17),'Sources and Uses - First'!$D$12,0)</f>
        <v>0</v>
      </c>
      <c r="CR17" s="4">
        <f>IF(ISNA(VLOOKUP(DATE(YEAR($D17),PRIN_MATURITY, PRIN_MATURITY_DAY_SUB),'Sub Lien DS - First (Annual)'!$A$12:$G$41,COLUMNS('Sub Lien DS - First (Annual)'!$A$12:$G$12),0)),0,VLOOKUP(DATE(YEAR($D17),PRIN_MATURITY, PRIN_MATURITY_DAY_SUB),'Sub Lien DS - First (Annual)'!$A$12:$G$41,COLUMNS('Sub Lien DS - First (Annual)'!$A$12:$G$12),0))</f>
        <v>0</v>
      </c>
      <c r="CS17" s="4">
        <f>SUM($CQ$14:CQ17)-SUM($CR$14:CR17)</f>
        <v>0</v>
      </c>
      <c r="CT17" s="4">
        <f>SUM($CQ$14:CQ17)-SUM($CR$14:CR17)</f>
        <v>0</v>
      </c>
      <c r="CU17" s="4">
        <f t="shared" ca="1" si="57"/>
        <v>0</v>
      </c>
      <c r="CV17" s="4">
        <f t="shared" ca="1" si="58"/>
        <v>0</v>
      </c>
      <c r="CW17" s="4">
        <f t="shared" ca="1" si="59"/>
        <v>0</v>
      </c>
      <c r="CX17" s="4">
        <f t="shared" ca="1" si="69"/>
        <v>0</v>
      </c>
      <c r="CY17" s="4">
        <f ca="1">SUM($CW$14:CW17)-SUM($CX$14:CX17)</f>
        <v>0</v>
      </c>
    </row>
    <row r="18" spans="1:103" x14ac:dyDescent="0.25">
      <c r="A18">
        <f t="shared" si="22"/>
        <v>6</v>
      </c>
      <c r="B18" s="3"/>
      <c r="C18" s="75">
        <f t="shared" si="38"/>
        <v>47178</v>
      </c>
      <c r="D18" s="75">
        <f t="shared" si="38"/>
        <v>47543</v>
      </c>
      <c r="E18" s="3">
        <f t="shared" si="39"/>
        <v>0</v>
      </c>
      <c r="F18" s="3">
        <f>VLOOKUP($C18,'Residential Development'!$DW$14:$EL$33,COLUMNS('Residential Development'!$DW$14:$DX$14))+F17+E18</f>
        <v>0</v>
      </c>
      <c r="G18" s="4">
        <f t="shared" si="23"/>
        <v>0</v>
      </c>
      <c r="H18" s="3">
        <f>VLOOKUP($C18,'Residential Development'!$D$14:$Q$33,COLUMNS('Residential Development'!$D$14:$Q$14))</f>
        <v>0</v>
      </c>
      <c r="I18" s="3">
        <f ca="1">VLOOKUP($C18,'Residential Development'!$AW19:$BK$33,COLUMNS('Residential Development'!$AW$13:$BK$33))</f>
        <v>3593681</v>
      </c>
      <c r="J18" s="4">
        <f t="shared" ca="1" si="24"/>
        <v>1976524.55</v>
      </c>
      <c r="K18" s="4">
        <f>VLOOKUP($C18,'Residential Development'!$CD$14:$CQ$33,COLUMNS('Residential Development'!$CD$14:$CQ$14))</f>
        <v>91</v>
      </c>
      <c r="L18" s="3">
        <f t="shared" ca="1" si="60"/>
        <v>2651194.52364498</v>
      </c>
      <c r="M18" s="3">
        <f ca="1">VLOOKUP($C18,'Residential Development'!$EN$14:$FC$33,COLUMNS('Residential Development'!$EN$14:$FC$14))+M17+L18</f>
        <v>310440216.56722462</v>
      </c>
      <c r="N18" s="3">
        <f t="shared" ca="1" si="41"/>
        <v>170742119.11197355</v>
      </c>
      <c r="O18" s="322"/>
      <c r="P18" s="4">
        <f>VLOOKUP($C18,'Residential Development'!$AH$14:$AI$38,2)</f>
        <v>0</v>
      </c>
      <c r="Q18" s="4">
        <f t="shared" ca="1" si="8"/>
        <v>172718643.66197357</v>
      </c>
      <c r="R18" s="4">
        <f>VLOOKUP($C18,'Comm Development'!$D$14:$O$33,COLUMNS('Comm Development'!$D$14:$O$14))</f>
        <v>0</v>
      </c>
      <c r="S18" s="4">
        <f t="shared" si="25"/>
        <v>0</v>
      </c>
      <c r="T18" s="4">
        <f>VLOOKUP($C18,'Comm Development'!$CG$14:$CR$33,COLUMNS('Comm Development'!$CG$14:$CR$14))+T17+S18</f>
        <v>0</v>
      </c>
      <c r="U18" s="3"/>
      <c r="V18" s="3">
        <f>VLOOKUP($C18,'Comm Development'!$BG$14:$BR$33,COLUMNS('Comm Development'!$BG$14:$BR$14))</f>
        <v>0</v>
      </c>
      <c r="W18" s="4">
        <f t="shared" si="26"/>
        <v>0</v>
      </c>
      <c r="X18" s="4">
        <f>VLOOKUP($C18,'Comm Development'!$CG$14:$CR$33,COLUMNS('Comm Development'!$CG$14:$CR$14))+X17+W18</f>
        <v>0</v>
      </c>
      <c r="Y18" s="3">
        <f t="shared" si="42"/>
        <v>0</v>
      </c>
      <c r="Z18" s="3">
        <f t="shared" si="61"/>
        <v>0</v>
      </c>
      <c r="AA18" s="322">
        <f t="shared" si="43"/>
        <v>0</v>
      </c>
      <c r="AB18" s="296"/>
      <c r="AC18" s="268"/>
      <c r="AD18" s="4">
        <f t="shared" si="44"/>
        <v>0</v>
      </c>
      <c r="AE18" s="4">
        <f t="shared" si="45"/>
        <v>0</v>
      </c>
      <c r="AG18" s="4">
        <f t="shared" ca="1" si="9"/>
        <v>172718643.66197357</v>
      </c>
      <c r="AH18" s="18">
        <f t="shared" si="27"/>
        <v>3</v>
      </c>
      <c r="AI18" s="4">
        <f t="shared" ca="1" si="28"/>
        <v>507792.8123662023</v>
      </c>
      <c r="AJ18" s="4">
        <f t="shared" ca="1" si="11"/>
        <v>0</v>
      </c>
      <c r="AK18" s="3">
        <f t="shared" si="12"/>
        <v>0</v>
      </c>
      <c r="AL18" s="194">
        <f t="shared" si="13"/>
        <v>0</v>
      </c>
      <c r="AM18" s="4">
        <f t="shared" si="62"/>
        <v>0</v>
      </c>
      <c r="AN18" s="4">
        <f t="shared" si="63"/>
        <v>0</v>
      </c>
      <c r="AO18" s="97"/>
      <c r="AP18" s="4">
        <f t="shared" si="64"/>
        <v>0</v>
      </c>
      <c r="AQ18" s="4">
        <f t="shared" si="3"/>
        <v>0</v>
      </c>
      <c r="AR18" s="364">
        <f t="shared" ca="1" si="14"/>
        <v>507792.8123662023</v>
      </c>
      <c r="AT18" s="213">
        <f t="shared" ca="1" si="46"/>
        <v>0</v>
      </c>
      <c r="AU18" s="213">
        <f t="shared" ca="1" si="65"/>
        <v>-4000</v>
      </c>
      <c r="AV18" s="312">
        <f t="shared" si="70"/>
        <v>-56307.696480000006</v>
      </c>
      <c r="AX18" s="4">
        <f t="shared" ca="1" si="32"/>
        <v>447485.11588620231</v>
      </c>
      <c r="AZ18" s="4">
        <f t="shared" ca="1" si="15"/>
        <v>172718643.66197357</v>
      </c>
      <c r="BA18" s="18">
        <f t="shared" si="47"/>
        <v>3</v>
      </c>
      <c r="BB18" s="4">
        <f t="shared" ca="1" si="16"/>
        <v>507792.8123662023</v>
      </c>
      <c r="BC18" s="4">
        <f t="shared" ca="1" si="17"/>
        <v>0</v>
      </c>
      <c r="BD18" s="3">
        <f t="shared" si="18"/>
        <v>0</v>
      </c>
      <c r="BE18" s="194">
        <f t="shared" si="19"/>
        <v>0</v>
      </c>
      <c r="BF18" s="4">
        <f t="shared" si="4"/>
        <v>0</v>
      </c>
      <c r="BG18" s="4">
        <f t="shared" si="5"/>
        <v>0</v>
      </c>
      <c r="BH18" s="97"/>
      <c r="BI18" s="4">
        <f t="shared" si="6"/>
        <v>0</v>
      </c>
      <c r="BJ18" s="4">
        <f t="shared" si="7"/>
        <v>0</v>
      </c>
      <c r="BK18" s="96">
        <f t="shared" ca="1" si="71"/>
        <v>507792.8123662023</v>
      </c>
      <c r="BM18" s="213">
        <f t="shared" si="48"/>
        <v>-3000</v>
      </c>
      <c r="BO18" s="4">
        <f t="shared" ca="1" si="21"/>
        <v>504792.8123662023</v>
      </c>
      <c r="BQ18" s="4">
        <f ca="1">IF(AND(REFUND_FINANCING="Yes",$D18&gt;PREMIUM_CALL_FIRST),0, IF(ISERROR(VLOOKUP($D18,'Senior Lien DS - First'!$A$11:$O$81,COLUMNS('Senior Lien DS - First'!$A$11:$O$11),0)),0,VLOOKUP($D18,'Senior Lien DS - First'!$A$11:$O$81,COLUMNS('Senior Lien DS - First'!$A$11:$O$11),0)))</f>
        <v>340661.11527054396</v>
      </c>
      <c r="BR18" s="4">
        <f>IF(ISERROR(VLOOKUP($D18,'Senior Lien DS - Refunding'!$A$11:$O$81,COLUMNS('Senior Lien DS - Refunding'!$A$11:$O$11),0)),0,VLOOKUP($D18,'Senior Lien DS - Refunding'!$A$11:$O$81,COLUMNS('Senior Lien DS - Refunding'!$A$11:$O$11),0))</f>
        <v>0</v>
      </c>
      <c r="BS18" s="4">
        <f t="shared" ca="1" si="33"/>
        <v>340661.11527054396</v>
      </c>
      <c r="BT18" s="84">
        <f t="shared" ca="1" si="34"/>
        <v>1.3135784973017</v>
      </c>
      <c r="BU18" s="4">
        <f t="shared" ca="1" si="49"/>
        <v>106824.00061565835</v>
      </c>
      <c r="BV18" s="4">
        <f t="shared" si="66"/>
        <v>0</v>
      </c>
      <c r="BW18" s="4">
        <f t="shared" ca="1" si="67"/>
        <v>0</v>
      </c>
      <c r="BX18" s="4">
        <f t="shared" ca="1" si="50"/>
        <v>106824.00061565835</v>
      </c>
      <c r="BY18" s="4">
        <f t="shared" ca="1" si="51"/>
        <v>103571.78971712949</v>
      </c>
      <c r="BZ18" s="4">
        <f t="shared" ca="1" si="52"/>
        <v>0</v>
      </c>
      <c r="CA18" s="4">
        <f t="shared" ca="1" si="35"/>
        <v>0</v>
      </c>
      <c r="CB18" s="14">
        <f ca="1">IF(ISERROR((VLOOKUP($D18,'Senior Lien DS - First'!$A$11:$P$71,COLUMNS('Senior Lien DS - First'!$A$11:$P$11)))/Summary!$AG19),"",(IF(REFUND_FINANCING="Yes",0,VLOOKUP($D18,'Senior Lien DS - First'!$A$11:$P$71,COLUMNS('Senior Lien DS - First'!$A$11:$P$11))))/Summary!$AG19)</f>
        <v>2.9022914115260791E-2</v>
      </c>
      <c r="CC18" s="10">
        <f ca="1">IF(ISERROR((VLOOKUP($C18,'Senior Lien DS - First'!$A$11:$P$71,COLUMNS('Senior Lien DS - First'!$A$11:$P$11)))/Summary!$M19),"",(VLOOKUP($C18,'Senior Lien DS - First'!$A$11:$P$71,COLUMNS('Senior Lien DS - First'!$A$11:$P$11)))/Summary!$M19)</f>
        <v>1.601890824051299E-2</v>
      </c>
      <c r="CD18" s="9">
        <f t="shared" ca="1" si="36"/>
        <v>1.3135784973017</v>
      </c>
      <c r="CE18" s="9">
        <f t="shared" ca="1" si="53"/>
        <v>1.3135784973017</v>
      </c>
      <c r="CG18" s="4"/>
      <c r="CH18" s="4">
        <f ca="1">BY18+BM17</f>
        <v>100571.78971712949</v>
      </c>
      <c r="CI18" s="309">
        <v>0</v>
      </c>
      <c r="CJ18" s="4">
        <f t="shared" ca="1" si="72"/>
        <v>100571.78971712949</v>
      </c>
      <c r="CK18" s="4">
        <f ca="1">IF(ISNA(VLOOKUP(DATE(YEAR($D18),PRIN_MATURITY,PRIN_MATURITY_DAY_SUB),'Sub Lien DS - First (Annual)'!$A$12:$H$96,COLUMNS('Sub Lien DS - First (Annual)'!$A$12:$H$12),0)),0,VLOOKUP(DATE(YEAR($D18),PRIN_MATURITY,PRIN_MATURITY_DAY_SUB),'Sub Lien DS - First (Annual)'!$A$12:$H$96,COLUMNS('Sub Lien DS - First (Annual)'!$A$12:$H$12),0))</f>
        <v>75481.25</v>
      </c>
      <c r="CL18" s="4">
        <f t="shared" ca="1" si="55"/>
        <v>75481.25</v>
      </c>
      <c r="CM18" s="4">
        <f ca="1">IF($C18&gt;(EDATE(DATE(YEAR(DELIVERY),PRIN_MATURITY,PRIN_MATURITY_DAY_SUB),12*FINAL_MAT_SUB_YRS)),0,CK18+(CO17*SUB_INTEREST_RATE)-CL18)</f>
        <v>12763.997314453125</v>
      </c>
      <c r="CN18" s="4">
        <f t="shared" ca="1" si="56"/>
        <v>25090.53971712949</v>
      </c>
      <c r="CO18" s="4">
        <f t="shared" ca="1" si="68"/>
        <v>144768.80915982364</v>
      </c>
      <c r="CP18" s="4"/>
      <c r="CQ18" s="4">
        <f>IF(YEAR(DELIVERY)=YEAR($D18),'Sources and Uses - First'!$D$12,0)</f>
        <v>0</v>
      </c>
      <c r="CR18" s="4">
        <f>IF(ISNA(VLOOKUP(DATE(YEAR($D18),PRIN_MATURITY, PRIN_MATURITY_DAY_SUB),'Sub Lien DS - First (Annual)'!$A$12:$G$41,COLUMNS('Sub Lien DS - First (Annual)'!$A$12:$G$12),0)),0,VLOOKUP(DATE(YEAR($D18),PRIN_MATURITY, PRIN_MATURITY_DAY_SUB),'Sub Lien DS - First (Annual)'!$A$12:$G$41,COLUMNS('Sub Lien DS - First (Annual)'!$A$12:$G$12),0))</f>
        <v>0</v>
      </c>
      <c r="CS18" s="4">
        <f>SUM($CQ$14:CQ18)-SUM($CR$14:CR18)</f>
        <v>0</v>
      </c>
      <c r="CT18" s="4">
        <f>SUM($CQ$14:CQ18)-SUM($CR$14:CR18)</f>
        <v>0</v>
      </c>
      <c r="CU18" s="4">
        <f t="shared" ca="1" si="57"/>
        <v>100571.78971712949</v>
      </c>
      <c r="CV18" s="4">
        <f t="shared" ca="1" si="58"/>
        <v>100571.78971712949</v>
      </c>
      <c r="CW18" s="4">
        <f t="shared" ca="1" si="59"/>
        <v>0</v>
      </c>
      <c r="CX18" s="4">
        <f t="shared" ca="1" si="69"/>
        <v>0</v>
      </c>
      <c r="CY18" s="4">
        <f ca="1">SUM($CW$14:CW18)-SUM($CX$14:CX18)</f>
        <v>0</v>
      </c>
    </row>
    <row r="19" spans="1:103" x14ac:dyDescent="0.25">
      <c r="A19">
        <f t="shared" si="22"/>
        <v>7</v>
      </c>
      <c r="B19" s="3"/>
      <c r="C19" s="75">
        <f t="shared" si="38"/>
        <v>47543</v>
      </c>
      <c r="D19" s="75">
        <f t="shared" si="38"/>
        <v>47908</v>
      </c>
      <c r="E19" s="3">
        <f t="shared" si="39"/>
        <v>0</v>
      </c>
      <c r="F19" s="3">
        <f>VLOOKUP($C19,'Residential Development'!$DW$14:$EL$33,COLUMNS('Residential Development'!$DW$14:$DX$14))+F18+E19</f>
        <v>0</v>
      </c>
      <c r="G19" s="4">
        <f t="shared" si="23"/>
        <v>0</v>
      </c>
      <c r="H19" s="3">
        <f>VLOOKUP($C19,'Residential Development'!$D$14:$Q$33,COLUMNS('Residential Development'!$D$14:$Q$14))</f>
        <v>0</v>
      </c>
      <c r="I19" s="3">
        <f ca="1">VLOOKUP($C19,'Residential Development'!$AW20:$BK$33,COLUMNS('Residential Development'!$AW$13:$BK$33))</f>
        <v>0</v>
      </c>
      <c r="J19" s="4">
        <f t="shared" ca="1" si="24"/>
        <v>0</v>
      </c>
      <c r="K19" s="4">
        <f>VLOOKUP($C19,'Residential Development'!$CD$14:$CQ$33,COLUMNS('Residential Development'!$CD$14:$CQ$14))</f>
        <v>0</v>
      </c>
      <c r="L19" s="3">
        <f t="shared" ca="1" si="60"/>
        <v>3104402.1656722464</v>
      </c>
      <c r="M19" s="3">
        <f ca="1">VLOOKUP($C19,'Residential Development'!$EN$14:$FC$33,COLUMNS('Residential Development'!$EN$14:$FC$14))+M18+L19</f>
        <v>355205230.87894183</v>
      </c>
      <c r="N19" s="3">
        <f t="shared" ca="1" si="41"/>
        <v>195362876.98341802</v>
      </c>
      <c r="O19" s="322"/>
      <c r="P19" s="4">
        <f>VLOOKUP($C19,'Residential Development'!$AH$14:$AI$38,2)</f>
        <v>0</v>
      </c>
      <c r="Q19" s="4">
        <f t="shared" ca="1" si="8"/>
        <v>195362876.98341802</v>
      </c>
      <c r="R19" s="4">
        <f>VLOOKUP($C19,'Comm Development'!$D$14:$O$33,COLUMNS('Comm Development'!$D$14:$O$14))</f>
        <v>0</v>
      </c>
      <c r="S19" s="4">
        <f t="shared" si="25"/>
        <v>0</v>
      </c>
      <c r="T19" s="4">
        <f>VLOOKUP($C19,'Comm Development'!$CG$14:$CR$33,COLUMNS('Comm Development'!$CG$14:$CR$14))+T18+S19</f>
        <v>0</v>
      </c>
      <c r="U19" s="3"/>
      <c r="V19" s="3">
        <f>VLOOKUP($C19,'Comm Development'!$BG$14:$BR$33,COLUMNS('Comm Development'!$BG$14:$BR$14))</f>
        <v>0</v>
      </c>
      <c r="W19" s="4">
        <f t="shared" si="26"/>
        <v>0</v>
      </c>
      <c r="X19" s="4">
        <f>VLOOKUP($C19,'Comm Development'!$CG$14:$CR$33,COLUMNS('Comm Development'!$CG$14:$CR$14))+X18+W19</f>
        <v>0</v>
      </c>
      <c r="Y19" s="3">
        <f t="shared" si="42"/>
        <v>0</v>
      </c>
      <c r="Z19" s="3">
        <f t="shared" si="61"/>
        <v>0</v>
      </c>
      <c r="AA19" s="322">
        <f t="shared" si="43"/>
        <v>0</v>
      </c>
      <c r="AB19" s="296"/>
      <c r="AC19" s="268"/>
      <c r="AD19" s="4">
        <f t="shared" si="44"/>
        <v>0</v>
      </c>
      <c r="AE19" s="4">
        <f t="shared" si="45"/>
        <v>0</v>
      </c>
      <c r="AG19" s="4">
        <f t="shared" ca="1" si="9"/>
        <v>195362876.98341802</v>
      </c>
      <c r="AH19" s="18">
        <f t="shared" si="27"/>
        <v>3</v>
      </c>
      <c r="AI19" s="4">
        <f t="shared" ca="1" si="28"/>
        <v>574366.85833124898</v>
      </c>
      <c r="AJ19" s="4">
        <f t="shared" ca="1" si="11"/>
        <v>0</v>
      </c>
      <c r="AK19" s="3">
        <f t="shared" si="12"/>
        <v>0</v>
      </c>
      <c r="AL19" s="194">
        <f t="shared" si="13"/>
        <v>0</v>
      </c>
      <c r="AM19" s="4">
        <f t="shared" si="62"/>
        <v>0</v>
      </c>
      <c r="AN19" s="4">
        <f t="shared" si="63"/>
        <v>0</v>
      </c>
      <c r="AO19" s="97"/>
      <c r="AP19" s="4">
        <f t="shared" si="64"/>
        <v>0</v>
      </c>
      <c r="AQ19" s="4">
        <f>CAPITAL_IMPROV_FEE*$K19</f>
        <v>0</v>
      </c>
      <c r="AR19" s="364">
        <f t="shared" ca="1" si="14"/>
        <v>574366.85833124898</v>
      </c>
      <c r="AT19" s="213">
        <f t="shared" ca="1" si="46"/>
        <v>0</v>
      </c>
      <c r="AU19" s="213">
        <f t="shared" ca="1" si="65"/>
        <v>-4000</v>
      </c>
      <c r="AV19" s="312">
        <f t="shared" si="70"/>
        <v>-57433.850409600011</v>
      </c>
      <c r="AX19" s="4">
        <f t="shared" ca="1" si="32"/>
        <v>512933.00792164897</v>
      </c>
      <c r="AZ19" s="4">
        <f t="shared" ca="1" si="15"/>
        <v>195362876.98341802</v>
      </c>
      <c r="BA19" s="18">
        <f t="shared" si="47"/>
        <v>3</v>
      </c>
      <c r="BB19" s="4">
        <f t="shared" ca="1" si="16"/>
        <v>574366.85833124898</v>
      </c>
      <c r="BC19" s="4">
        <f t="shared" ca="1" si="17"/>
        <v>0</v>
      </c>
      <c r="BD19" s="3">
        <f t="shared" si="18"/>
        <v>0</v>
      </c>
      <c r="BE19" s="194">
        <f t="shared" si="19"/>
        <v>0</v>
      </c>
      <c r="BF19" s="4">
        <f t="shared" si="4"/>
        <v>0</v>
      </c>
      <c r="BG19" s="4">
        <f t="shared" si="5"/>
        <v>0</v>
      </c>
      <c r="BH19" s="97"/>
      <c r="BI19" s="4">
        <f t="shared" si="6"/>
        <v>0</v>
      </c>
      <c r="BJ19" s="4">
        <f>CAPITAL_IMPROV_FEE*$K19</f>
        <v>0</v>
      </c>
      <c r="BK19" s="96">
        <f t="shared" ca="1" si="71"/>
        <v>574366.85833124898</v>
      </c>
      <c r="BM19" s="213">
        <f t="shared" si="48"/>
        <v>-3000</v>
      </c>
      <c r="BO19" s="4">
        <f t="shared" ca="1" si="21"/>
        <v>571366.85833124898</v>
      </c>
      <c r="BQ19" s="4">
        <f ca="1">IF(AND(REFUND_FINANCING="Yes",$D19&gt;PREMIUM_CALL_FIRST),0, IF(ISERROR(VLOOKUP($D19,'Senior Lien DS - First'!$A$11:$O$81,COLUMNS('Senior Lien DS - First'!$A$11:$O$11),0)),0,VLOOKUP($D19,'Senior Lien DS - First'!$A$11:$O$81,COLUMNS('Senior Lien DS - First'!$A$11:$O$11),0)))</f>
        <v>389486.11527054396</v>
      </c>
      <c r="BR19" s="4">
        <f>IF(ISERROR(VLOOKUP($D19,'Senior Lien DS - Refunding'!$A$11:$O$81,COLUMNS('Senior Lien DS - Refunding'!$A$11:$O$11),0)),0,VLOOKUP($D19,'Senior Lien DS - Refunding'!$A$11:$O$81,COLUMNS('Senior Lien DS - Refunding'!$A$11:$O$11),0))</f>
        <v>0</v>
      </c>
      <c r="BS19" s="4">
        <f t="shared" ca="1" si="33"/>
        <v>389486.11527054396</v>
      </c>
      <c r="BT19" s="84">
        <f t="shared" ca="1" si="34"/>
        <v>1.3169481216688728</v>
      </c>
      <c r="BU19" s="4">
        <f t="shared" ca="1" si="49"/>
        <v>123446.89265110501</v>
      </c>
      <c r="BV19" s="4">
        <f t="shared" si="66"/>
        <v>0</v>
      </c>
      <c r="BW19" s="4">
        <f t="shared" ca="1" si="67"/>
        <v>0</v>
      </c>
      <c r="BX19" s="4">
        <f t="shared" ca="1" si="50"/>
        <v>123446.89265110501</v>
      </c>
      <c r="BY19" s="4">
        <f t="shared" ca="1" si="51"/>
        <v>123446.89265110501</v>
      </c>
      <c r="BZ19" s="4">
        <f t="shared" ca="1" si="52"/>
        <v>0</v>
      </c>
      <c r="CA19" s="4">
        <f t="shared" ca="1" si="35"/>
        <v>0</v>
      </c>
      <c r="CB19" s="14">
        <f ca="1">IF(ISERROR((VLOOKUP($D19,'Senior Lien DS - First'!$A$11:$P$71,COLUMNS('Senior Lien DS - First'!$A$11:$P$11)))/Summary!$AG20),"",(IF(REFUND_FINANCING="Yes",0,VLOOKUP($D19,'Senior Lien DS - First'!$A$11:$P$71,COLUMNS('Senior Lien DS - First'!$A$11:$P$11))))/Summary!$AG20)</f>
        <v>2.8380798548109803E-2</v>
      </c>
      <c r="CC19" s="10">
        <f ca="1">IF(ISERROR((VLOOKUP($C19,'Senior Lien DS - First'!$A$11:$P$71,COLUMNS('Senior Lien DS - First'!$A$11:$P$11)))/Summary!$M20),"",(VLOOKUP($C19,'Senior Lien DS - First'!$A$11:$P$71,COLUMNS('Senior Lien DS - First'!$A$11:$P$11)))/Summary!$M20)</f>
        <v>1.5804557191478649E-2</v>
      </c>
      <c r="CD19" s="9">
        <f t="shared" ca="1" si="36"/>
        <v>1.3169481216688728</v>
      </c>
      <c r="CE19" s="9">
        <f t="shared" ca="1" si="53"/>
        <v>1.3169481216688728</v>
      </c>
      <c r="CG19" s="4"/>
      <c r="CH19" s="4">
        <f t="shared" ref="CH19:CH56" ca="1" si="73">BY19+BM18</f>
        <v>120446.89265110501</v>
      </c>
      <c r="CI19" s="309">
        <v>0</v>
      </c>
      <c r="CJ19" s="4">
        <f ca="1">(CH19+CI19)/DSC_SUB_LIEN_BONDS</f>
        <v>120446.89265110501</v>
      </c>
      <c r="CK19" s="4">
        <f ca="1">IF(ISNA(VLOOKUP(DATE(YEAR($D19),PRIN_MATURITY,PRIN_MATURITY_DAY_SUB),'Sub Lien DS - First (Annual)'!$A$12:$H$96,COLUMNS('Sub Lien DS - First (Annual)'!$A$12:$H$12),0)),0,VLOOKUP(DATE(YEAR($D19),PRIN_MATURITY,PRIN_MATURITY_DAY_SUB),'Sub Lien DS - First (Annual)'!$A$12:$H$96,COLUMNS('Sub Lien DS - First (Annual)'!$A$12:$H$12),0))</f>
        <v>75481.25</v>
      </c>
      <c r="CL19" s="4">
        <f t="shared" ca="1" si="55"/>
        <v>75481.25</v>
      </c>
      <c r="CM19" s="4">
        <f ca="1">IF($C19&gt;(EDATE(DATE(YEAR(DELIVERY),PRIN_MATURITY,PRIN_MATURITY_DAY_SUB),12*FINAL_MAT_SUB_YRS)),0,CK19+(CO18*SUB_INTEREST_RATE)-CL19)</f>
        <v>11762.465744235669</v>
      </c>
      <c r="CN19" s="4">
        <f t="shared" ca="1" si="56"/>
        <v>44965.642651105009</v>
      </c>
      <c r="CO19" s="4">
        <f t="shared" ca="1" si="68"/>
        <v>111565.6322529543</v>
      </c>
      <c r="CP19" s="4"/>
      <c r="CQ19" s="4">
        <f>IF(YEAR(DELIVERY)=YEAR($D19),'Sources and Uses - First'!$D$12,0)</f>
        <v>0</v>
      </c>
      <c r="CR19" s="4">
        <f>IF(ISNA(VLOOKUP(DATE(YEAR($D19),PRIN_MATURITY, PRIN_MATURITY_DAY_SUB),'Sub Lien DS - First (Annual)'!$A$12:$G$41,COLUMNS('Sub Lien DS - First (Annual)'!$A$12:$G$12),0)),0,VLOOKUP(DATE(YEAR($D19),PRIN_MATURITY, PRIN_MATURITY_DAY_SUB),'Sub Lien DS - First (Annual)'!$A$12:$G$41,COLUMNS('Sub Lien DS - First (Annual)'!$A$12:$G$12),0))</f>
        <v>0</v>
      </c>
      <c r="CS19" s="4">
        <f>SUM($CQ$14:CQ19)-SUM($CR$14:CR19)</f>
        <v>0</v>
      </c>
      <c r="CT19" s="4">
        <f>SUM($CQ$14:CQ19)-SUM($CR$14:CR19)</f>
        <v>0</v>
      </c>
      <c r="CU19" s="4">
        <f t="shared" ca="1" si="57"/>
        <v>120446.89265110501</v>
      </c>
      <c r="CV19" s="4">
        <f t="shared" ca="1" si="58"/>
        <v>120446.89265110501</v>
      </c>
      <c r="CW19" s="4">
        <f t="shared" ca="1" si="59"/>
        <v>0</v>
      </c>
      <c r="CX19" s="4">
        <f t="shared" ca="1" si="69"/>
        <v>0</v>
      </c>
      <c r="CY19" s="4">
        <f ca="1">SUM($CW$14:CW19)-SUM($CX$14:CX19)</f>
        <v>0</v>
      </c>
    </row>
    <row r="20" spans="1:103" x14ac:dyDescent="0.25">
      <c r="A20">
        <f t="shared" si="22"/>
        <v>8</v>
      </c>
      <c r="B20" s="3"/>
      <c r="C20" s="75">
        <f t="shared" si="38"/>
        <v>47908</v>
      </c>
      <c r="D20" s="75">
        <f t="shared" si="38"/>
        <v>48274</v>
      </c>
      <c r="E20" s="3">
        <f t="shared" si="39"/>
        <v>0</v>
      </c>
      <c r="F20" s="3">
        <f>VLOOKUP($C20,'Residential Development'!$DW$14:$EL$33,COLUMNS('Residential Development'!$DW$14:$DX$14))+F19+E20</f>
        <v>0</v>
      </c>
      <c r="G20" s="4">
        <f t="shared" si="23"/>
        <v>0</v>
      </c>
      <c r="H20" s="3">
        <f>VLOOKUP($C20,'Residential Development'!$D$14:$Q$33,COLUMNS('Residential Development'!$D$14:$Q$14))</f>
        <v>0</v>
      </c>
      <c r="I20" s="3">
        <f ca="1">VLOOKUP($C20,'Residential Development'!$AW21:$BK$33,COLUMNS('Residential Development'!$AW$13:$BK$33))</f>
        <v>0</v>
      </c>
      <c r="J20" s="4">
        <f t="shared" ca="1" si="24"/>
        <v>0</v>
      </c>
      <c r="K20" s="4">
        <f>VLOOKUP($C20,'Residential Development'!$CD$14:$CQ$33,COLUMNS('Residential Development'!$CD$14:$CQ$14))</f>
        <v>0</v>
      </c>
      <c r="L20" s="3">
        <f t="shared" ca="1" si="60"/>
        <v>3552052.3087894185</v>
      </c>
      <c r="M20" s="3">
        <f ca="1">VLOOKUP($C20,'Residential Development'!$EN$14:$FC$33,COLUMNS('Residential Development'!$EN$14:$FC$14))+M19+L20</f>
        <v>358757283.18773127</v>
      </c>
      <c r="N20" s="3">
        <f t="shared" ca="1" si="41"/>
        <v>197316505.75325221</v>
      </c>
      <c r="O20" s="322"/>
      <c r="P20" s="4">
        <f>VLOOKUP($C20,'Residential Development'!$AH$14:$AI$38,2)</f>
        <v>0</v>
      </c>
      <c r="Q20" s="4">
        <f t="shared" ca="1" si="8"/>
        <v>197316505.75325221</v>
      </c>
      <c r="R20" s="4">
        <f>VLOOKUP($C20,'Comm Development'!$D$14:$O$33,COLUMNS('Comm Development'!$D$14:$O$14))</f>
        <v>0</v>
      </c>
      <c r="S20" s="4">
        <f t="shared" si="25"/>
        <v>0</v>
      </c>
      <c r="T20" s="4">
        <f>VLOOKUP($C20,'Comm Development'!$CG$14:$CR$33,COLUMNS('Comm Development'!$CG$14:$CR$14))+T19+S20</f>
        <v>0</v>
      </c>
      <c r="U20" s="3"/>
      <c r="V20" s="3">
        <f>VLOOKUP($C20,'Comm Development'!$BG$14:$BR$33,COLUMNS('Comm Development'!$BG$14:$BR$14))</f>
        <v>0</v>
      </c>
      <c r="W20" s="4">
        <f t="shared" si="26"/>
        <v>0</v>
      </c>
      <c r="X20" s="4">
        <f>VLOOKUP($C20,'Comm Development'!$CG$14:$CR$33,COLUMNS('Comm Development'!$CG$14:$CR$14))+X19+W20</f>
        <v>0</v>
      </c>
      <c r="Y20" s="3">
        <f t="shared" si="42"/>
        <v>0</v>
      </c>
      <c r="Z20" s="3">
        <f t="shared" si="61"/>
        <v>0</v>
      </c>
      <c r="AA20" s="322">
        <f t="shared" si="43"/>
        <v>0</v>
      </c>
      <c r="AB20" s="296"/>
      <c r="AC20" s="268"/>
      <c r="AD20" s="4">
        <f t="shared" si="44"/>
        <v>0</v>
      </c>
      <c r="AE20" s="4">
        <f t="shared" si="45"/>
        <v>0</v>
      </c>
      <c r="AG20" s="4">
        <f t="shared" ca="1" si="9"/>
        <v>197316505.75325221</v>
      </c>
      <c r="AH20" s="18">
        <f t="shared" si="27"/>
        <v>3</v>
      </c>
      <c r="AI20" s="4">
        <f t="shared" ca="1" si="28"/>
        <v>580110.52691456152</v>
      </c>
      <c r="AJ20" s="4">
        <f t="shared" ca="1" si="11"/>
        <v>0</v>
      </c>
      <c r="AK20" s="3">
        <f t="shared" si="12"/>
        <v>0</v>
      </c>
      <c r="AL20" s="194">
        <f t="shared" si="13"/>
        <v>0</v>
      </c>
      <c r="AM20" s="4">
        <f t="shared" si="62"/>
        <v>0</v>
      </c>
      <c r="AN20" s="4">
        <f t="shared" si="63"/>
        <v>0</v>
      </c>
      <c r="AO20" s="97"/>
      <c r="AP20" s="4">
        <f t="shared" si="64"/>
        <v>0</v>
      </c>
      <c r="AQ20" s="4">
        <f t="shared" si="3"/>
        <v>0</v>
      </c>
      <c r="AR20" s="364">
        <f t="shared" ca="1" si="14"/>
        <v>580110.52691456152</v>
      </c>
      <c r="AT20" s="213">
        <f t="shared" ca="1" si="46"/>
        <v>0</v>
      </c>
      <c r="AU20" s="213">
        <f t="shared" ca="1" si="65"/>
        <v>-4000</v>
      </c>
      <c r="AV20" s="312">
        <f t="shared" si="70"/>
        <v>-58582.527417792015</v>
      </c>
      <c r="AX20" s="4">
        <f t="shared" ca="1" si="32"/>
        <v>517527.99949676951</v>
      </c>
      <c r="AZ20" s="4">
        <f t="shared" ca="1" si="15"/>
        <v>197316505.75325221</v>
      </c>
      <c r="BA20" s="18">
        <f t="shared" si="47"/>
        <v>3</v>
      </c>
      <c r="BB20" s="4">
        <f t="shared" ca="1" si="16"/>
        <v>580110.52691456152</v>
      </c>
      <c r="BC20" s="4">
        <f t="shared" ca="1" si="17"/>
        <v>0</v>
      </c>
      <c r="BD20" s="3">
        <f t="shared" si="18"/>
        <v>0</v>
      </c>
      <c r="BE20" s="194">
        <f t="shared" si="19"/>
        <v>0</v>
      </c>
      <c r="BF20" s="4">
        <f t="shared" si="4"/>
        <v>0</v>
      </c>
      <c r="BG20" s="4">
        <f t="shared" si="5"/>
        <v>0</v>
      </c>
      <c r="BH20" s="97"/>
      <c r="BI20" s="4">
        <f t="shared" si="6"/>
        <v>0</v>
      </c>
      <c r="BJ20" s="4">
        <f t="shared" si="7"/>
        <v>0</v>
      </c>
      <c r="BK20" s="96">
        <f t="shared" ca="1" si="71"/>
        <v>580110.52691456152</v>
      </c>
      <c r="BM20" s="213">
        <f t="shared" si="48"/>
        <v>-3000</v>
      </c>
      <c r="BO20" s="4">
        <f t="shared" ca="1" si="21"/>
        <v>577110.52691456152</v>
      </c>
      <c r="BQ20" s="4">
        <f ca="1">IF(AND(REFUND_FINANCING="Yes",$D20&gt;PREMIUM_CALL_FIRST),0, IF(ISERROR(VLOOKUP($D20,'Senior Lien DS - First'!$A$11:$O$81,COLUMNS('Senior Lien DS - First'!$A$11:$O$11),0)),0,VLOOKUP($D20,'Senior Lien DS - First'!$A$11:$O$81,COLUMNS('Senior Lien DS - First'!$A$11:$O$11),0)))</f>
        <v>390373.61527054396</v>
      </c>
      <c r="BR20" s="4">
        <f>IF(ISERROR(VLOOKUP($D20,'Senior Lien DS - Refunding'!$A$11:$O$81,COLUMNS('Senior Lien DS - Refunding'!$A$11:$O$11),0)),0,VLOOKUP($D20,'Senior Lien DS - Refunding'!$A$11:$O$81,COLUMNS('Senior Lien DS - Refunding'!$A$11:$O$11),0))</f>
        <v>0</v>
      </c>
      <c r="BS20" s="4">
        <f t="shared" ca="1" si="33"/>
        <v>390373.61527054396</v>
      </c>
      <c r="BT20" s="84">
        <f t="shared" ca="1" si="34"/>
        <v>1.3257248421825401</v>
      </c>
      <c r="BU20" s="4">
        <f t="shared" ca="1" si="49"/>
        <v>127154.38422622555</v>
      </c>
      <c r="BV20" s="4">
        <f t="shared" si="66"/>
        <v>0</v>
      </c>
      <c r="BW20" s="4">
        <f t="shared" ca="1" si="67"/>
        <v>0</v>
      </c>
      <c r="BX20" s="4">
        <f t="shared" ca="1" si="50"/>
        <v>127154.38422622555</v>
      </c>
      <c r="BY20" s="4">
        <f t="shared" ca="1" si="51"/>
        <v>127154.38422622555</v>
      </c>
      <c r="BZ20" s="4">
        <f t="shared" ca="1" si="52"/>
        <v>0</v>
      </c>
      <c r="CA20" s="4">
        <f t="shared" ca="1" si="35"/>
        <v>0</v>
      </c>
      <c r="CB20" s="14">
        <f ca="1">IF(ISERROR((VLOOKUP($D20,'Senior Lien DS - First'!$A$11:$P$71,COLUMNS('Senior Lien DS - First'!$A$11:$P$11)))/Summary!$AG21),"",(IF(REFUND_FINANCING="Yes",0,VLOOKUP($D20,'Senior Lien DS - First'!$A$11:$P$71,COLUMNS('Senior Lien DS - First'!$A$11:$P$11))))/Summary!$AG21)</f>
        <v>2.7723463928272043E-2</v>
      </c>
      <c r="CC20" s="10">
        <f ca="1">IF(ISERROR((VLOOKUP($C20,'Senior Lien DS - First'!$A$11:$P$71,COLUMNS('Senior Lien DS - First'!$A$11:$P$11)))/Summary!$M21),"",(VLOOKUP($C20,'Senior Lien DS - First'!$A$11:$P$71,COLUMNS('Senior Lien DS - First'!$A$11:$P$11)))/Summary!$M21)</f>
        <v>1.5454890298475637E-2</v>
      </c>
      <c r="CD20" s="9">
        <f t="shared" ca="1" si="36"/>
        <v>1.3257248421825401</v>
      </c>
      <c r="CE20" s="9">
        <f t="shared" ca="1" si="53"/>
        <v>1.3257248421825401</v>
      </c>
      <c r="CG20" s="4"/>
      <c r="CH20" s="4">
        <f t="shared" ca="1" si="73"/>
        <v>124154.38422622555</v>
      </c>
      <c r="CI20" s="309">
        <v>0</v>
      </c>
      <c r="CJ20" s="4">
        <f t="shared" ca="1" si="72"/>
        <v>124154.38422622555</v>
      </c>
      <c r="CK20" s="4">
        <f ca="1">IF(ISNA(VLOOKUP(DATE(YEAR($D20),PRIN_MATURITY,PRIN_MATURITY_DAY_SUB),'Sub Lien DS - First (Annual)'!$A$12:$H$96,COLUMNS('Sub Lien DS - First (Annual)'!$A$12:$H$12),0)),0,VLOOKUP(DATE(YEAR($D20),PRIN_MATURITY,PRIN_MATURITY_DAY_SUB),'Sub Lien DS - First (Annual)'!$A$12:$H$96,COLUMNS('Sub Lien DS - First (Annual)'!$A$12:$H$12),0))</f>
        <v>75481.25</v>
      </c>
      <c r="CL20" s="4">
        <f t="shared" ca="1" si="55"/>
        <v>75481.25</v>
      </c>
      <c r="CM20" s="4">
        <f t="shared" ca="1" si="37"/>
        <v>9064.7076205525373</v>
      </c>
      <c r="CN20" s="4">
        <f t="shared" ca="1" si="56"/>
        <v>48673.134226225549</v>
      </c>
      <c r="CO20" s="4">
        <f t="shared" ca="1" si="68"/>
        <v>71957.205647281284</v>
      </c>
      <c r="CP20" s="4"/>
      <c r="CQ20" s="4">
        <f>IF(YEAR(DELIVERY)=YEAR($D20),'Sources and Uses - First'!$D$12,0)</f>
        <v>0</v>
      </c>
      <c r="CR20" s="4">
        <f>IF(ISNA(VLOOKUP(DATE(YEAR($D20),PRIN_MATURITY, PRIN_MATURITY_DAY_SUB),'Sub Lien DS - First (Annual)'!$A$12:$G$41,COLUMNS('Sub Lien DS - First (Annual)'!$A$12:$G$12),0)),0,VLOOKUP(DATE(YEAR($D20),PRIN_MATURITY, PRIN_MATURITY_DAY_SUB),'Sub Lien DS - First (Annual)'!$A$12:$G$41,COLUMNS('Sub Lien DS - First (Annual)'!$A$12:$G$12),0))</f>
        <v>0</v>
      </c>
      <c r="CS20" s="4">
        <f>SUM($CQ$14:CQ20)-SUM($CR$14:CR20)</f>
        <v>0</v>
      </c>
      <c r="CT20" s="4">
        <f>SUM($CQ$14:CQ20)-SUM($CR$14:CR20)</f>
        <v>0</v>
      </c>
      <c r="CU20" s="4">
        <f ca="1">CL20+CN20+CR20</f>
        <v>124154.38422622555</v>
      </c>
      <c r="CV20" s="4">
        <f t="shared" ca="1" si="58"/>
        <v>124154.38422622555</v>
      </c>
      <c r="CW20" s="4">
        <f t="shared" ca="1" si="59"/>
        <v>0</v>
      </c>
      <c r="CX20" s="4">
        <f t="shared" ca="1" si="69"/>
        <v>0</v>
      </c>
      <c r="CY20" s="4">
        <f ca="1">SUM($CW$14:CW20)-SUM($CX$14:CX20)</f>
        <v>0</v>
      </c>
    </row>
    <row r="21" spans="1:103" x14ac:dyDescent="0.25">
      <c r="A21">
        <f t="shared" si="22"/>
        <v>9</v>
      </c>
      <c r="B21" s="3"/>
      <c r="C21" s="75">
        <f t="shared" si="38"/>
        <v>48274</v>
      </c>
      <c r="D21" s="75">
        <f t="shared" si="38"/>
        <v>48639</v>
      </c>
      <c r="E21" s="3">
        <f t="shared" si="39"/>
        <v>0</v>
      </c>
      <c r="F21" s="3">
        <f>VLOOKUP($C21,'Residential Development'!$DW$14:$EL$33,COLUMNS('Residential Development'!$DW$14:$DX$14))+F20+E21</f>
        <v>0</v>
      </c>
      <c r="G21" s="4">
        <f t="shared" si="23"/>
        <v>0</v>
      </c>
      <c r="H21" s="3">
        <f>VLOOKUP($C21,'Residential Development'!$D$14:$Q$33,COLUMNS('Residential Development'!$D$14:$Q$14))</f>
        <v>0</v>
      </c>
      <c r="I21" s="3">
        <f ca="1">VLOOKUP($C21,'Residential Development'!$AW22:$BK$33,COLUMNS('Residential Development'!$AW$13:$BK$33))</f>
        <v>0</v>
      </c>
      <c r="J21" s="4">
        <f t="shared" ca="1" si="24"/>
        <v>0</v>
      </c>
      <c r="K21" s="4">
        <f>VLOOKUP($C21,'Residential Development'!$CD$14:$CQ$33,COLUMNS('Residential Development'!$CD$14:$CQ$14))</f>
        <v>0</v>
      </c>
      <c r="L21" s="3">
        <f t="shared" ca="1" si="60"/>
        <v>3587572.8318773126</v>
      </c>
      <c r="M21" s="3">
        <f ca="1">VLOOKUP($C21,'Residential Development'!$EN$14:$FC$33,COLUMNS('Residential Development'!$EN$14:$FC$14))+M20+L21</f>
        <v>362344856.01960856</v>
      </c>
      <c r="N21" s="3">
        <f t="shared" ca="1" si="41"/>
        <v>199289670.81078473</v>
      </c>
      <c r="O21" s="322"/>
      <c r="P21" s="4">
        <f>VLOOKUP($C21,'Residential Development'!$AH$14:$AI$38,2)</f>
        <v>0</v>
      </c>
      <c r="Q21" s="4">
        <f t="shared" ca="1" si="8"/>
        <v>199289670.81078473</v>
      </c>
      <c r="R21" s="4">
        <f>VLOOKUP($C21,'Comm Development'!$D$14:$O$33,COLUMNS('Comm Development'!$D$14:$O$14))</f>
        <v>0</v>
      </c>
      <c r="S21" s="4">
        <f t="shared" si="25"/>
        <v>0</v>
      </c>
      <c r="T21" s="4">
        <f>VLOOKUP($C21,'Comm Development'!$CG$14:$CR$33,COLUMNS('Comm Development'!$CG$14:$CR$14))+T20+S21</f>
        <v>0</v>
      </c>
      <c r="U21" s="3"/>
      <c r="V21" s="3">
        <f>VLOOKUP($C21,'Comm Development'!$BG$14:$BR$33,COLUMNS('Comm Development'!$BG$14:$BR$14))</f>
        <v>0</v>
      </c>
      <c r="W21" s="4">
        <f t="shared" si="26"/>
        <v>0</v>
      </c>
      <c r="X21" s="4">
        <f>VLOOKUP($C21,'Comm Development'!$CG$14:$CR$33,COLUMNS('Comm Development'!$CG$14:$CR$14))+X20+W21</f>
        <v>0</v>
      </c>
      <c r="Y21" s="3">
        <f t="shared" si="42"/>
        <v>0</v>
      </c>
      <c r="Z21" s="3">
        <f t="shared" si="61"/>
        <v>0</v>
      </c>
      <c r="AA21" s="322">
        <f t="shared" si="43"/>
        <v>0</v>
      </c>
      <c r="AB21" s="296"/>
      <c r="AC21" s="268"/>
      <c r="AD21" s="4">
        <f t="shared" si="44"/>
        <v>0</v>
      </c>
      <c r="AE21" s="4">
        <f t="shared" si="45"/>
        <v>0</v>
      </c>
      <c r="AG21" s="4">
        <f t="shared" ca="1" si="9"/>
        <v>199289670.81078473</v>
      </c>
      <c r="AH21" s="18">
        <f t="shared" si="27"/>
        <v>3</v>
      </c>
      <c r="AI21" s="4">
        <f t="shared" ca="1" si="28"/>
        <v>585911.6321837072</v>
      </c>
      <c r="AJ21" s="4">
        <f t="shared" ca="1" si="11"/>
        <v>0</v>
      </c>
      <c r="AK21" s="3">
        <f t="shared" si="12"/>
        <v>0</v>
      </c>
      <c r="AL21" s="194">
        <f t="shared" si="13"/>
        <v>0</v>
      </c>
      <c r="AM21" s="4">
        <f t="shared" si="62"/>
        <v>0</v>
      </c>
      <c r="AN21" s="4">
        <f t="shared" si="63"/>
        <v>0</v>
      </c>
      <c r="AO21" s="97"/>
      <c r="AP21" s="4">
        <f t="shared" si="64"/>
        <v>0</v>
      </c>
      <c r="AQ21" s="4">
        <f t="shared" si="3"/>
        <v>0</v>
      </c>
      <c r="AR21" s="364">
        <f t="shared" ca="1" si="14"/>
        <v>585911.6321837072</v>
      </c>
      <c r="AT21" s="213">
        <f t="shared" ca="1" si="46"/>
        <v>0</v>
      </c>
      <c r="AU21" s="213">
        <f t="shared" ca="1" si="65"/>
        <v>-4000</v>
      </c>
      <c r="AV21" s="312">
        <f t="shared" si="70"/>
        <v>-59754.177966147858</v>
      </c>
      <c r="AX21" s="4">
        <f t="shared" ca="1" si="32"/>
        <v>522157.45421755937</v>
      </c>
      <c r="AZ21" s="4">
        <f t="shared" ca="1" si="15"/>
        <v>199289670.81078473</v>
      </c>
      <c r="BA21" s="18">
        <f t="shared" si="47"/>
        <v>3</v>
      </c>
      <c r="BB21" s="4">
        <f t="shared" ca="1" si="16"/>
        <v>585911.6321837072</v>
      </c>
      <c r="BC21" s="4">
        <f t="shared" ca="1" si="17"/>
        <v>0</v>
      </c>
      <c r="BD21" s="3">
        <f t="shared" si="18"/>
        <v>0</v>
      </c>
      <c r="BE21" s="194">
        <f t="shared" si="19"/>
        <v>0</v>
      </c>
      <c r="BF21" s="4">
        <f t="shared" si="4"/>
        <v>0</v>
      </c>
      <c r="BG21" s="4">
        <f t="shared" si="5"/>
        <v>0</v>
      </c>
      <c r="BH21" s="97"/>
      <c r="BI21" s="4">
        <f t="shared" si="6"/>
        <v>0</v>
      </c>
      <c r="BJ21" s="4">
        <f t="shared" si="7"/>
        <v>0</v>
      </c>
      <c r="BK21" s="96">
        <f t="shared" ca="1" si="71"/>
        <v>585911.6321837072</v>
      </c>
      <c r="BM21" s="213">
        <f t="shared" si="48"/>
        <v>-3000</v>
      </c>
      <c r="BO21" s="4">
        <f t="shared" ca="1" si="21"/>
        <v>582911.6321837072</v>
      </c>
      <c r="BQ21" s="4">
        <f ca="1">IF(AND(REFUND_FINANCING="Yes",$D21&gt;PREMIUM_CALL_FIRST),0, IF(ISERROR(VLOOKUP($D21,'Senior Lien DS - First'!$A$11:$O$81,COLUMNS('Senior Lien DS - First'!$A$11:$O$11),0)),0,VLOOKUP($D21,'Senior Lien DS - First'!$A$11:$O$81,COLUMNS('Senior Lien DS - First'!$A$11:$O$11),0)))</f>
        <v>395967.36527054396</v>
      </c>
      <c r="BR21" s="4">
        <f>IF(ISERROR(VLOOKUP($D21,'Senior Lien DS - Refunding'!$A$11:$O$81,COLUMNS('Senior Lien DS - Refunding'!$A$11:$O$11),0)),0,VLOOKUP($D21,'Senior Lien DS - Refunding'!$A$11:$O$81,COLUMNS('Senior Lien DS - Refunding'!$A$11:$O$11),0))</f>
        <v>0</v>
      </c>
      <c r="BS21" s="4">
        <f t="shared" ca="1" si="33"/>
        <v>395967.36527054396</v>
      </c>
      <c r="BT21" s="84">
        <f t="shared" ca="1" si="34"/>
        <v>1.3186881041592815</v>
      </c>
      <c r="BU21" s="4">
        <f t="shared" ca="1" si="49"/>
        <v>126190.08894701541</v>
      </c>
      <c r="BV21" s="4">
        <f t="shared" si="66"/>
        <v>0</v>
      </c>
      <c r="BW21" s="4">
        <f t="shared" ca="1" si="67"/>
        <v>0</v>
      </c>
      <c r="BX21" s="4">
        <f t="shared" ca="1" si="50"/>
        <v>126190.08894701541</v>
      </c>
      <c r="BY21" s="4">
        <f t="shared" ca="1" si="51"/>
        <v>126190.08894701541</v>
      </c>
      <c r="BZ21" s="4">
        <f t="shared" ca="1" si="52"/>
        <v>0</v>
      </c>
      <c r="CA21" s="4">
        <f t="shared" ca="1" si="35"/>
        <v>0</v>
      </c>
      <c r="CB21" s="14">
        <f ca="1">IF(ISERROR((VLOOKUP($D21,'Senior Lien DS - First'!$A$11:$P$71,COLUMNS('Senior Lien DS - First'!$A$11:$P$11)))/Summary!$AG22),"",(IF(REFUND_FINANCING="Yes",0,VLOOKUP($D21,'Senior Lien DS - First'!$A$11:$P$71,COLUMNS('Senior Lien DS - First'!$A$11:$P$11))))/Summary!$AG22)</f>
        <v>2.7026682275847837E-2</v>
      </c>
      <c r="CC21" s="10">
        <f ca="1">IF(ISERROR((VLOOKUP($C21,'Senior Lien DS - First'!$A$11:$P$71,COLUMNS('Senior Lien DS - First'!$A$11:$P$11)))/Summary!$M22),"",(VLOOKUP($C21,'Senior Lien DS - First'!$A$11:$P$71,COLUMNS('Senior Lien DS - First'!$A$11:$P$11)))/Summary!$M22)</f>
        <v>1.5096935802524381E-2</v>
      </c>
      <c r="CD21" s="9">
        <f t="shared" ca="1" si="36"/>
        <v>1.3186881041592815</v>
      </c>
      <c r="CE21" s="9">
        <f t="shared" ca="1" si="53"/>
        <v>1.3186881041592815</v>
      </c>
      <c r="CG21" s="4"/>
      <c r="CH21" s="4">
        <f t="shared" ca="1" si="73"/>
        <v>123190.08894701541</v>
      </c>
      <c r="CI21" s="309">
        <v>0</v>
      </c>
      <c r="CJ21" s="4">
        <f t="shared" ca="1" si="72"/>
        <v>123190.08894701541</v>
      </c>
      <c r="CK21" s="4">
        <f ca="1">IF(ISNA(VLOOKUP(DATE(YEAR($D21),PRIN_MATURITY,PRIN_MATURITY_DAY_SUB),'Sub Lien DS - First (Annual)'!$A$12:$H$96,COLUMNS('Sub Lien DS - First (Annual)'!$A$12:$H$12),0)),0,VLOOKUP(DATE(YEAR($D21),PRIN_MATURITY,PRIN_MATURITY_DAY_SUB),'Sub Lien DS - First (Annual)'!$A$12:$H$96,COLUMNS('Sub Lien DS - First (Annual)'!$A$12:$H$12),0))</f>
        <v>75481.25</v>
      </c>
      <c r="CL21" s="4">
        <f t="shared" ca="1" si="55"/>
        <v>75481.25</v>
      </c>
      <c r="CM21" s="4">
        <f ca="1">IF($C21&gt;(EDATE(DATE(YEAR(DELIVERY),PRIN_MATURITY,PRIN_MATURITY_DAY_SUB),12*FINAL_MAT_SUB_YRS)),0,CK21+(CO20*SUB_INTEREST_RATE)-CL21)</f>
        <v>5846.5229588416114</v>
      </c>
      <c r="CN21" s="4">
        <f t="shared" ca="1" si="56"/>
        <v>47708.838947015407</v>
      </c>
      <c r="CO21" s="4">
        <f t="shared" ca="1" si="68"/>
        <v>30094.889659107488</v>
      </c>
      <c r="CP21" s="4"/>
      <c r="CQ21" s="4">
        <f>IF(YEAR(DELIVERY)=YEAR($D21),'Sources and Uses - First'!$D$12,0)</f>
        <v>0</v>
      </c>
      <c r="CR21" s="4">
        <f>IF(ISNA(VLOOKUP(DATE(YEAR($D21),PRIN_MATURITY, PRIN_MATURITY_DAY_SUB),'Sub Lien DS - First (Annual)'!$A$12:$G$41,COLUMNS('Sub Lien DS - First (Annual)'!$A$12:$G$12),0)),0,VLOOKUP(DATE(YEAR($D21),PRIN_MATURITY, PRIN_MATURITY_DAY_SUB),'Sub Lien DS - First (Annual)'!$A$12:$G$41,COLUMNS('Sub Lien DS - First (Annual)'!$A$12:$G$12),0))</f>
        <v>0</v>
      </c>
      <c r="CS21" s="4">
        <f>SUM($CQ$14:CQ21)-SUM($CR$14:CR21)</f>
        <v>0</v>
      </c>
      <c r="CT21" s="4">
        <f>SUM($CQ$14:CQ21)-SUM($CR$14:CR21)</f>
        <v>0</v>
      </c>
      <c r="CU21" s="4">
        <f t="shared" ca="1" si="57"/>
        <v>123190.08894701541</v>
      </c>
      <c r="CV21" s="4">
        <f t="shared" ca="1" si="58"/>
        <v>123190.08894701541</v>
      </c>
      <c r="CW21" s="4">
        <f t="shared" ca="1" si="59"/>
        <v>0</v>
      </c>
      <c r="CX21" s="4">
        <f t="shared" ca="1" si="69"/>
        <v>0</v>
      </c>
      <c r="CY21" s="4">
        <f ca="1">SUM($CW$14:CW21)-SUM($CX$14:CX21)</f>
        <v>0</v>
      </c>
    </row>
    <row r="22" spans="1:103" x14ac:dyDescent="0.25">
      <c r="A22">
        <f t="shared" si="22"/>
        <v>10</v>
      </c>
      <c r="B22" s="3"/>
      <c r="C22" s="75">
        <f t="shared" si="38"/>
        <v>48639</v>
      </c>
      <c r="D22" s="75">
        <f t="shared" si="38"/>
        <v>49004</v>
      </c>
      <c r="E22" s="3">
        <f t="shared" si="39"/>
        <v>0</v>
      </c>
      <c r="F22" s="3">
        <f>VLOOKUP($C22,'Residential Development'!$DW$14:$EL$33,COLUMNS('Residential Development'!$DW$14:$DX$14))+F21+E22</f>
        <v>0</v>
      </c>
      <c r="G22" s="4">
        <f t="shared" si="23"/>
        <v>0</v>
      </c>
      <c r="H22" s="3">
        <f>VLOOKUP($C22,'Residential Development'!$D$14:$Q$33,COLUMNS('Residential Development'!$D$14:$Q$14))</f>
        <v>0</v>
      </c>
      <c r="I22" s="3">
        <f ca="1">VLOOKUP($C22,'Residential Development'!$AW23:$BK$33,COLUMNS('Residential Development'!$AW$13:$BK$33))</f>
        <v>0</v>
      </c>
      <c r="J22" s="4">
        <f t="shared" ca="1" si="24"/>
        <v>0</v>
      </c>
      <c r="K22" s="4">
        <f>VLOOKUP($C22,'Residential Development'!$CD$14:$CQ$33,COLUMNS('Residential Development'!$CD$14:$CQ$14))</f>
        <v>0</v>
      </c>
      <c r="L22" s="3">
        <f t="shared" ca="1" si="60"/>
        <v>3623448.5601960858</v>
      </c>
      <c r="M22" s="3">
        <f ca="1">VLOOKUP($C22,'Residential Development'!$EN$14:$FC$33,COLUMNS('Residential Development'!$EN$14:$FC$14))+M21+L22</f>
        <v>365968304.57980466</v>
      </c>
      <c r="N22" s="3">
        <f t="shared" ca="1" si="41"/>
        <v>201282567.51889259</v>
      </c>
      <c r="O22" s="322"/>
      <c r="P22" s="4">
        <f>VLOOKUP($C22,'Residential Development'!$AH$14:$AI$38,2)</f>
        <v>0</v>
      </c>
      <c r="Q22" s="4">
        <f t="shared" ca="1" si="8"/>
        <v>201282567.51889259</v>
      </c>
      <c r="R22" s="4">
        <f>VLOOKUP($C22,'Comm Development'!$D$14:$O$33,COLUMNS('Comm Development'!$D$14:$O$14))</f>
        <v>0</v>
      </c>
      <c r="S22" s="4">
        <f t="shared" si="25"/>
        <v>0</v>
      </c>
      <c r="T22" s="4">
        <f>VLOOKUP($C22,'Comm Development'!$CG$14:$CR$33,COLUMNS('Comm Development'!$CG$14:$CR$14))+T21+S22</f>
        <v>0</v>
      </c>
      <c r="U22" s="3"/>
      <c r="V22" s="3">
        <f>VLOOKUP($C22,'Comm Development'!$BG$14:$BR$33,COLUMNS('Comm Development'!$BG$14:$BR$14))</f>
        <v>0</v>
      </c>
      <c r="W22" s="4">
        <f t="shared" si="26"/>
        <v>0</v>
      </c>
      <c r="X22" s="4">
        <f>VLOOKUP($C22,'Comm Development'!$CG$14:$CR$33,COLUMNS('Comm Development'!$CG$14:$CR$14))+X21+W22</f>
        <v>0</v>
      </c>
      <c r="Y22" s="3">
        <f t="shared" si="42"/>
        <v>0</v>
      </c>
      <c r="Z22" s="3">
        <f t="shared" si="61"/>
        <v>0</v>
      </c>
      <c r="AA22" s="322">
        <f t="shared" si="43"/>
        <v>0</v>
      </c>
      <c r="AB22" s="296"/>
      <c r="AC22" s="268"/>
      <c r="AD22" s="4">
        <f t="shared" si="44"/>
        <v>0</v>
      </c>
      <c r="AE22" s="4">
        <f t="shared" si="45"/>
        <v>0</v>
      </c>
      <c r="AF22" s="6"/>
      <c r="AG22" s="4">
        <f t="shared" ca="1" si="9"/>
        <v>201282567.51889259</v>
      </c>
      <c r="AH22" s="18">
        <f t="shared" si="27"/>
        <v>3</v>
      </c>
      <c r="AI22" s="4">
        <f t="shared" ca="1" si="28"/>
        <v>591770.74850554415</v>
      </c>
      <c r="AJ22" s="4">
        <f t="shared" ca="1" si="11"/>
        <v>0</v>
      </c>
      <c r="AK22" s="3">
        <f t="shared" si="12"/>
        <v>0</v>
      </c>
      <c r="AL22" s="194">
        <f t="shared" si="13"/>
        <v>0</v>
      </c>
      <c r="AM22" s="4">
        <f t="shared" si="62"/>
        <v>0</v>
      </c>
      <c r="AN22" s="4">
        <f t="shared" si="63"/>
        <v>0</v>
      </c>
      <c r="AO22" s="97"/>
      <c r="AP22" s="4">
        <f t="shared" si="64"/>
        <v>0</v>
      </c>
      <c r="AQ22" s="4">
        <f t="shared" si="3"/>
        <v>0</v>
      </c>
      <c r="AR22" s="364">
        <f t="shared" ca="1" si="14"/>
        <v>591770.74850554415</v>
      </c>
      <c r="AS22" s="6"/>
      <c r="AT22" s="213">
        <f t="shared" ca="1" si="46"/>
        <v>0</v>
      </c>
      <c r="AU22" s="213">
        <f t="shared" ca="1" si="65"/>
        <v>-4000</v>
      </c>
      <c r="AV22" s="312">
        <f t="shared" si="70"/>
        <v>-60949.261525470814</v>
      </c>
      <c r="AW22" s="6"/>
      <c r="AX22" s="4">
        <f t="shared" ca="1" si="32"/>
        <v>526821.48698007339</v>
      </c>
      <c r="AY22" s="6"/>
      <c r="AZ22" s="4">
        <f t="shared" ca="1" si="15"/>
        <v>201282567.51889259</v>
      </c>
      <c r="BA22" s="18">
        <f t="shared" si="47"/>
        <v>3</v>
      </c>
      <c r="BB22" s="4">
        <f t="shared" ca="1" si="16"/>
        <v>591770.74850554415</v>
      </c>
      <c r="BC22" s="4">
        <f t="shared" ca="1" si="17"/>
        <v>0</v>
      </c>
      <c r="BD22" s="3">
        <f t="shared" si="18"/>
        <v>0</v>
      </c>
      <c r="BE22" s="194">
        <f t="shared" si="19"/>
        <v>0</v>
      </c>
      <c r="BF22" s="4">
        <f t="shared" si="4"/>
        <v>0</v>
      </c>
      <c r="BG22" s="4">
        <f t="shared" si="5"/>
        <v>0</v>
      </c>
      <c r="BH22" s="97"/>
      <c r="BI22" s="4">
        <f t="shared" si="6"/>
        <v>0</v>
      </c>
      <c r="BJ22" s="4">
        <f t="shared" si="7"/>
        <v>0</v>
      </c>
      <c r="BK22" s="96">
        <f t="shared" ca="1" si="71"/>
        <v>591770.74850554415</v>
      </c>
      <c r="BL22" s="6"/>
      <c r="BM22" s="213">
        <f t="shared" si="48"/>
        <v>-3000</v>
      </c>
      <c r="BN22" s="6"/>
      <c r="BO22" s="4">
        <f t="shared" ca="1" si="21"/>
        <v>588770.74850554415</v>
      </c>
      <c r="BP22" s="6"/>
      <c r="BQ22" s="4">
        <f ca="1">IF(AND(REFUND_FINANCING="Yes",$D22&gt;PREMIUM_CALL_FIRST),0, IF(ISERROR(VLOOKUP($D22,'Senior Lien DS - First'!$A$11:$O$81,COLUMNS('Senior Lien DS - First'!$A$11:$O$11),0)),0,VLOOKUP($D22,'Senior Lien DS - First'!$A$11:$O$81,COLUMNS('Senior Lien DS - First'!$A$11:$O$11),0)))</f>
        <v>400973.61527054396</v>
      </c>
      <c r="BR22" s="4">
        <f>IF(ISERROR(VLOOKUP($D22,'Senior Lien DS - Refunding'!$A$11:$O$81,COLUMNS('Senior Lien DS - Refunding'!$A$11:$O$11),0)),0,VLOOKUP($D22,'Senior Lien DS - Refunding'!$A$11:$O$81,COLUMNS('Senior Lien DS - Refunding'!$A$11:$O$11),0))</f>
        <v>0</v>
      </c>
      <c r="BS22" s="4">
        <f t="shared" ca="1" si="33"/>
        <v>400973.61527054396</v>
      </c>
      <c r="BT22" s="84">
        <f t="shared" ca="1" si="34"/>
        <v>1.313855742414916</v>
      </c>
      <c r="BU22" s="4">
        <f t="shared" ca="1" si="49"/>
        <v>125847.87170952943</v>
      </c>
      <c r="BV22" s="4">
        <f t="shared" si="66"/>
        <v>0</v>
      </c>
      <c r="BW22" s="4">
        <f t="shared" ca="1" si="67"/>
        <v>0</v>
      </c>
      <c r="BX22" s="4">
        <f t="shared" ca="1" si="50"/>
        <v>125847.87170952943</v>
      </c>
      <c r="BY22" s="4">
        <f t="shared" ca="1" si="51"/>
        <v>125847.87170952943</v>
      </c>
      <c r="BZ22" s="4">
        <f t="shared" ca="1" si="52"/>
        <v>0</v>
      </c>
      <c r="CA22" s="4">
        <f t="shared" ca="1" si="35"/>
        <v>0</v>
      </c>
      <c r="CB22" s="14">
        <f ca="1">IF(ISERROR((VLOOKUP($D22,'Senior Lien DS - First'!$A$11:$P$71,COLUMNS('Senior Lien DS - First'!$A$11:$P$11)))/Summary!$AG23),"",(IF(REFUND_FINANCING="Yes",0,VLOOKUP($D22,'Senior Lien DS - First'!$A$11:$P$71,COLUMNS('Senior Lien DS - First'!$A$11:$P$11))))/Summary!$AG23)</f>
        <v>2.6291791053510247E-2</v>
      </c>
      <c r="CC22" s="10">
        <f ca="1">IF(ISERROR((VLOOKUP($C22,'Senior Lien DS - First'!$A$11:$P$71,COLUMNS('Senior Lien DS - First'!$A$11:$P$11)))/Summary!$M23),"",(VLOOKUP($C22,'Senior Lien DS - First'!$A$11:$P$71,COLUMNS('Senior Lien DS - First'!$A$11:$P$11)))/Summary!$M23)</f>
        <v>1.4717500249224072E-2</v>
      </c>
      <c r="CD22" s="9">
        <f t="shared" ca="1" si="36"/>
        <v>1.313855742414916</v>
      </c>
      <c r="CE22" s="9">
        <f t="shared" ca="1" si="53"/>
        <v>1.313855742414916</v>
      </c>
      <c r="CF22" s="6"/>
      <c r="CG22" s="4"/>
      <c r="CH22" s="4">
        <f t="shared" ca="1" si="73"/>
        <v>122847.87170952943</v>
      </c>
      <c r="CI22" s="309">
        <v>0</v>
      </c>
      <c r="CJ22" s="4">
        <f t="shared" ca="1" si="72"/>
        <v>122847.87170952943</v>
      </c>
      <c r="CK22" s="4">
        <f ca="1">IF(ISNA(VLOOKUP(DATE(YEAR($D22),PRIN_MATURITY,PRIN_MATURITY_DAY_SUB),'Sub Lien DS - First (Annual)'!$A$12:$H$96,COLUMNS('Sub Lien DS - First (Annual)'!$A$12:$H$12),0)),0,VLOOKUP(DATE(YEAR($D22),PRIN_MATURITY,PRIN_MATURITY_DAY_SUB),'Sub Lien DS - First (Annual)'!$A$12:$H$96,COLUMNS('Sub Lien DS - First (Annual)'!$A$12:$H$12),0))</f>
        <v>75481.25</v>
      </c>
      <c r="CL22" s="4">
        <f t="shared" ca="1" si="55"/>
        <v>75481.25</v>
      </c>
      <c r="CM22" s="4">
        <f t="shared" ca="1" si="37"/>
        <v>2445.209784802486</v>
      </c>
      <c r="CN22" s="4">
        <f t="shared" ca="1" si="56"/>
        <v>32540.099443909974</v>
      </c>
      <c r="CO22" s="4">
        <f t="shared" ca="1" si="68"/>
        <v>0</v>
      </c>
      <c r="CP22" s="4"/>
      <c r="CQ22" s="4">
        <f>IF(YEAR(DELIVERY)=YEAR($D22),'Sources and Uses - First'!$D$12,0)</f>
        <v>0</v>
      </c>
      <c r="CR22" s="4">
        <f>IF(ISNA(VLOOKUP(DATE(YEAR($D22),PRIN_MATURITY, PRIN_MATURITY_DAY_SUB),'Sub Lien DS - First (Annual)'!$A$12:$G$41,COLUMNS('Sub Lien DS - First (Annual)'!$A$12:$G$12),0)),0,VLOOKUP(DATE(YEAR($D22),PRIN_MATURITY, PRIN_MATURITY_DAY_SUB),'Sub Lien DS - First (Annual)'!$A$12:$G$41,COLUMNS('Sub Lien DS - First (Annual)'!$A$12:$G$12),0))</f>
        <v>0</v>
      </c>
      <c r="CS22" s="4">
        <f>SUM($CQ$14:CQ22)-SUM($CR$14:CR22)</f>
        <v>0</v>
      </c>
      <c r="CT22" s="4">
        <f>SUM($CQ$14:CQ22)-SUM($CR$14:CR22)</f>
        <v>0</v>
      </c>
      <c r="CU22" s="4">
        <f t="shared" ca="1" si="57"/>
        <v>108021.34944390997</v>
      </c>
      <c r="CV22" s="4">
        <f t="shared" ca="1" si="58"/>
        <v>108021.34944390997</v>
      </c>
      <c r="CW22" s="4">
        <f t="shared" ca="1" si="59"/>
        <v>14826.522265619453</v>
      </c>
      <c r="CX22" s="4">
        <f t="shared" ca="1" si="69"/>
        <v>14826.522265619453</v>
      </c>
      <c r="CY22" s="4">
        <f ca="1">SUM($CW$14:CW22)-SUM($CX$14:CX22)</f>
        <v>0</v>
      </c>
    </row>
    <row r="23" spans="1:103" x14ac:dyDescent="0.25">
      <c r="A23">
        <f t="shared" si="22"/>
        <v>11</v>
      </c>
      <c r="B23" s="3"/>
      <c r="C23" s="75">
        <f t="shared" si="38"/>
        <v>49004</v>
      </c>
      <c r="D23" s="75">
        <f t="shared" si="38"/>
        <v>49369</v>
      </c>
      <c r="E23" s="3">
        <f t="shared" si="39"/>
        <v>0</v>
      </c>
      <c r="F23" s="3">
        <f>VLOOKUP($C23,'Residential Development'!$DW$14:$EL$33,COLUMNS('Residential Development'!$DW$14:$DX$14))+F22+E23</f>
        <v>0</v>
      </c>
      <c r="G23" s="4">
        <f t="shared" si="23"/>
        <v>0</v>
      </c>
      <c r="H23" s="3">
        <f>VLOOKUP($C23,'Residential Development'!$D$14:$Q$33,COLUMNS('Residential Development'!$D$14:$Q$14))</f>
        <v>0</v>
      </c>
      <c r="I23" s="3">
        <f ca="1">VLOOKUP($C23,'Residential Development'!$AW24:$BK$33,COLUMNS('Residential Development'!$AW$13:$BK$33))</f>
        <v>0</v>
      </c>
      <c r="J23" s="4">
        <f t="shared" ca="1" si="24"/>
        <v>0</v>
      </c>
      <c r="K23" s="4">
        <f>VLOOKUP($C23,'Residential Development'!$CD$14:$CQ$33,COLUMNS('Residential Development'!$CD$14:$CQ$14))</f>
        <v>0</v>
      </c>
      <c r="L23" s="3">
        <f t="shared" ca="1" si="60"/>
        <v>3659683.0457980465</v>
      </c>
      <c r="M23" s="3">
        <f ca="1">VLOOKUP($C23,'Residential Development'!$EN$14:$FC$33,COLUMNS('Residential Development'!$EN$14:$FC$14))+M22+L23</f>
        <v>369627987.62560272</v>
      </c>
      <c r="N23" s="3">
        <f t="shared" ca="1" si="41"/>
        <v>203295393.19408152</v>
      </c>
      <c r="O23" s="322"/>
      <c r="P23" s="4">
        <f>VLOOKUP($C23,'Residential Development'!$AH$14:$AI$38,2)</f>
        <v>0</v>
      </c>
      <c r="Q23" s="4">
        <f t="shared" ca="1" si="8"/>
        <v>203295393.19408152</v>
      </c>
      <c r="R23" s="4">
        <f>VLOOKUP($C23,'Comm Development'!$D$14:$O$33,COLUMNS('Comm Development'!$D$14:$O$14))</f>
        <v>0</v>
      </c>
      <c r="S23" s="4">
        <f t="shared" si="25"/>
        <v>0</v>
      </c>
      <c r="T23" s="4">
        <f>VLOOKUP($C23,'Comm Development'!$CG$14:$CR$33,COLUMNS('Comm Development'!$CG$14:$CR$14))+T22+S23</f>
        <v>0</v>
      </c>
      <c r="U23" s="3"/>
      <c r="V23" s="3">
        <f>VLOOKUP($C23,'Comm Development'!$BG$14:$BR$33,COLUMNS('Comm Development'!$BG$14:$BR$14))</f>
        <v>0</v>
      </c>
      <c r="W23" s="4">
        <f t="shared" si="26"/>
        <v>0</v>
      </c>
      <c r="X23" s="4">
        <f>VLOOKUP($C23,'Comm Development'!$CG$14:$CR$33,COLUMNS('Comm Development'!$CG$14:$CR$14))+X22+W23</f>
        <v>0</v>
      </c>
      <c r="Y23" s="3">
        <f t="shared" si="42"/>
        <v>0</v>
      </c>
      <c r="Z23" s="3">
        <f t="shared" si="61"/>
        <v>0</v>
      </c>
      <c r="AA23" s="322">
        <f t="shared" si="43"/>
        <v>0</v>
      </c>
      <c r="AB23" s="296"/>
      <c r="AC23" s="268"/>
      <c r="AD23" s="4">
        <f t="shared" si="44"/>
        <v>0</v>
      </c>
      <c r="AE23" s="4">
        <f t="shared" si="45"/>
        <v>0</v>
      </c>
      <c r="AG23" s="4">
        <f t="shared" ca="1" si="9"/>
        <v>203295393.19408152</v>
      </c>
      <c r="AH23" s="18">
        <f t="shared" si="27"/>
        <v>3</v>
      </c>
      <c r="AI23" s="4">
        <f t="shared" ca="1" si="28"/>
        <v>597688.4559905997</v>
      </c>
      <c r="AJ23" s="4">
        <f t="shared" ca="1" si="11"/>
        <v>0</v>
      </c>
      <c r="AK23" s="3">
        <f t="shared" si="12"/>
        <v>0</v>
      </c>
      <c r="AL23" s="194">
        <f t="shared" si="13"/>
        <v>0</v>
      </c>
      <c r="AM23" s="4">
        <f t="shared" si="62"/>
        <v>0</v>
      </c>
      <c r="AN23" s="4">
        <f t="shared" si="63"/>
        <v>0</v>
      </c>
      <c r="AO23" s="97"/>
      <c r="AP23" s="4">
        <f t="shared" si="64"/>
        <v>0</v>
      </c>
      <c r="AQ23" s="4">
        <f t="shared" si="3"/>
        <v>0</v>
      </c>
      <c r="AR23" s="364">
        <f t="shared" ca="1" si="14"/>
        <v>597688.4559905997</v>
      </c>
      <c r="AT23" s="213">
        <f t="shared" ca="1" si="46"/>
        <v>0</v>
      </c>
      <c r="AU23" s="213">
        <f t="shared" ca="1" si="65"/>
        <v>-4000</v>
      </c>
      <c r="AV23" s="312">
        <f t="shared" si="70"/>
        <v>-62168.246755980232</v>
      </c>
      <c r="AX23" s="4">
        <f t="shared" ca="1" si="32"/>
        <v>531520.20923461951</v>
      </c>
      <c r="AZ23" s="4">
        <f t="shared" ca="1" si="15"/>
        <v>203295393.19408152</v>
      </c>
      <c r="BA23" s="18">
        <f t="shared" si="47"/>
        <v>3</v>
      </c>
      <c r="BB23" s="4">
        <f ca="1">AZ23/1000*BA23*TAX_COLLECT_MILL_PRC</f>
        <v>597688.4559905997</v>
      </c>
      <c r="BC23" s="4">
        <f t="shared" ca="1" si="17"/>
        <v>0</v>
      </c>
      <c r="BD23" s="3">
        <f t="shared" si="18"/>
        <v>0</v>
      </c>
      <c r="BE23" s="194">
        <f t="shared" si="19"/>
        <v>0</v>
      </c>
      <c r="BF23" s="4">
        <f t="shared" si="4"/>
        <v>0</v>
      </c>
      <c r="BG23" s="4">
        <f t="shared" si="5"/>
        <v>0</v>
      </c>
      <c r="BH23" s="97"/>
      <c r="BI23" s="4">
        <f t="shared" si="6"/>
        <v>0</v>
      </c>
      <c r="BJ23" s="4">
        <f t="shared" si="7"/>
        <v>0</v>
      </c>
      <c r="BK23" s="96">
        <f t="shared" ca="1" si="71"/>
        <v>597688.4559905997</v>
      </c>
      <c r="BM23" s="213">
        <f t="shared" si="48"/>
        <v>-3000</v>
      </c>
      <c r="BO23" s="4">
        <f t="shared" ca="1" si="21"/>
        <v>594688.4559905997</v>
      </c>
      <c r="BQ23" s="4">
        <f ca="1">IF(AND(REFUND_FINANCING="Yes",$D23&gt;PREMIUM_CALL_FIRST),0, IF(ISERROR(VLOOKUP($D23,'Senior Lien DS - First'!$A$11:$O$81,COLUMNS('Senior Lien DS - First'!$A$11:$O$11),0)),0,VLOOKUP($D23,'Senior Lien DS - First'!$A$11:$O$81,COLUMNS('Senior Lien DS - First'!$A$11:$O$11),0)))</f>
        <v>405392.36527054396</v>
      </c>
      <c r="BR23" s="4">
        <f>IF(ISERROR(VLOOKUP($D23,'Senior Lien DS - Refunding'!$A$11:$O$81,COLUMNS('Senior Lien DS - Refunding'!$A$11:$O$11),0)),0,VLOOKUP($D23,'Senior Lien DS - Refunding'!$A$11:$O$81,COLUMNS('Senior Lien DS - Refunding'!$A$11:$O$11),0))</f>
        <v>0</v>
      </c>
      <c r="BS23" s="4">
        <f t="shared" ca="1" si="33"/>
        <v>405392.36527054396</v>
      </c>
      <c r="BT23" s="84">
        <f t="shared" ca="1" si="34"/>
        <v>1.3111253559990024</v>
      </c>
      <c r="BU23" s="4">
        <f t="shared" ca="1" si="49"/>
        <v>126127.84396407555</v>
      </c>
      <c r="BV23" s="4">
        <f t="shared" si="66"/>
        <v>0</v>
      </c>
      <c r="BW23" s="4">
        <f t="shared" ca="1" si="67"/>
        <v>0</v>
      </c>
      <c r="BX23" s="4">
        <f t="shared" ca="1" si="50"/>
        <v>126127.84396407555</v>
      </c>
      <c r="BY23" s="4">
        <f t="shared" ca="1" si="51"/>
        <v>126127.84396407555</v>
      </c>
      <c r="BZ23" s="4">
        <f t="shared" ca="1" si="52"/>
        <v>0</v>
      </c>
      <c r="CA23" s="4">
        <f t="shared" ca="1" si="35"/>
        <v>0</v>
      </c>
      <c r="CB23" s="14">
        <f ca="1">IF(ISERROR((VLOOKUP($D23,'Senior Lien DS - First'!$A$11:$P$71,COLUMNS('Senior Lien DS - First'!$A$11:$P$11)))/Summary!$AG24),"",(IF(REFUND_FINANCING="Yes",0,VLOOKUP($D23,'Senior Lien DS - First'!$A$11:$P$71,COLUMNS('Senior Lien DS - First'!$A$11:$P$11))))/Summary!$AG24)</f>
        <v>2.5520100236251828E-2</v>
      </c>
      <c r="CC23" s="10">
        <f ca="1">IF(ISERROR((VLOOKUP($C23,'Senior Lien DS - First'!$A$11:$P$71,COLUMNS('Senior Lien DS - First'!$A$11:$P$11)))/Summary!$M24),"",(VLOOKUP($C23,'Senior Lien DS - First'!$A$11:$P$71,COLUMNS('Senior Lien DS - First'!$A$11:$P$11)))/Summary!$M24)</f>
        <v>1.4317311959832312E-2</v>
      </c>
      <c r="CD23" s="9">
        <f t="shared" ca="1" si="36"/>
        <v>1.3111253559990024</v>
      </c>
      <c r="CE23" s="9">
        <f t="shared" ca="1" si="53"/>
        <v>1.3111253559990024</v>
      </c>
      <c r="CG23" s="4"/>
      <c r="CH23" s="4">
        <f t="shared" ca="1" si="73"/>
        <v>123127.84396407555</v>
      </c>
      <c r="CI23" s="309">
        <v>0</v>
      </c>
      <c r="CJ23" s="4">
        <f t="shared" ca="1" si="72"/>
        <v>123127.84396407555</v>
      </c>
      <c r="CK23" s="4">
        <f ca="1">IF(ISNA(VLOOKUP(DATE(YEAR($D23),PRIN_MATURITY,PRIN_MATURITY_DAY_SUB),'Sub Lien DS - First (Annual)'!$A$12:$H$96,COLUMNS('Sub Lien DS - First (Annual)'!$A$12:$H$12),0)),0,VLOOKUP(DATE(YEAR($D23),PRIN_MATURITY,PRIN_MATURITY_DAY_SUB),'Sub Lien DS - First (Annual)'!$A$12:$H$96,COLUMNS('Sub Lien DS - First (Annual)'!$A$12:$H$12),0))</f>
        <v>75481.25</v>
      </c>
      <c r="CL23" s="4">
        <f t="shared" ca="1" si="55"/>
        <v>75481.25</v>
      </c>
      <c r="CM23" s="4">
        <f t="shared" ca="1" si="37"/>
        <v>0</v>
      </c>
      <c r="CN23" s="4">
        <f t="shared" ca="1" si="56"/>
        <v>0</v>
      </c>
      <c r="CO23" s="4">
        <f t="shared" ca="1" si="68"/>
        <v>0</v>
      </c>
      <c r="CP23" s="4"/>
      <c r="CQ23" s="4">
        <f>IF(YEAR(DELIVERY)=YEAR($D23),'Sources and Uses - First'!$D$12,0)</f>
        <v>0</v>
      </c>
      <c r="CR23" s="4">
        <f>IF(ISNA(VLOOKUP(DATE(YEAR($D23),PRIN_MATURITY, PRIN_MATURITY_DAY_SUB),'Sub Lien DS - First (Annual)'!$A$12:$G$41,COLUMNS('Sub Lien DS - First (Annual)'!$A$12:$G$12),0)),0,VLOOKUP(DATE(YEAR($D23),PRIN_MATURITY, PRIN_MATURITY_DAY_SUB),'Sub Lien DS - First (Annual)'!$A$12:$G$41,COLUMNS('Sub Lien DS - First (Annual)'!$A$12:$G$12),0))</f>
        <v>0</v>
      </c>
      <c r="CS23" s="4">
        <f>SUM($CQ$14:CQ23)-SUM($CR$14:CR23)</f>
        <v>0</v>
      </c>
      <c r="CT23" s="4">
        <f>SUM($CQ$14:CQ23)-SUM($CR$14:CR23)</f>
        <v>0</v>
      </c>
      <c r="CU23" s="4">
        <f t="shared" ca="1" si="57"/>
        <v>75481.25</v>
      </c>
      <c r="CV23" s="4">
        <f t="shared" ca="1" si="58"/>
        <v>75481.25</v>
      </c>
      <c r="CW23" s="4">
        <f t="shared" ca="1" si="59"/>
        <v>47646.593964075553</v>
      </c>
      <c r="CX23" s="4">
        <f t="shared" ca="1" si="69"/>
        <v>47646.593964075553</v>
      </c>
      <c r="CY23" s="4">
        <f ca="1">SUM($CW$14:CW23)-SUM($CX$14:CX23)</f>
        <v>0</v>
      </c>
    </row>
    <row r="24" spans="1:103" x14ac:dyDescent="0.25">
      <c r="A24">
        <f t="shared" si="22"/>
        <v>12</v>
      </c>
      <c r="B24" s="3">
        <f>VLOOKUP($C24,'Residential Development'!$D$14:$P$33,COLUMNS('Residential Development'!$D$14:$F$14))</f>
        <v>0</v>
      </c>
      <c r="C24" s="75">
        <f t="shared" si="38"/>
        <v>49369</v>
      </c>
      <c r="D24" s="75">
        <f t="shared" si="38"/>
        <v>49735</v>
      </c>
      <c r="E24" s="3">
        <f t="shared" si="39"/>
        <v>0</v>
      </c>
      <c r="F24" s="3">
        <f>VLOOKUP($C24,'Residential Development'!$DW$14:$EL$33,COLUMNS('Residential Development'!$DW$14:$DX$14))+F23+E24</f>
        <v>0</v>
      </c>
      <c r="G24" s="4">
        <f t="shared" si="23"/>
        <v>0</v>
      </c>
      <c r="H24" s="3">
        <f>VLOOKUP($C24,'Residential Development'!$D$14:$Q$33,COLUMNS('Residential Development'!$D$14:$Q$14))</f>
        <v>0</v>
      </c>
      <c r="I24" s="3">
        <f ca="1">VLOOKUP($C24,'Residential Development'!$AW25:$BK$33,COLUMNS('Residential Development'!$AW$13:$BK$33))</f>
        <v>0</v>
      </c>
      <c r="J24" s="4">
        <f t="shared" ca="1" si="24"/>
        <v>0</v>
      </c>
      <c r="K24" s="4">
        <f>VLOOKUP($C24,'Residential Development'!$CD$14:$CQ$33,COLUMNS('Residential Development'!$CD$14:$CQ$14))</f>
        <v>0</v>
      </c>
      <c r="L24" s="3">
        <f t="shared" ca="1" si="60"/>
        <v>3696279.8762560273</v>
      </c>
      <c r="M24" s="3">
        <f ca="1">VLOOKUP($C24,'Residential Development'!$EN$14:$FC$33,COLUMNS('Residential Development'!$EN$14:$FC$14))+M23+L24</f>
        <v>373324267.50185877</v>
      </c>
      <c r="N24" s="3">
        <f t="shared" ca="1" si="41"/>
        <v>205328347.12602234</v>
      </c>
      <c r="O24" s="322"/>
      <c r="P24" s="4">
        <f>VLOOKUP($C24,'Residential Development'!$AH$14:$AI$38,2)</f>
        <v>0</v>
      </c>
      <c r="Q24" s="4">
        <f t="shared" ca="1" si="8"/>
        <v>205328347.12602234</v>
      </c>
      <c r="R24" s="4">
        <f>VLOOKUP($C24,'Comm Development'!$D$14:$O$33,COLUMNS('Comm Development'!$D$14:$O$14))</f>
        <v>0</v>
      </c>
      <c r="S24" s="4">
        <f t="shared" si="25"/>
        <v>0</v>
      </c>
      <c r="T24" s="4">
        <f>VLOOKUP($C24,'Comm Development'!$CG$14:$CR$33,COLUMNS('Comm Development'!$CG$14:$CR$14))+T23+S24</f>
        <v>0</v>
      </c>
      <c r="U24" s="3"/>
      <c r="V24" s="3">
        <f>VLOOKUP($C24,'Comm Development'!$BG$14:$BR$33,COLUMNS('Comm Development'!$BG$14:$BR$14))</f>
        <v>0</v>
      </c>
      <c r="W24" s="4">
        <f t="shared" si="26"/>
        <v>0</v>
      </c>
      <c r="X24" s="4">
        <f>VLOOKUP($C24,'Comm Development'!$CG$14:$CR$33,COLUMNS('Comm Development'!$CG$14:$CR$14))+X23+W24</f>
        <v>0</v>
      </c>
      <c r="Y24" s="3">
        <f t="shared" si="42"/>
        <v>0</v>
      </c>
      <c r="Z24" s="3">
        <f t="shared" si="61"/>
        <v>0</v>
      </c>
      <c r="AA24" s="322">
        <f t="shared" si="43"/>
        <v>0</v>
      </c>
      <c r="AB24" s="296"/>
      <c r="AC24" s="268"/>
      <c r="AD24" s="4">
        <f t="shared" si="44"/>
        <v>0</v>
      </c>
      <c r="AE24" s="4">
        <f t="shared" si="45"/>
        <v>0</v>
      </c>
      <c r="AG24" s="4">
        <f t="shared" ca="1" si="9"/>
        <v>205328347.12602234</v>
      </c>
      <c r="AH24" s="18">
        <f t="shared" si="27"/>
        <v>3</v>
      </c>
      <c r="AI24" s="4">
        <f t="shared" ca="1" si="28"/>
        <v>603665.34055050567</v>
      </c>
      <c r="AJ24" s="4">
        <f t="shared" ca="1" si="11"/>
        <v>0</v>
      </c>
      <c r="AK24" s="3">
        <f t="shared" si="12"/>
        <v>0</v>
      </c>
      <c r="AL24" s="194">
        <f t="shared" si="13"/>
        <v>0</v>
      </c>
      <c r="AM24" s="4">
        <f t="shared" si="62"/>
        <v>0</v>
      </c>
      <c r="AN24" s="4">
        <f t="shared" si="63"/>
        <v>0</v>
      </c>
      <c r="AO24" s="97"/>
      <c r="AP24" s="4">
        <f t="shared" si="64"/>
        <v>0</v>
      </c>
      <c r="AQ24" s="4">
        <f t="shared" si="3"/>
        <v>0</v>
      </c>
      <c r="AR24" s="364">
        <f t="shared" ca="1" si="14"/>
        <v>603665.34055050567</v>
      </c>
      <c r="AT24" s="213">
        <f t="shared" ca="1" si="46"/>
        <v>0</v>
      </c>
      <c r="AU24" s="213">
        <f t="shared" ca="1" si="65"/>
        <v>-4000</v>
      </c>
      <c r="AV24" s="312">
        <f t="shared" si="70"/>
        <v>-63411.611691099839</v>
      </c>
      <c r="AX24" s="4">
        <f t="shared" ca="1" si="32"/>
        <v>536253.72885940585</v>
      </c>
      <c r="AZ24" s="4">
        <f t="shared" ca="1" si="15"/>
        <v>205328347.12602234</v>
      </c>
      <c r="BA24" s="18">
        <f t="shared" si="47"/>
        <v>3</v>
      </c>
      <c r="BB24" s="4">
        <f t="shared" ca="1" si="16"/>
        <v>603665.34055050567</v>
      </c>
      <c r="BC24" s="4">
        <f t="shared" ca="1" si="17"/>
        <v>0</v>
      </c>
      <c r="BD24" s="3">
        <f t="shared" si="18"/>
        <v>0</v>
      </c>
      <c r="BE24" s="194">
        <f t="shared" si="19"/>
        <v>0</v>
      </c>
      <c r="BF24" s="4">
        <f t="shared" si="4"/>
        <v>0</v>
      </c>
      <c r="BG24" s="4">
        <f t="shared" si="5"/>
        <v>0</v>
      </c>
      <c r="BH24" s="97"/>
      <c r="BI24" s="4">
        <f t="shared" si="6"/>
        <v>0</v>
      </c>
      <c r="BJ24" s="4">
        <f t="shared" si="7"/>
        <v>0</v>
      </c>
      <c r="BK24" s="96">
        <f ca="1">+BB24+BC24+BF24+BG24+BI24+BJ24</f>
        <v>603665.34055050567</v>
      </c>
      <c r="BM24" s="213">
        <f t="shared" si="48"/>
        <v>-3000</v>
      </c>
      <c r="BO24" s="4">
        <f t="shared" ca="1" si="21"/>
        <v>600665.34055050567</v>
      </c>
      <c r="BQ24" s="4">
        <f ca="1">IF(AND(REFUND_FINANCING="Yes",$D24&gt;PREMIUM_CALL_FIRST),0, IF(ISERROR(VLOOKUP($D24,'Senior Lien DS - First'!$A$11:$O$81,COLUMNS('Senior Lien DS - First'!$A$11:$O$11),0)),0,VLOOKUP($D24,'Senior Lien DS - First'!$A$11:$O$81,COLUMNS('Senior Lien DS - First'!$A$11:$O$11),0)))</f>
        <v>404223.61527054396</v>
      </c>
      <c r="BR24" s="4">
        <f>IF(ISERROR(VLOOKUP($D24,'Senior Lien DS - Refunding'!$A$11:$O$81,COLUMNS('Senior Lien DS - Refunding'!$A$11:$O$11),0)),0,VLOOKUP($D24,'Senior Lien DS - Refunding'!$A$11:$O$81,COLUMNS('Senior Lien DS - Refunding'!$A$11:$O$11),0))</f>
        <v>0</v>
      </c>
      <c r="BS24" s="4">
        <f t="shared" ca="1" si="33"/>
        <v>404223.61527054396</v>
      </c>
      <c r="BT24" s="84">
        <f t="shared" ca="1" si="34"/>
        <v>1.326626423101221</v>
      </c>
      <c r="BU24" s="4">
        <f t="shared" ca="1" si="49"/>
        <v>132030.11358886189</v>
      </c>
      <c r="BV24" s="4">
        <f t="shared" si="66"/>
        <v>0</v>
      </c>
      <c r="BW24" s="4">
        <f t="shared" ca="1" si="67"/>
        <v>0</v>
      </c>
      <c r="BX24" s="4">
        <f t="shared" ca="1" si="50"/>
        <v>132030.11358886189</v>
      </c>
      <c r="BY24" s="4">
        <f t="shared" ca="1" si="51"/>
        <v>132030.11358886189</v>
      </c>
      <c r="BZ24" s="4">
        <f t="shared" ca="1" si="52"/>
        <v>0</v>
      </c>
      <c r="CA24" s="4">
        <f t="shared" ca="1" si="35"/>
        <v>0</v>
      </c>
      <c r="CB24" s="14">
        <f ca="1">IF(ISERROR((VLOOKUP($D24,'Senior Lien DS - First'!$A$11:$P$71,COLUMNS('Senior Lien DS - First'!$A$11:$P$11)))/Summary!$AG25),"",(IF(REFUND_FINANCING="Yes",0,VLOOKUP($D24,'Senior Lien DS - First'!$A$11:$P$71,COLUMNS('Senior Lien DS - First'!$A$11:$P$11))))/Summary!$AG25)</f>
        <v>2.4737002912095053E-2</v>
      </c>
      <c r="CC24" s="10">
        <f ca="1">IF(ISERROR((VLOOKUP($C24,'Senior Lien DS - First'!$A$11:$P$71,COLUMNS('Senior Lien DS - First'!$A$11:$P$11)))/Summary!$M25),"",(VLOOKUP($C24,'Senior Lien DS - First'!$A$11:$P$71,COLUMNS('Senior Lien DS - First'!$A$11:$P$11)))/Summary!$M25)</f>
        <v>1.3897084287067827E-2</v>
      </c>
      <c r="CD24" s="9">
        <f t="shared" ca="1" si="36"/>
        <v>1.326626423101221</v>
      </c>
      <c r="CE24" s="9">
        <f t="shared" ca="1" si="53"/>
        <v>1.326626423101221</v>
      </c>
      <c r="CH24" s="4">
        <f t="shared" ca="1" si="73"/>
        <v>129030.11358886189</v>
      </c>
      <c r="CI24" s="309">
        <v>0</v>
      </c>
      <c r="CJ24" s="4">
        <f t="shared" ca="1" si="72"/>
        <v>129030.11358886189</v>
      </c>
      <c r="CK24" s="4">
        <f ca="1">IF(ISNA(VLOOKUP(DATE(YEAR($D24),PRIN_MATURITY,PRIN_MATURITY_DAY_SUB),'Sub Lien DS - First (Annual)'!$A$12:$H$96,COLUMNS('Sub Lien DS - First (Annual)'!$A$12:$H$12),0)),0,VLOOKUP(DATE(YEAR($D24),PRIN_MATURITY,PRIN_MATURITY_DAY_SUB),'Sub Lien DS - First (Annual)'!$A$12:$H$96,COLUMNS('Sub Lien DS - First (Annual)'!$A$12:$H$12),0))</f>
        <v>75481.25</v>
      </c>
      <c r="CL24" s="4">
        <f t="shared" ca="1" si="55"/>
        <v>75481.25</v>
      </c>
      <c r="CM24" s="4">
        <f t="shared" ca="1" si="37"/>
        <v>0</v>
      </c>
      <c r="CN24" s="4">
        <f t="shared" ca="1" si="56"/>
        <v>0</v>
      </c>
      <c r="CO24" s="4">
        <f t="shared" ca="1" si="68"/>
        <v>0</v>
      </c>
      <c r="CP24" s="4"/>
      <c r="CQ24" s="4">
        <f>IF(YEAR(DELIVERY)=YEAR($D24),'Sources and Uses - First'!$D$12,0)</f>
        <v>0</v>
      </c>
      <c r="CR24" s="4">
        <f>IF(ISNA(VLOOKUP(DATE(YEAR($D24),PRIN_MATURITY, PRIN_MATURITY_DAY_SUB),'Sub Lien DS - First (Annual)'!$A$12:$G$41,COLUMNS('Sub Lien DS - First (Annual)'!$A$12:$G$12),0)),0,VLOOKUP(DATE(YEAR($D24),PRIN_MATURITY, PRIN_MATURITY_DAY_SUB),'Sub Lien DS - First (Annual)'!$A$12:$G$41,COLUMNS('Sub Lien DS - First (Annual)'!$A$12:$G$12),0))</f>
        <v>0</v>
      </c>
      <c r="CS24" s="4">
        <f>SUM($CQ$14:CQ24)-SUM($CR$14:CR24)</f>
        <v>0</v>
      </c>
      <c r="CT24" s="4">
        <f>SUM($CQ$14:CQ24)-SUM($CR$14:CR24)</f>
        <v>0</v>
      </c>
      <c r="CU24" s="4">
        <f t="shared" ca="1" si="57"/>
        <v>75481.25</v>
      </c>
      <c r="CV24" s="4">
        <f t="shared" ca="1" si="58"/>
        <v>75481.25</v>
      </c>
      <c r="CW24" s="4">
        <f t="shared" ca="1" si="59"/>
        <v>53548.863588861888</v>
      </c>
      <c r="CX24" s="4">
        <f t="shared" ca="1" si="69"/>
        <v>53548.863588861888</v>
      </c>
      <c r="CY24" s="4">
        <f ca="1">SUM($CW$14:CW24)-SUM($CX$14:CX24)</f>
        <v>0</v>
      </c>
    </row>
    <row r="25" spans="1:103" x14ac:dyDescent="0.25">
      <c r="A25">
        <f t="shared" si="22"/>
        <v>13</v>
      </c>
      <c r="B25" s="3">
        <f>VLOOKUP($C25,'Residential Development'!$D$14:$P$33,COLUMNS('Residential Development'!$D$14:$F$14))</f>
        <v>0</v>
      </c>
      <c r="C25" s="75">
        <f t="shared" si="38"/>
        <v>49735</v>
      </c>
      <c r="D25" s="75">
        <f t="shared" si="38"/>
        <v>50100</v>
      </c>
      <c r="E25" s="3">
        <f t="shared" si="39"/>
        <v>0</v>
      </c>
      <c r="F25" s="3">
        <f>VLOOKUP($C25,'Residential Development'!$DW$14:$EL$33,COLUMNS('Residential Development'!$DW$14:$DX$14))+F24+E25</f>
        <v>0</v>
      </c>
      <c r="G25" s="4">
        <f t="shared" si="23"/>
        <v>0</v>
      </c>
      <c r="H25" s="3">
        <f>VLOOKUP($C25,'Residential Development'!$D$14:$Q$33,COLUMNS('Residential Development'!$D$14:$Q$14))</f>
        <v>0</v>
      </c>
      <c r="I25" s="3">
        <f ca="1">VLOOKUP($C25,'Residential Development'!$AW26:$BK$33,COLUMNS('Residential Development'!$AW$13:$BK$33))</f>
        <v>0</v>
      </c>
      <c r="J25" s="4">
        <f t="shared" ca="1" si="24"/>
        <v>0</v>
      </c>
      <c r="K25" s="4">
        <f>VLOOKUP($C25,'Residential Development'!$CD$14:$CQ$33,COLUMNS('Residential Development'!$CD$14:$CQ$14))</f>
        <v>0</v>
      </c>
      <c r="L25" s="3">
        <f t="shared" ca="1" si="60"/>
        <v>3733242.6750185876</v>
      </c>
      <c r="M25" s="3">
        <f ca="1">VLOOKUP($C25,'Residential Development'!$EN$14:$FC$33,COLUMNS('Residential Development'!$EN$14:$FC$14))+M24+L25</f>
        <v>377057510.17687738</v>
      </c>
      <c r="N25" s="3">
        <f t="shared" ca="1" si="41"/>
        <v>207381630.59728259</v>
      </c>
      <c r="O25" s="322"/>
      <c r="P25" s="4">
        <f>VLOOKUP($C25,'Residential Development'!$AH$14:$AI$38,2)</f>
        <v>0</v>
      </c>
      <c r="Q25" s="4">
        <f t="shared" ca="1" si="8"/>
        <v>207381630.59728259</v>
      </c>
      <c r="R25" s="4">
        <f>VLOOKUP($C25,'Comm Development'!$D$14:$O$33,COLUMNS('Comm Development'!$D$14:$O$14))</f>
        <v>0</v>
      </c>
      <c r="S25" s="4">
        <f t="shared" si="25"/>
        <v>0</v>
      </c>
      <c r="T25" s="4">
        <f>VLOOKUP($C25,'Comm Development'!$CG$14:$CR$33,COLUMNS('Comm Development'!$CG$14:$CR$14))+T24+S25</f>
        <v>0</v>
      </c>
      <c r="U25" s="3"/>
      <c r="V25" s="3">
        <f>VLOOKUP($C25,'Comm Development'!$BG$14:$BR$33,COLUMNS('Comm Development'!$BG$14:$BR$14))</f>
        <v>0</v>
      </c>
      <c r="W25" s="4">
        <f t="shared" si="26"/>
        <v>0</v>
      </c>
      <c r="X25" s="4">
        <f>VLOOKUP($C25,'Comm Development'!$CG$14:$CR$33,COLUMNS('Comm Development'!$CG$14:$CR$14))+X24+W25</f>
        <v>0</v>
      </c>
      <c r="Y25" s="3">
        <f t="shared" si="42"/>
        <v>0</v>
      </c>
      <c r="Z25" s="3">
        <f t="shared" si="61"/>
        <v>0</v>
      </c>
      <c r="AA25" s="322">
        <f t="shared" si="43"/>
        <v>0</v>
      </c>
      <c r="AB25" s="297"/>
      <c r="AC25" s="268"/>
      <c r="AD25" s="4">
        <f t="shared" si="44"/>
        <v>0</v>
      </c>
      <c r="AE25" s="4">
        <f t="shared" si="45"/>
        <v>0</v>
      </c>
      <c r="AG25" s="4">
        <f t="shared" ca="1" si="9"/>
        <v>207381630.59728259</v>
      </c>
      <c r="AH25" s="18">
        <f t="shared" si="27"/>
        <v>3</v>
      </c>
      <c r="AI25" s="4">
        <f t="shared" ca="1" si="28"/>
        <v>609701.99395601079</v>
      </c>
      <c r="AJ25" s="4">
        <f t="shared" ca="1" si="11"/>
        <v>0</v>
      </c>
      <c r="AK25" s="3">
        <f t="shared" si="12"/>
        <v>0</v>
      </c>
      <c r="AL25" s="194">
        <f t="shared" si="13"/>
        <v>0</v>
      </c>
      <c r="AM25" s="4">
        <f t="shared" si="62"/>
        <v>0</v>
      </c>
      <c r="AN25" s="4">
        <f t="shared" si="63"/>
        <v>0</v>
      </c>
      <c r="AO25" s="97"/>
      <c r="AP25" s="4">
        <f t="shared" si="64"/>
        <v>0</v>
      </c>
      <c r="AQ25" s="4">
        <f t="shared" si="3"/>
        <v>0</v>
      </c>
      <c r="AR25" s="364">
        <f t="shared" ca="1" si="14"/>
        <v>609701.99395601079</v>
      </c>
      <c r="AT25" s="213">
        <f ca="1">-AI25*COUNTY_TREASURER_FEE-AM25*COUNTY_TREASURER_FEE</f>
        <v>0</v>
      </c>
      <c r="AU25" s="213">
        <f t="shared" ca="1" si="65"/>
        <v>-4000</v>
      </c>
      <c r="AV25" s="312">
        <f t="shared" si="70"/>
        <v>-64679.843924921835</v>
      </c>
      <c r="AX25" s="4">
        <f t="shared" ca="1" si="32"/>
        <v>541022.15003108897</v>
      </c>
      <c r="AZ25" s="4">
        <f t="shared" ca="1" si="15"/>
        <v>207381630.59728259</v>
      </c>
      <c r="BA25" s="18">
        <f t="shared" si="47"/>
        <v>3</v>
      </c>
      <c r="BB25" s="4">
        <f t="shared" ca="1" si="16"/>
        <v>609701.99395601079</v>
      </c>
      <c r="BC25" s="4">
        <f t="shared" ca="1" si="17"/>
        <v>0</v>
      </c>
      <c r="BD25" s="3">
        <f t="shared" si="18"/>
        <v>0</v>
      </c>
      <c r="BE25" s="194">
        <f t="shared" si="19"/>
        <v>0</v>
      </c>
      <c r="BF25" s="4">
        <f t="shared" si="4"/>
        <v>0</v>
      </c>
      <c r="BG25" s="4">
        <f t="shared" si="5"/>
        <v>0</v>
      </c>
      <c r="BH25" s="97"/>
      <c r="BI25" s="4">
        <f t="shared" si="6"/>
        <v>0</v>
      </c>
      <c r="BJ25" s="4">
        <f t="shared" si="7"/>
        <v>0</v>
      </c>
      <c r="BK25" s="96">
        <f t="shared" ca="1" si="71"/>
        <v>609701.99395601079</v>
      </c>
      <c r="BM25" s="213">
        <f t="shared" si="48"/>
        <v>-3000</v>
      </c>
      <c r="BO25" s="4">
        <f t="shared" ca="1" si="21"/>
        <v>606701.99395601079</v>
      </c>
      <c r="BQ25" s="4">
        <f ca="1">IF(AND(REFUND_FINANCING="Yes",$D25&gt;PREMIUM_CALL_FIRST),0, IF(ISERROR(VLOOKUP($D25,'Senior Lien DS - First'!$A$11:$O$81,COLUMNS('Senior Lien DS - First'!$A$11:$O$11),0)),0,VLOOKUP($D25,'Senior Lien DS - First'!$A$11:$O$81,COLUMNS('Senior Lien DS - First'!$A$11:$O$11),0)))</f>
        <v>412761.11527054396</v>
      </c>
      <c r="BR25" s="4">
        <f>IF(ISERROR(VLOOKUP($D25,'Senior Lien DS - Refunding'!$A$11:$O$81,COLUMNS('Senior Lien DS - Refunding'!$A$11:$O$11),0)),0,VLOOKUP($D25,'Senior Lien DS - Refunding'!$A$11:$O$81,COLUMNS('Senior Lien DS - Refunding'!$A$11:$O$11),0))</f>
        <v>0</v>
      </c>
      <c r="BS25" s="4">
        <f t="shared" ca="1" si="33"/>
        <v>412761.11527054396</v>
      </c>
      <c r="BT25" s="84">
        <f t="shared" ca="1" si="34"/>
        <v>1.3107391418798653</v>
      </c>
      <c r="BU25" s="4">
        <f t="shared" ca="1" si="49"/>
        <v>128261.03476054501</v>
      </c>
      <c r="BV25" s="4">
        <f t="shared" si="66"/>
        <v>0</v>
      </c>
      <c r="BW25" s="4">
        <f t="shared" ca="1" si="67"/>
        <v>0</v>
      </c>
      <c r="BX25" s="4">
        <f t="shared" ca="1" si="50"/>
        <v>128261.03476054501</v>
      </c>
      <c r="BY25" s="4">
        <f t="shared" ca="1" si="51"/>
        <v>128261.03476054501</v>
      </c>
      <c r="BZ25" s="4">
        <f t="shared" ca="1" si="52"/>
        <v>0</v>
      </c>
      <c r="CA25" s="4">
        <f t="shared" ca="1" si="35"/>
        <v>0</v>
      </c>
      <c r="CB25" s="14">
        <f ca="1">IF(ISERROR((VLOOKUP($D25,'Senior Lien DS - First'!$A$11:$P$71,COLUMNS('Senior Lien DS - First'!$A$11:$P$11)))/Summary!$AG26),"",(IF(REFUND_FINANCING="Yes",0,VLOOKUP($D25,'Senior Lien DS - First'!$A$11:$P$71,COLUMNS('Senior Lien DS - First'!$A$11:$P$11))))/Summary!$AG26)</f>
        <v>2.3895296465179731E-2</v>
      </c>
      <c r="CC25" s="10">
        <f ca="1">IF(ISERROR((VLOOKUP($C25,'Senior Lien DS - First'!$A$11:$P$71,COLUMNS('Senior Lien DS - First'!$A$11:$P$11)))/Summary!$M26),"",(VLOOKUP($C25,'Senior Lien DS - First'!$A$11:$P$71,COLUMNS('Senior Lien DS - First'!$A$11:$P$11)))/Summary!$M26)</f>
        <v>1.3470645150150774E-2</v>
      </c>
      <c r="CD25" s="9">
        <f t="shared" ca="1" si="36"/>
        <v>1.3107391418798653</v>
      </c>
      <c r="CE25" s="9">
        <f t="shared" ca="1" si="53"/>
        <v>1.3107391418798653</v>
      </c>
      <c r="CH25" s="4">
        <f t="shared" ca="1" si="73"/>
        <v>125261.03476054501</v>
      </c>
      <c r="CI25" s="309">
        <v>0</v>
      </c>
      <c r="CJ25" s="4">
        <f t="shared" ca="1" si="72"/>
        <v>125261.03476054501</v>
      </c>
      <c r="CK25" s="4">
        <f ca="1">IF(ISNA(VLOOKUP(DATE(YEAR($D25),PRIN_MATURITY,PRIN_MATURITY_DAY_SUB),'Sub Lien DS - First (Annual)'!$A$12:$H$96,COLUMNS('Sub Lien DS - First (Annual)'!$A$12:$H$12),0)),0,VLOOKUP(DATE(YEAR($D25),PRIN_MATURITY,PRIN_MATURITY_DAY_SUB),'Sub Lien DS - First (Annual)'!$A$12:$H$96,COLUMNS('Sub Lien DS - First (Annual)'!$A$12:$H$12),0))</f>
        <v>75481.25</v>
      </c>
      <c r="CL25" s="4">
        <f t="shared" ca="1" si="55"/>
        <v>75481.25</v>
      </c>
      <c r="CM25" s="4">
        <f t="shared" ca="1" si="37"/>
        <v>0</v>
      </c>
      <c r="CN25" s="4">
        <f t="shared" ca="1" si="56"/>
        <v>0</v>
      </c>
      <c r="CO25" s="4">
        <f t="shared" ca="1" si="68"/>
        <v>0</v>
      </c>
      <c r="CP25" s="4"/>
      <c r="CQ25" s="4">
        <f>IF(YEAR(DELIVERY)=YEAR($D25),'Sources and Uses - First'!$D$12,0)</f>
        <v>0</v>
      </c>
      <c r="CR25" s="4">
        <f>IF(ISNA(VLOOKUP(DATE(YEAR($D25),PRIN_MATURITY, PRIN_MATURITY_DAY_SUB),'Sub Lien DS - First (Annual)'!$A$12:$G$41,COLUMNS('Sub Lien DS - First (Annual)'!$A$12:$G$12),0)),0,VLOOKUP(DATE(YEAR($D25),PRIN_MATURITY, PRIN_MATURITY_DAY_SUB),'Sub Lien DS - First (Annual)'!$A$12:$G$41,COLUMNS('Sub Lien DS - First (Annual)'!$A$12:$G$12),0))</f>
        <v>0</v>
      </c>
      <c r="CS25" s="4">
        <f>SUM($CQ$14:CQ25)-SUM($CR$14:CR25)</f>
        <v>0</v>
      </c>
      <c r="CT25" s="4">
        <f>SUM($CQ$14:CQ25)-SUM($CR$14:CR25)</f>
        <v>0</v>
      </c>
      <c r="CU25" s="4">
        <f t="shared" ca="1" si="57"/>
        <v>75481.25</v>
      </c>
      <c r="CV25" s="4">
        <f t="shared" ca="1" si="58"/>
        <v>75481.25</v>
      </c>
      <c r="CW25" s="4">
        <f t="shared" ca="1" si="59"/>
        <v>49779.784760545008</v>
      </c>
      <c r="CX25" s="4">
        <f t="shared" ca="1" si="69"/>
        <v>49779.784760545008</v>
      </c>
      <c r="CY25" s="4">
        <f ca="1">SUM($CW$14:CW25)-SUM($CX$14:CX25)</f>
        <v>0</v>
      </c>
    </row>
    <row r="26" spans="1:103" x14ac:dyDescent="0.25">
      <c r="A26">
        <f t="shared" si="22"/>
        <v>14</v>
      </c>
      <c r="B26" s="3">
        <f>VLOOKUP($C26,'Residential Development'!$D$14:$P$33,COLUMNS('Residential Development'!$D$14:$F$14))</f>
        <v>0</v>
      </c>
      <c r="C26" s="75">
        <f t="shared" si="38"/>
        <v>50100</v>
      </c>
      <c r="D26" s="75">
        <f t="shared" si="38"/>
        <v>50465</v>
      </c>
      <c r="E26" s="3">
        <f t="shared" si="39"/>
        <v>0</v>
      </c>
      <c r="F26" s="3">
        <f>VLOOKUP($C26,'Residential Development'!$DW$14:$EL$33,COLUMNS('Residential Development'!$DW$14:$DX$14))+F25+E26</f>
        <v>0</v>
      </c>
      <c r="G26" s="4">
        <f t="shared" si="23"/>
        <v>0</v>
      </c>
      <c r="H26" s="3">
        <f>VLOOKUP($C26,'Residential Development'!$D$14:$Q$33,COLUMNS('Residential Development'!$D$14:$Q$14))</f>
        <v>0</v>
      </c>
      <c r="I26" s="3">
        <f ca="1">VLOOKUP($C26,'Residential Development'!$AW27:$BK$33,COLUMNS('Residential Development'!$AW$13:$BK$33))</f>
        <v>0</v>
      </c>
      <c r="J26" s="4">
        <f t="shared" ca="1" si="24"/>
        <v>0</v>
      </c>
      <c r="K26" s="4">
        <f>VLOOKUP($C26,'Residential Development'!$CD$14:$CQ$33,COLUMNS('Residential Development'!$CD$14:$CQ$14))</f>
        <v>0</v>
      </c>
      <c r="L26" s="3">
        <f t="shared" ca="1" si="60"/>
        <v>3770575.101768774</v>
      </c>
      <c r="M26" s="3">
        <f ca="1">VLOOKUP($C26,'Residential Development'!$EN$14:$FC$33,COLUMNS('Residential Development'!$EN$14:$FC$14))+M25+L26</f>
        <v>380828085.27864617</v>
      </c>
      <c r="N26" s="3">
        <f t="shared" ca="1" si="41"/>
        <v>209455446.9032554</v>
      </c>
      <c r="O26" s="322"/>
      <c r="P26" s="4">
        <f>VLOOKUP($C26,'Residential Development'!$AH$14:$AI$38,2)</f>
        <v>0</v>
      </c>
      <c r="Q26" s="4">
        <f t="shared" ca="1" si="8"/>
        <v>209455446.9032554</v>
      </c>
      <c r="R26" s="4"/>
      <c r="S26" s="4">
        <f t="shared" si="25"/>
        <v>0</v>
      </c>
      <c r="T26" s="4">
        <f>VLOOKUP($C26,'Comm Development'!$CG$14:$CR$33,COLUMNS('Comm Development'!$CG$14:$CR$14))+T25+S26</f>
        <v>0</v>
      </c>
      <c r="U26" s="3"/>
      <c r="V26" s="3">
        <f>VLOOKUP($C26,'Comm Development'!$BG$14:$BR$33,COLUMNS('Comm Development'!$BG$14:$BR$14))</f>
        <v>0</v>
      </c>
      <c r="W26" s="4">
        <f t="shared" si="26"/>
        <v>0</v>
      </c>
      <c r="X26" s="4">
        <f>VLOOKUP($C26,'Comm Development'!$CG$14:$CR$33,COLUMNS('Comm Development'!$CG$14:$CR$14))+X25+W26</f>
        <v>0</v>
      </c>
      <c r="Y26" s="3">
        <f t="shared" si="42"/>
        <v>0</v>
      </c>
      <c r="Z26" s="3">
        <f t="shared" si="61"/>
        <v>0</v>
      </c>
      <c r="AA26" s="322">
        <f t="shared" si="43"/>
        <v>0</v>
      </c>
      <c r="AB26" s="297"/>
      <c r="AC26" s="268"/>
      <c r="AD26" s="4">
        <f t="shared" si="44"/>
        <v>0</v>
      </c>
      <c r="AE26" s="4">
        <f t="shared" si="45"/>
        <v>0</v>
      </c>
      <c r="AG26" s="4">
        <f t="shared" ca="1" si="9"/>
        <v>209455446.9032554</v>
      </c>
      <c r="AH26" s="18">
        <f t="shared" si="27"/>
        <v>3</v>
      </c>
      <c r="AI26" s="4">
        <f t="shared" ca="1" si="28"/>
        <v>615799.01389557077</v>
      </c>
      <c r="AJ26" s="4">
        <f t="shared" ca="1" si="11"/>
        <v>0</v>
      </c>
      <c r="AK26" s="3">
        <f t="shared" si="12"/>
        <v>0</v>
      </c>
      <c r="AL26" s="194">
        <f t="shared" si="13"/>
        <v>0</v>
      </c>
      <c r="AM26" s="4">
        <f t="shared" si="62"/>
        <v>0</v>
      </c>
      <c r="AN26" s="4">
        <f t="shared" si="63"/>
        <v>0</v>
      </c>
      <c r="AO26" s="97"/>
      <c r="AP26" s="4">
        <f t="shared" si="64"/>
        <v>0</v>
      </c>
      <c r="AQ26" s="4">
        <f t="shared" si="3"/>
        <v>0</v>
      </c>
      <c r="AR26" s="364">
        <f t="shared" ca="1" si="14"/>
        <v>615799.01389557077</v>
      </c>
      <c r="AT26" s="213">
        <f t="shared" ca="1" si="46"/>
        <v>0</v>
      </c>
      <c r="AU26" s="213">
        <f t="shared" ca="1" si="65"/>
        <v>-4000</v>
      </c>
      <c r="AV26" s="312">
        <f t="shared" si="70"/>
        <v>-65973.440803420279</v>
      </c>
      <c r="AX26" s="4">
        <f t="shared" ca="1" si="32"/>
        <v>545825.5730921505</v>
      </c>
      <c r="AZ26" s="4">
        <f t="shared" ca="1" si="15"/>
        <v>209455446.9032554</v>
      </c>
      <c r="BA26" s="18">
        <f t="shared" si="47"/>
        <v>3</v>
      </c>
      <c r="BB26" s="4">
        <f t="shared" ca="1" si="16"/>
        <v>615799.01389557077</v>
      </c>
      <c r="BC26" s="4">
        <f t="shared" ca="1" si="17"/>
        <v>0</v>
      </c>
      <c r="BD26" s="3">
        <f t="shared" si="18"/>
        <v>0</v>
      </c>
      <c r="BE26" s="194">
        <f t="shared" si="19"/>
        <v>0</v>
      </c>
      <c r="BF26" s="4">
        <f t="shared" si="4"/>
        <v>0</v>
      </c>
      <c r="BG26" s="4">
        <f t="shared" si="5"/>
        <v>0</v>
      </c>
      <c r="BH26" s="97"/>
      <c r="BI26" s="4">
        <f t="shared" si="6"/>
        <v>0</v>
      </c>
      <c r="BJ26" s="4">
        <f t="shared" si="7"/>
        <v>0</v>
      </c>
      <c r="BK26" s="96">
        <f t="shared" ca="1" si="71"/>
        <v>615799.01389557077</v>
      </c>
      <c r="BM26" s="213">
        <f t="shared" si="48"/>
        <v>-3000</v>
      </c>
      <c r="BO26" s="4">
        <f t="shared" ca="1" si="21"/>
        <v>612799.01389557077</v>
      </c>
      <c r="BQ26" s="4">
        <f ca="1">IF(AND(REFUND_FINANCING="Yes",$D26&gt;PREMIUM_CALL_FIRST),0, IF(ISERROR(VLOOKUP($D26,'Senior Lien DS - First'!$A$11:$O$81,COLUMNS('Senior Lien DS - First'!$A$11:$O$11),0)),0,VLOOKUP($D26,'Senior Lien DS - First'!$A$11:$O$81,COLUMNS('Senior Lien DS - First'!$A$11:$O$11),0)))</f>
        <v>415417.36527054396</v>
      </c>
      <c r="BR26" s="4">
        <f>IF(ISERROR(VLOOKUP($D26,'Senior Lien DS - Refunding'!$A$11:$O$81,COLUMNS('Senior Lien DS - Refunding'!$A$11:$O$11),0)),0,VLOOKUP($D26,'Senior Lien DS - Refunding'!$A$11:$O$81,COLUMNS('Senior Lien DS - Refunding'!$A$11:$O$11),0))</f>
        <v>0</v>
      </c>
      <c r="BS26" s="4">
        <f t="shared" ca="1" si="33"/>
        <v>415417.36527054396</v>
      </c>
      <c r="BT26" s="84">
        <f t="shared" ca="1" si="34"/>
        <v>1.3139209352422645</v>
      </c>
      <c r="BU26" s="4">
        <f t="shared" ca="1" si="49"/>
        <v>130408.20782160654</v>
      </c>
      <c r="BV26" s="4">
        <f t="shared" si="66"/>
        <v>0</v>
      </c>
      <c r="BW26" s="4">
        <f t="shared" ca="1" si="67"/>
        <v>0</v>
      </c>
      <c r="BX26" s="4">
        <f t="shared" ca="1" si="50"/>
        <v>130408.20782160654</v>
      </c>
      <c r="BY26" s="4">
        <f t="shared" ca="1" si="51"/>
        <v>130408.20782160654</v>
      </c>
      <c r="BZ26" s="4">
        <f t="shared" ca="1" si="52"/>
        <v>0</v>
      </c>
      <c r="CA26" s="4">
        <f t="shared" ca="1" si="35"/>
        <v>0</v>
      </c>
      <c r="CB26" s="14">
        <f ca="1">IF(ISERROR((VLOOKUP($D26,'Senior Lien DS - First'!$A$11:$P$71,COLUMNS('Senior Lien DS - First'!$A$11:$P$11)))/Summary!$AG27),"",(IF(REFUND_FINANCING="Yes",0,VLOOKUP($D26,'Senior Lien DS - First'!$A$11:$P$71,COLUMNS('Senior Lien DS - First'!$A$11:$P$11))))/Summary!$AG27)</f>
        <v>2.3020562365441543E-2</v>
      </c>
      <c r="CC26" s="10">
        <f ca="1">IF(ISERROR((VLOOKUP($C26,'Senior Lien DS - First'!$A$11:$P$71,COLUMNS('Senior Lien DS - First'!$A$11:$P$11)))/Summary!$M27),"",(VLOOKUP($C26,'Senior Lien DS - First'!$A$11:$P$71,COLUMNS('Senior Lien DS - First'!$A$11:$P$11)))/Summary!$M27)</f>
        <v>1.3012290154305795E-2</v>
      </c>
      <c r="CD26" s="9">
        <f t="shared" ca="1" si="36"/>
        <v>1.3139209352422645</v>
      </c>
      <c r="CE26" s="9">
        <f t="shared" ca="1" si="53"/>
        <v>1.3139209352422645</v>
      </c>
      <c r="CH26" s="4">
        <f t="shared" ca="1" si="73"/>
        <v>127408.20782160654</v>
      </c>
      <c r="CI26" s="309">
        <v>0</v>
      </c>
      <c r="CJ26" s="4">
        <f t="shared" ca="1" si="72"/>
        <v>127408.20782160654</v>
      </c>
      <c r="CK26" s="4">
        <f ca="1">IF(ISNA(VLOOKUP(DATE(YEAR($D26),PRIN_MATURITY,PRIN_MATURITY_DAY_SUB),'Sub Lien DS - First (Annual)'!$A$12:$H$96,COLUMNS('Sub Lien DS - First (Annual)'!$A$12:$H$12),0)),0,VLOOKUP(DATE(YEAR($D26),PRIN_MATURITY,PRIN_MATURITY_DAY_SUB),'Sub Lien DS - First (Annual)'!$A$12:$H$96,COLUMNS('Sub Lien DS - First (Annual)'!$A$12:$H$12),0))</f>
        <v>75481.25</v>
      </c>
      <c r="CL26" s="4">
        <f t="shared" ca="1" si="55"/>
        <v>75481.25</v>
      </c>
      <c r="CM26" s="4">
        <f t="shared" ca="1" si="37"/>
        <v>0</v>
      </c>
      <c r="CN26" s="4">
        <f t="shared" ca="1" si="56"/>
        <v>0</v>
      </c>
      <c r="CO26" s="4">
        <f t="shared" ca="1" si="68"/>
        <v>0</v>
      </c>
      <c r="CP26" s="4"/>
      <c r="CQ26" s="4">
        <f>IF(YEAR(DELIVERY)=YEAR($D26),'Sources and Uses - First'!$D$12,0)</f>
        <v>0</v>
      </c>
      <c r="CR26" s="4">
        <f ca="1">IF(ISNA(VLOOKUP(DATE(YEAR($D26),PRIN_MATURITY, PRIN_MATURITY_DAY_SUB),'Sub Lien DS - First (Annual)'!$A$12:$G$41,COLUMNS('Sub Lien DS - First (Annual)'!$A$12:$G$12),0)),0,VLOOKUP(DATE(YEAR($D26),PRIN_MATURITY, PRIN_MATURITY_DAY_SUB),'Sub Lien DS - First (Annual)'!$A$12:$G$41,COLUMNS('Sub Lien DS - First (Annual)'!$A$12:$G$12),0))</f>
        <v>51000</v>
      </c>
      <c r="CS26" s="4">
        <f ca="1">SUM($CQ$14:CQ26)-SUM($CR$14:CR26)</f>
        <v>-51000</v>
      </c>
      <c r="CT26" s="4">
        <f ca="1">SUM($CQ$14:CQ26)-SUM($CR$14:CR26)</f>
        <v>-51000</v>
      </c>
      <c r="CU26" s="4">
        <f t="shared" ca="1" si="57"/>
        <v>126481.25</v>
      </c>
      <c r="CV26" s="4">
        <f t="shared" ca="1" si="58"/>
        <v>126481.25</v>
      </c>
      <c r="CW26" s="4">
        <f t="shared" ca="1" si="59"/>
        <v>926.95782160654198</v>
      </c>
      <c r="CX26" s="4">
        <f t="shared" ca="1" si="69"/>
        <v>926.95782160654198</v>
      </c>
      <c r="CY26" s="4">
        <f ca="1">SUM($CW$14:CW26)-SUM($CX$14:CX26)</f>
        <v>0</v>
      </c>
    </row>
    <row r="27" spans="1:103" x14ac:dyDescent="0.25">
      <c r="A27">
        <f t="shared" si="22"/>
        <v>15</v>
      </c>
      <c r="B27" s="3">
        <f>VLOOKUP($C27,'Residential Development'!$D$14:$P$33,COLUMNS('Residential Development'!$D$14:$F$14))</f>
        <v>0</v>
      </c>
      <c r="C27" s="75">
        <f t="shared" si="38"/>
        <v>50465</v>
      </c>
      <c r="D27" s="75">
        <f t="shared" si="38"/>
        <v>50830</v>
      </c>
      <c r="E27" s="3">
        <f t="shared" si="39"/>
        <v>0</v>
      </c>
      <c r="F27" s="3">
        <f>VLOOKUP($C27,'Residential Development'!$DW$14:$EL$33,COLUMNS('Residential Development'!$DW$14:$DX$14))+F26+E27</f>
        <v>0</v>
      </c>
      <c r="G27" s="4">
        <f t="shared" si="23"/>
        <v>0</v>
      </c>
      <c r="H27" s="3">
        <f>VLOOKUP($C27,'Residential Development'!$D$14:$Q$33,COLUMNS('Residential Development'!$D$14:$Q$14))</f>
        <v>0</v>
      </c>
      <c r="I27" s="3">
        <f ca="1">VLOOKUP($C27,'Residential Development'!$AW28:$BK$33,COLUMNS('Residential Development'!$AW$13:$BK$33))</f>
        <v>0</v>
      </c>
      <c r="J27" s="4">
        <f t="shared" ca="1" si="24"/>
        <v>0</v>
      </c>
      <c r="K27" s="4">
        <f>VLOOKUP($C27,'Residential Development'!$CD$14:$CQ$33,COLUMNS('Residential Development'!$CD$14:$CQ$14))</f>
        <v>0</v>
      </c>
      <c r="L27" s="3">
        <f t="shared" ca="1" si="60"/>
        <v>3808280.8527864618</v>
      </c>
      <c r="M27" s="3">
        <f ca="1">VLOOKUP($C27,'Residential Development'!$EN$14:$FC$33,COLUMNS('Residential Development'!$EN$14:$FC$14))+M26+L27</f>
        <v>384636366.13143265</v>
      </c>
      <c r="N27" s="3">
        <f t="shared" ca="1" si="41"/>
        <v>211550001.37228799</v>
      </c>
      <c r="O27" s="322"/>
      <c r="P27" s="4">
        <f>VLOOKUP($C27,'Residential Development'!$AH$14:$AI$38,2)</f>
        <v>0</v>
      </c>
      <c r="Q27" s="4">
        <f t="shared" ca="1" si="8"/>
        <v>211550001.37228799</v>
      </c>
      <c r="R27" s="4"/>
      <c r="S27" s="4">
        <f t="shared" si="25"/>
        <v>0</v>
      </c>
      <c r="T27" s="4">
        <f>VLOOKUP($C27,'Comm Development'!$CG$14:$CR$33,COLUMNS('Comm Development'!$CG$14:$CR$14))+T26+S27</f>
        <v>0</v>
      </c>
      <c r="U27" s="3"/>
      <c r="V27" s="3">
        <f>VLOOKUP($C27,'Comm Development'!$BG$14:$BR$33,COLUMNS('Comm Development'!$BG$14:$BR$14))</f>
        <v>0</v>
      </c>
      <c r="W27" s="4">
        <f t="shared" si="26"/>
        <v>0</v>
      </c>
      <c r="X27" s="4">
        <f>VLOOKUP($C27,'Comm Development'!$CG$14:$CR$33,COLUMNS('Comm Development'!$CG$14:$CR$14))+X26+W27</f>
        <v>0</v>
      </c>
      <c r="Y27" s="3">
        <f t="shared" si="42"/>
        <v>0</v>
      </c>
      <c r="Z27" s="3">
        <f t="shared" si="61"/>
        <v>0</v>
      </c>
      <c r="AA27" s="322">
        <f t="shared" si="43"/>
        <v>0</v>
      </c>
      <c r="AB27" s="297"/>
      <c r="AC27" s="268"/>
      <c r="AD27" s="4">
        <f t="shared" si="44"/>
        <v>0</v>
      </c>
      <c r="AE27" s="4">
        <f t="shared" si="45"/>
        <v>0</v>
      </c>
      <c r="AG27" s="4">
        <f t="shared" ca="1" si="9"/>
        <v>211550001.37228799</v>
      </c>
      <c r="AH27" s="18">
        <f t="shared" si="27"/>
        <v>3</v>
      </c>
      <c r="AI27" s="4">
        <f t="shared" ca="1" si="28"/>
        <v>621957.00403452665</v>
      </c>
      <c r="AJ27" s="4">
        <f t="shared" ca="1" si="11"/>
        <v>0</v>
      </c>
      <c r="AK27" s="3">
        <f t="shared" si="12"/>
        <v>0</v>
      </c>
      <c r="AL27" s="194">
        <f t="shared" si="13"/>
        <v>0</v>
      </c>
      <c r="AM27" s="4">
        <f t="shared" si="62"/>
        <v>0</v>
      </c>
      <c r="AN27" s="4">
        <f t="shared" si="63"/>
        <v>0</v>
      </c>
      <c r="AO27" s="97"/>
      <c r="AP27" s="4">
        <f t="shared" si="64"/>
        <v>0</v>
      </c>
      <c r="AQ27" s="4">
        <f t="shared" si="3"/>
        <v>0</v>
      </c>
      <c r="AR27" s="364">
        <f t="shared" ca="1" si="14"/>
        <v>621957.00403452665</v>
      </c>
      <c r="AT27" s="213">
        <f t="shared" ca="1" si="46"/>
        <v>0</v>
      </c>
      <c r="AU27" s="213">
        <f t="shared" ca="1" si="65"/>
        <v>-4000</v>
      </c>
      <c r="AV27" s="312">
        <f t="shared" si="70"/>
        <v>-67292.909619488681</v>
      </c>
      <c r="AX27" s="4">
        <f t="shared" ca="1" si="32"/>
        <v>550664.09441503801</v>
      </c>
      <c r="AZ27" s="4">
        <f t="shared" ca="1" si="15"/>
        <v>211550001.37228799</v>
      </c>
      <c r="BA27" s="18">
        <f t="shared" si="47"/>
        <v>3</v>
      </c>
      <c r="BB27" s="4">
        <f t="shared" ca="1" si="16"/>
        <v>621957.00403452665</v>
      </c>
      <c r="BC27" s="4">
        <f t="shared" ca="1" si="17"/>
        <v>0</v>
      </c>
      <c r="BD27" s="3">
        <f t="shared" si="18"/>
        <v>0</v>
      </c>
      <c r="BE27" s="194">
        <f t="shared" si="19"/>
        <v>0</v>
      </c>
      <c r="BF27" s="4">
        <f t="shared" si="4"/>
        <v>0</v>
      </c>
      <c r="BG27" s="4">
        <f t="shared" si="5"/>
        <v>0</v>
      </c>
      <c r="BH27" s="97"/>
      <c r="BI27" s="4">
        <f t="shared" si="6"/>
        <v>0</v>
      </c>
      <c r="BJ27" s="4">
        <f t="shared" si="7"/>
        <v>0</v>
      </c>
      <c r="BK27" s="96">
        <f t="shared" ca="1" si="71"/>
        <v>621957.00403452665</v>
      </c>
      <c r="BM27" s="213">
        <f t="shared" si="48"/>
        <v>-3000</v>
      </c>
      <c r="BO27" s="4">
        <f t="shared" ca="1" si="21"/>
        <v>618957.00403452665</v>
      </c>
      <c r="BQ27" s="4">
        <f ca="1">IF(AND(REFUND_FINANCING="Yes",$D27&gt;PREMIUM_CALL_FIRST),0, IF(ISERROR(VLOOKUP($D27,'Senior Lien DS - First'!$A$11:$O$81,COLUMNS('Senior Lien DS - First'!$A$11:$O$11),0)),0,VLOOKUP($D27,'Senior Lien DS - First'!$A$11:$O$81,COLUMNS('Senior Lien DS - First'!$A$11:$O$11),0)))</f>
        <v>417486.11527054396</v>
      </c>
      <c r="BR27" s="4">
        <f>IF(ISERROR(VLOOKUP($D27,'Senior Lien DS - Refunding'!$A$11:$O$81,COLUMNS('Senior Lien DS - Refunding'!$A$11:$O$11),0)),0,VLOOKUP($D27,'Senior Lien DS - Refunding'!$A$11:$O$81,COLUMNS('Senior Lien DS - Refunding'!$A$11:$O$11),0))</f>
        <v>0</v>
      </c>
      <c r="BS27" s="4">
        <f t="shared" ca="1" si="33"/>
        <v>417486.11527054396</v>
      </c>
      <c r="BT27" s="84">
        <f t="shared" ca="1" si="34"/>
        <v>1.3189997805272891</v>
      </c>
      <c r="BU27" s="4">
        <f t="shared" ca="1" si="49"/>
        <v>133177.97914449405</v>
      </c>
      <c r="BV27" s="4">
        <f t="shared" si="66"/>
        <v>0</v>
      </c>
      <c r="BW27" s="4">
        <f t="shared" ca="1" si="67"/>
        <v>0</v>
      </c>
      <c r="BX27" s="4">
        <f t="shared" ca="1" si="50"/>
        <v>133177.97914449405</v>
      </c>
      <c r="BY27" s="4">
        <f t="shared" ca="1" si="51"/>
        <v>133177.97914449405</v>
      </c>
      <c r="BZ27" s="4">
        <f t="shared" ca="1" si="52"/>
        <v>0</v>
      </c>
      <c r="CA27" s="4">
        <f t="shared" ca="1" si="35"/>
        <v>0</v>
      </c>
      <c r="CB27" s="14">
        <f ca="1">IF(ISERROR((VLOOKUP($D27,'Senior Lien DS - First'!$A$11:$P$71,COLUMNS('Senior Lien DS - First'!$A$11:$P$11)))/Summary!$AG28),"",(IF(REFUND_FINANCING="Yes",0,VLOOKUP($D27,'Senior Lien DS - First'!$A$11:$P$71,COLUMNS('Senior Lien DS - First'!$A$11:$P$11))))/Summary!$AG28)</f>
        <v>2.2114005159231363E-2</v>
      </c>
      <c r="CC27" s="10">
        <f ca="1">IF(ISERROR((VLOOKUP($C27,'Senior Lien DS - First'!$A$11:$P$71,COLUMNS('Senior Lien DS - First'!$A$11:$P$11)))/Summary!$M28),"",(VLOOKUP($C27,'Senior Lien DS - First'!$A$11:$P$71,COLUMNS('Senior Lien DS - First'!$A$11:$P$11)))/Summary!$M28)</f>
        <v>1.253594980296322E-2</v>
      </c>
      <c r="CD27" s="9">
        <f t="shared" ca="1" si="36"/>
        <v>1.3189997805272891</v>
      </c>
      <c r="CE27" s="9">
        <f t="shared" ca="1" si="53"/>
        <v>1.3189997805272891</v>
      </c>
      <c r="CH27" s="4">
        <f t="shared" ca="1" si="73"/>
        <v>130177.97914449405</v>
      </c>
      <c r="CI27" s="309">
        <v>0</v>
      </c>
      <c r="CJ27" s="4">
        <f t="shared" ca="1" si="72"/>
        <v>130177.97914449405</v>
      </c>
      <c r="CK27" s="4">
        <f ca="1">IF(ISNA(VLOOKUP(DATE(YEAR($D27),PRIN_MATURITY,PRIN_MATURITY_DAY_SUB),'Sub Lien DS - First (Annual)'!$A$12:$H$96,COLUMNS('Sub Lien DS - First (Annual)'!$A$12:$H$12),0)),0,VLOOKUP(DATE(YEAR($D27),PRIN_MATURITY,PRIN_MATURITY_DAY_SUB),'Sub Lien DS - First (Annual)'!$A$12:$H$96,COLUMNS('Sub Lien DS - First (Annual)'!$A$12:$H$12),0))</f>
        <v>71337.5</v>
      </c>
      <c r="CL27" s="4">
        <f t="shared" ca="1" si="55"/>
        <v>71337.5</v>
      </c>
      <c r="CM27" s="4">
        <f t="shared" ca="1" si="37"/>
        <v>0</v>
      </c>
      <c r="CN27" s="4">
        <f t="shared" ca="1" si="56"/>
        <v>0</v>
      </c>
      <c r="CO27" s="4">
        <f t="shared" ca="1" si="68"/>
        <v>0</v>
      </c>
      <c r="CP27" s="4"/>
      <c r="CQ27" s="4">
        <f>IF(YEAR(DELIVERY)=YEAR($D27),'Sources and Uses - First'!$D$12,0)</f>
        <v>0</v>
      </c>
      <c r="CR27" s="4">
        <f ca="1">IF(ISNA(VLOOKUP(DATE(YEAR($D27),PRIN_MATURITY, PRIN_MATURITY_DAY_SUB),'Sub Lien DS - First (Annual)'!$A$12:$G$41,COLUMNS('Sub Lien DS - First (Annual)'!$A$12:$G$12),0)),0,VLOOKUP(DATE(YEAR($D27),PRIN_MATURITY, PRIN_MATURITY_DAY_SUB),'Sub Lien DS - First (Annual)'!$A$12:$G$41,COLUMNS('Sub Lien DS - First (Annual)'!$A$12:$G$12),0))</f>
        <v>58000</v>
      </c>
      <c r="CS27" s="4">
        <f ca="1">SUM($CQ$14:CQ27)-SUM($CR$14:CR27)</f>
        <v>-109000</v>
      </c>
      <c r="CT27" s="4">
        <f ca="1">SUM($CQ$14:CQ27)-SUM($CR$14:CR27)</f>
        <v>-109000</v>
      </c>
      <c r="CU27" s="4">
        <f t="shared" ca="1" si="57"/>
        <v>129337.5</v>
      </c>
      <c r="CV27" s="4">
        <f t="shared" ca="1" si="58"/>
        <v>129337.5</v>
      </c>
      <c r="CW27" s="4">
        <f t="shared" ca="1" si="59"/>
        <v>840.47914449404925</v>
      </c>
      <c r="CX27" s="4">
        <f t="shared" ca="1" si="69"/>
        <v>840.47914449404925</v>
      </c>
      <c r="CY27" s="4">
        <f ca="1">SUM($CW$14:CW27)-SUM($CX$14:CX27)</f>
        <v>0</v>
      </c>
    </row>
    <row r="28" spans="1:103" x14ac:dyDescent="0.25">
      <c r="A28">
        <f t="shared" si="22"/>
        <v>16</v>
      </c>
      <c r="B28" s="3">
        <f>VLOOKUP($C28,'Residential Development'!$D$14:$P$33,COLUMNS('Residential Development'!$D$14:$F$14))</f>
        <v>0</v>
      </c>
      <c r="C28" s="75">
        <f t="shared" si="38"/>
        <v>50830</v>
      </c>
      <c r="D28" s="75">
        <f t="shared" si="38"/>
        <v>51196</v>
      </c>
      <c r="E28" s="3">
        <f t="shared" si="39"/>
        <v>0</v>
      </c>
      <c r="F28" s="3">
        <f>VLOOKUP($C28,'Residential Development'!$DW$14:$EL$33,COLUMNS('Residential Development'!$DW$14:$DX$14))+F27+E28</f>
        <v>0</v>
      </c>
      <c r="G28" s="4">
        <f t="shared" si="23"/>
        <v>0</v>
      </c>
      <c r="H28" s="3">
        <f>VLOOKUP($C28,'Residential Development'!$D$14:$Q$33,COLUMNS('Residential Development'!$D$14:$Q$14))</f>
        <v>0</v>
      </c>
      <c r="I28" s="3">
        <f ca="1">VLOOKUP($C28,'Residential Development'!$AW29:$BK$33,COLUMNS('Residential Development'!$AW$13:$BK$33))</f>
        <v>0</v>
      </c>
      <c r="J28" s="4">
        <f t="shared" ca="1" si="24"/>
        <v>0</v>
      </c>
      <c r="K28" s="4">
        <f>VLOOKUP($C28,'Residential Development'!$CD$14:$CQ$33,COLUMNS('Residential Development'!$CD$14:$CQ$14))</f>
        <v>0</v>
      </c>
      <c r="L28" s="3">
        <f t="shared" ca="1" si="60"/>
        <v>3846363.6613143268</v>
      </c>
      <c r="M28" s="3">
        <f ca="1">VLOOKUP($C28,'Residential Development'!$EN$14:$FC$33,COLUMNS('Residential Development'!$EN$14:$FC$14))+M27+L28</f>
        <v>388482729.79274696</v>
      </c>
      <c r="N28" s="3">
        <f t="shared" ca="1" si="41"/>
        <v>213665501.38601086</v>
      </c>
      <c r="O28" s="322"/>
      <c r="P28" s="4">
        <f>VLOOKUP($C28,'Residential Development'!$AH$14:$AI$38,2)</f>
        <v>0</v>
      </c>
      <c r="Q28" s="4">
        <f t="shared" ca="1" si="8"/>
        <v>213665501.38601086</v>
      </c>
      <c r="R28" s="4"/>
      <c r="S28" s="4">
        <f t="shared" si="25"/>
        <v>0</v>
      </c>
      <c r="T28" s="4">
        <f>VLOOKUP($C28,'Comm Development'!$CG$14:$CR$33,COLUMNS('Comm Development'!$CG$14:$CR$14))+T27+S28</f>
        <v>0</v>
      </c>
      <c r="U28" s="3"/>
      <c r="V28" s="3">
        <f>VLOOKUP($C28,'Comm Development'!$BG$14:$BR$33,COLUMNS('Comm Development'!$BG$14:$BR$14))</f>
        <v>0</v>
      </c>
      <c r="W28" s="4">
        <f t="shared" si="26"/>
        <v>0</v>
      </c>
      <c r="X28" s="4">
        <f>VLOOKUP($C28,'Comm Development'!$CG$14:$CR$33,COLUMNS('Comm Development'!$CG$14:$CR$14))+X27+W28</f>
        <v>0</v>
      </c>
      <c r="Y28" s="3">
        <f t="shared" si="42"/>
        <v>0</v>
      </c>
      <c r="Z28" s="3">
        <f t="shared" si="61"/>
        <v>0</v>
      </c>
      <c r="AA28" s="322">
        <f t="shared" si="43"/>
        <v>0</v>
      </c>
      <c r="AB28" s="297"/>
      <c r="AC28" s="268"/>
      <c r="AD28" s="4">
        <f t="shared" si="44"/>
        <v>0</v>
      </c>
      <c r="AE28" s="4">
        <f t="shared" si="45"/>
        <v>0</v>
      </c>
      <c r="AG28" s="4">
        <f t="shared" ca="1" si="9"/>
        <v>213665501.38601086</v>
      </c>
      <c r="AH28" s="18">
        <f t="shared" si="27"/>
        <v>3</v>
      </c>
      <c r="AI28" s="4">
        <f t="shared" ca="1" si="28"/>
        <v>628176.57407487195</v>
      </c>
      <c r="AJ28" s="4">
        <f t="shared" ca="1" si="11"/>
        <v>0</v>
      </c>
      <c r="AK28" s="3">
        <f t="shared" si="12"/>
        <v>0</v>
      </c>
      <c r="AL28" s="194">
        <f t="shared" si="13"/>
        <v>0</v>
      </c>
      <c r="AM28" s="4">
        <f t="shared" si="62"/>
        <v>0</v>
      </c>
      <c r="AN28" s="4">
        <f t="shared" si="63"/>
        <v>0</v>
      </c>
      <c r="AO28" s="97"/>
      <c r="AP28" s="4">
        <f t="shared" si="64"/>
        <v>0</v>
      </c>
      <c r="AQ28" s="4">
        <f t="shared" si="3"/>
        <v>0</v>
      </c>
      <c r="AR28" s="364">
        <f t="shared" ca="1" si="14"/>
        <v>628176.57407487195</v>
      </c>
      <c r="AT28" s="213">
        <f t="shared" ca="1" si="46"/>
        <v>0</v>
      </c>
      <c r="AU28" s="213">
        <f t="shared" ca="1" si="65"/>
        <v>-4000</v>
      </c>
      <c r="AV28" s="312">
        <f t="shared" si="70"/>
        <v>-68638.767811878453</v>
      </c>
      <c r="AX28" s="4">
        <f t="shared" ca="1" si="32"/>
        <v>555537.80626299349</v>
      </c>
      <c r="AZ28" s="4">
        <f t="shared" ca="1" si="15"/>
        <v>213665501.38601086</v>
      </c>
      <c r="BA28" s="18">
        <f t="shared" si="47"/>
        <v>3</v>
      </c>
      <c r="BB28" s="4">
        <f t="shared" ca="1" si="16"/>
        <v>628176.57407487195</v>
      </c>
      <c r="BC28" s="4">
        <f t="shared" ca="1" si="17"/>
        <v>0</v>
      </c>
      <c r="BD28" s="3">
        <f t="shared" si="18"/>
        <v>0</v>
      </c>
      <c r="BE28" s="194">
        <f t="shared" si="19"/>
        <v>0</v>
      </c>
      <c r="BF28" s="4">
        <f t="shared" si="4"/>
        <v>0</v>
      </c>
      <c r="BG28" s="4">
        <f t="shared" si="5"/>
        <v>0</v>
      </c>
      <c r="BH28" s="97"/>
      <c r="BI28" s="4">
        <f t="shared" si="6"/>
        <v>0</v>
      </c>
      <c r="BJ28" s="4">
        <f t="shared" si="7"/>
        <v>0</v>
      </c>
      <c r="BK28" s="96">
        <f t="shared" ca="1" si="71"/>
        <v>628176.57407487195</v>
      </c>
      <c r="BM28" s="213">
        <f t="shared" si="48"/>
        <v>-3000</v>
      </c>
      <c r="BO28" s="4">
        <f t="shared" ca="1" si="21"/>
        <v>625176.57407487195</v>
      </c>
      <c r="BQ28" s="4">
        <f ca="1">IF(AND(REFUND_FINANCING="Yes",$D28&gt;PREMIUM_CALL_FIRST),0, IF(ISERROR(VLOOKUP($D28,'Senior Lien DS - First'!$A$11:$O$81,COLUMNS('Senior Lien DS - First'!$A$11:$O$11),0)),0,VLOOKUP($D28,'Senior Lien DS - First'!$A$11:$O$81,COLUMNS('Senior Lien DS - First'!$A$11:$O$11),0)))</f>
        <v>423967.36527054396</v>
      </c>
      <c r="BR28" s="4">
        <f>IF(ISERROR(VLOOKUP($D28,'Senior Lien DS - Refunding'!$A$11:$O$81,COLUMNS('Senior Lien DS - Refunding'!$A$11:$O$11),0)),0,VLOOKUP($D28,'Senior Lien DS - Refunding'!$A$11:$O$81,COLUMNS('Senior Lien DS - Refunding'!$A$11:$O$11),0))</f>
        <v>0</v>
      </c>
      <c r="BS28" s="4">
        <f t="shared" ca="1" si="33"/>
        <v>423967.36527054396</v>
      </c>
      <c r="BT28" s="84">
        <f t="shared" ca="1" si="34"/>
        <v>1.3103315296650042</v>
      </c>
      <c r="BU28" s="4">
        <f t="shared" ca="1" si="49"/>
        <v>131570.44099244953</v>
      </c>
      <c r="BV28" s="4">
        <f t="shared" si="66"/>
        <v>0</v>
      </c>
      <c r="BW28" s="4">
        <f t="shared" ca="1" si="67"/>
        <v>0</v>
      </c>
      <c r="BX28" s="4">
        <f t="shared" ca="1" si="50"/>
        <v>131570.44099244953</v>
      </c>
      <c r="BY28" s="4">
        <f t="shared" ca="1" si="51"/>
        <v>131570.44099244953</v>
      </c>
      <c r="BZ28" s="4">
        <f t="shared" ca="1" si="52"/>
        <v>0</v>
      </c>
      <c r="CA28" s="4">
        <f t="shared" ca="1" si="35"/>
        <v>0</v>
      </c>
      <c r="CB28" s="14">
        <f ca="1">IF(ISERROR((VLOOKUP($D28,'Senior Lien DS - First'!$A$11:$P$71,COLUMNS('Senior Lien DS - First'!$A$11:$P$11)))/Summary!$AG29),"",(IF(REFUND_FINANCING="Yes",0,VLOOKUP($D28,'Senior Lien DS - First'!$A$11:$P$71,COLUMNS('Senior Lien DS - First'!$A$11:$P$11))))/Summary!$AG29)</f>
        <v>2.115363477434987E-2</v>
      </c>
      <c r="CC28" s="10">
        <f ca="1">IF(ISERROR((VLOOKUP($C28,'Senior Lien DS - First'!$A$11:$P$71,COLUMNS('Senior Lien DS - First'!$A$11:$P$11)))/Summary!$M29),"",(VLOOKUP($C28,'Senior Lien DS - First'!$A$11:$P$71,COLUMNS('Senior Lien DS - First'!$A$11:$P$11)))/Summary!$M29)</f>
        <v>1.2042280037205198E-2</v>
      </c>
      <c r="CD28" s="9">
        <f t="shared" ca="1" si="36"/>
        <v>1.3103315296650042</v>
      </c>
      <c r="CE28" s="9">
        <f t="shared" ca="1" si="53"/>
        <v>1.3103315296650042</v>
      </c>
      <c r="CH28" s="4">
        <f t="shared" ca="1" si="73"/>
        <v>128570.44099244953</v>
      </c>
      <c r="CI28" s="309">
        <v>0</v>
      </c>
      <c r="CJ28" s="4">
        <f t="shared" ca="1" si="72"/>
        <v>128570.44099244953</v>
      </c>
      <c r="CK28" s="4">
        <f ca="1">IF(ISNA(VLOOKUP(DATE(YEAR($D28),PRIN_MATURITY,PRIN_MATURITY_DAY_SUB),'Sub Lien DS - First (Annual)'!$A$12:$H$96,COLUMNS('Sub Lien DS - First (Annual)'!$A$12:$H$12),0)),0,VLOOKUP(DATE(YEAR($D28),PRIN_MATURITY,PRIN_MATURITY_DAY_SUB),'Sub Lien DS - First (Annual)'!$A$12:$H$96,COLUMNS('Sub Lien DS - First (Annual)'!$A$12:$H$12),0))</f>
        <v>66625</v>
      </c>
      <c r="CL28" s="4">
        <f t="shared" ca="1" si="55"/>
        <v>66625</v>
      </c>
      <c r="CM28" s="4">
        <f ca="1">IF($C28&gt;(EDATE(DATE(YEAR(DELIVERY),PRIN_MATURITY,PRIN_MATURITY_DAY_SUB),12*FINAL_MAT_SUB_YRS)),0,CK28+(CO27*SUB_INTEREST_RATE)-CL28)</f>
        <v>0</v>
      </c>
      <c r="CN28" s="4">
        <f t="shared" ca="1" si="56"/>
        <v>0</v>
      </c>
      <c r="CO28" s="4">
        <f t="shared" ca="1" si="68"/>
        <v>0</v>
      </c>
      <c r="CP28" s="4"/>
      <c r="CQ28" s="4">
        <f>IF(YEAR(DELIVERY)=YEAR($D28),'Sources and Uses - First'!$D$12,0)</f>
        <v>0</v>
      </c>
      <c r="CR28" s="4">
        <f ca="1">IF(ISNA(VLOOKUP(DATE(YEAR($D28),PRIN_MATURITY, PRIN_MATURITY_DAY_SUB),'Sub Lien DS - First (Annual)'!$A$12:$G$41,COLUMNS('Sub Lien DS - First (Annual)'!$A$12:$G$12),0)),0,VLOOKUP(DATE(YEAR($D28),PRIN_MATURITY, PRIN_MATURITY_DAY_SUB),'Sub Lien DS - First (Annual)'!$A$12:$G$41,COLUMNS('Sub Lien DS - First (Annual)'!$A$12:$G$12),0))</f>
        <v>61000</v>
      </c>
      <c r="CS28" s="4">
        <f ca="1">SUM($CQ$14:CQ28)-SUM($CR$14:CR28)</f>
        <v>-170000</v>
      </c>
      <c r="CT28" s="4">
        <f ca="1">SUM($CQ$14:CQ28)-SUM($CR$14:CR28)</f>
        <v>-170000</v>
      </c>
      <c r="CU28" s="4">
        <f t="shared" ca="1" si="57"/>
        <v>127625</v>
      </c>
      <c r="CV28" s="4">
        <f t="shared" ca="1" si="58"/>
        <v>127625</v>
      </c>
      <c r="CW28" s="4">
        <f t="shared" ca="1" si="59"/>
        <v>945.44099244952668</v>
      </c>
      <c r="CX28" s="4">
        <f t="shared" ca="1" si="69"/>
        <v>945.44099244952668</v>
      </c>
      <c r="CY28" s="4">
        <f ca="1">SUM($CW$14:CW28)-SUM($CX$14:CX28)</f>
        <v>0</v>
      </c>
    </row>
    <row r="29" spans="1:103" x14ac:dyDescent="0.25">
      <c r="A29">
        <f t="shared" si="22"/>
        <v>17</v>
      </c>
      <c r="B29" s="3">
        <f>VLOOKUP($C29,'Residential Development'!$D$14:$P$33,COLUMNS('Residential Development'!$D$14:$F$14))</f>
        <v>0</v>
      </c>
      <c r="C29" s="75">
        <f t="shared" si="38"/>
        <v>51196</v>
      </c>
      <c r="D29" s="75">
        <f t="shared" si="38"/>
        <v>51561</v>
      </c>
      <c r="E29" s="3">
        <f t="shared" si="39"/>
        <v>0</v>
      </c>
      <c r="F29" s="3">
        <f>VLOOKUP($C29,'Residential Development'!$DW$14:$EL$33,COLUMNS('Residential Development'!$DW$14:$DX$14))+F28+E29</f>
        <v>0</v>
      </c>
      <c r="G29" s="4">
        <f t="shared" si="23"/>
        <v>0</v>
      </c>
      <c r="H29" s="3">
        <f>VLOOKUP($C29,'Residential Development'!$D$14:$Q$33,COLUMNS('Residential Development'!$D$14:$Q$14))</f>
        <v>0</v>
      </c>
      <c r="I29" s="3">
        <f ca="1">VLOOKUP($C29,'Residential Development'!$AW30:$BK$33,COLUMNS('Residential Development'!$AW$13:$BK$33))</f>
        <v>0</v>
      </c>
      <c r="J29" s="4">
        <f t="shared" ca="1" si="24"/>
        <v>0</v>
      </c>
      <c r="K29" s="4">
        <f>VLOOKUP($C29,'Residential Development'!$CD$14:$CQ$33,COLUMNS('Residential Development'!$CD$14:$CQ$14))</f>
        <v>0</v>
      </c>
      <c r="L29" s="3">
        <f t="shared" ca="1" si="60"/>
        <v>3884827.2979274695</v>
      </c>
      <c r="M29" s="3">
        <f ca="1">VLOOKUP($C29,'Residential Development'!$EN$14:$FC$33,COLUMNS('Residential Development'!$EN$14:$FC$14))+M28+L29</f>
        <v>392367557.09067446</v>
      </c>
      <c r="N29" s="3">
        <f t="shared" ca="1" si="41"/>
        <v>215802156.39987096</v>
      </c>
      <c r="O29" s="322"/>
      <c r="P29" s="4">
        <f>VLOOKUP($C29,'Residential Development'!$AH$14:$AI$38,2)</f>
        <v>0</v>
      </c>
      <c r="Q29" s="4">
        <f t="shared" ca="1" si="8"/>
        <v>215802156.39987096</v>
      </c>
      <c r="R29" s="4"/>
      <c r="S29" s="4">
        <f t="shared" si="25"/>
        <v>0</v>
      </c>
      <c r="T29" s="4">
        <f>VLOOKUP($C29,'Comm Development'!$CG$14:$CR$33,COLUMNS('Comm Development'!$CG$14:$CR$14))+T28+S29</f>
        <v>0</v>
      </c>
      <c r="U29" s="3"/>
      <c r="V29" s="3">
        <f>VLOOKUP($C29,'Comm Development'!$BG$14:$BR$33,COLUMNS('Comm Development'!$BG$14:$BR$14))</f>
        <v>0</v>
      </c>
      <c r="W29" s="4">
        <f t="shared" si="26"/>
        <v>0</v>
      </c>
      <c r="X29" s="4">
        <f>VLOOKUP($C29,'Comm Development'!$CG$14:$CR$33,COLUMNS('Comm Development'!$CG$14:$CR$14))+X28+W29</f>
        <v>0</v>
      </c>
      <c r="Y29" s="3">
        <f t="shared" si="42"/>
        <v>0</v>
      </c>
      <c r="Z29" s="3">
        <f t="shared" si="61"/>
        <v>0</v>
      </c>
      <c r="AA29" s="322">
        <f t="shared" si="43"/>
        <v>0</v>
      </c>
      <c r="AB29" s="297"/>
      <c r="AC29" s="268"/>
      <c r="AD29" s="4">
        <f t="shared" si="44"/>
        <v>0</v>
      </c>
      <c r="AE29" s="4">
        <f t="shared" si="45"/>
        <v>0</v>
      </c>
      <c r="AG29" s="4">
        <f t="shared" ca="1" si="9"/>
        <v>215802156.39987096</v>
      </c>
      <c r="AH29" s="18">
        <f t="shared" si="27"/>
        <v>3</v>
      </c>
      <c r="AI29" s="4">
        <f t="shared" ca="1" si="28"/>
        <v>634458.33981562057</v>
      </c>
      <c r="AJ29" s="4">
        <f t="shared" ca="1" si="11"/>
        <v>0</v>
      </c>
      <c r="AK29" s="3">
        <f t="shared" si="12"/>
        <v>0</v>
      </c>
      <c r="AL29" s="194">
        <f t="shared" si="13"/>
        <v>0</v>
      </c>
      <c r="AM29" s="4">
        <f t="shared" si="62"/>
        <v>0</v>
      </c>
      <c r="AN29" s="4">
        <f t="shared" si="63"/>
        <v>0</v>
      </c>
      <c r="AO29" s="97"/>
      <c r="AP29" s="4">
        <f t="shared" si="64"/>
        <v>0</v>
      </c>
      <c r="AQ29" s="4">
        <f t="shared" si="3"/>
        <v>0</v>
      </c>
      <c r="AR29" s="364">
        <f t="shared" ca="1" si="14"/>
        <v>634458.33981562057</v>
      </c>
      <c r="AT29" s="213">
        <f t="shared" ca="1" si="46"/>
        <v>0</v>
      </c>
      <c r="AU29" s="213">
        <f t="shared" ca="1" si="65"/>
        <v>-4000</v>
      </c>
      <c r="AV29" s="312">
        <f t="shared" si="70"/>
        <v>-70011.543168116026</v>
      </c>
      <c r="AX29" s="4">
        <f t="shared" ca="1" si="32"/>
        <v>560446.79664750455</v>
      </c>
      <c r="AZ29" s="4">
        <f t="shared" ca="1" si="15"/>
        <v>215802156.39987096</v>
      </c>
      <c r="BA29" s="18">
        <f t="shared" si="47"/>
        <v>3</v>
      </c>
      <c r="BB29" s="4">
        <f t="shared" ca="1" si="16"/>
        <v>634458.33981562057</v>
      </c>
      <c r="BC29" s="4">
        <f t="shared" ca="1" si="17"/>
        <v>0</v>
      </c>
      <c r="BD29" s="3">
        <f t="shared" si="18"/>
        <v>0</v>
      </c>
      <c r="BE29" s="194">
        <f t="shared" si="19"/>
        <v>0</v>
      </c>
      <c r="BF29" s="4">
        <f t="shared" si="4"/>
        <v>0</v>
      </c>
      <c r="BG29" s="4">
        <f t="shared" si="5"/>
        <v>0</v>
      </c>
      <c r="BH29" s="97"/>
      <c r="BI29" s="4">
        <f t="shared" si="6"/>
        <v>0</v>
      </c>
      <c r="BJ29" s="4">
        <f t="shared" si="7"/>
        <v>0</v>
      </c>
      <c r="BK29" s="96">
        <f t="shared" ca="1" si="71"/>
        <v>634458.33981562057</v>
      </c>
      <c r="BM29" s="213">
        <f t="shared" si="48"/>
        <v>-3000</v>
      </c>
      <c r="BO29" s="4">
        <f t="shared" ca="1" si="21"/>
        <v>631458.33981562057</v>
      </c>
      <c r="BQ29" s="4">
        <f ca="1">IF(AND(REFUND_FINANCING="Yes",$D29&gt;PREMIUM_CALL_FIRST),0, IF(ISERROR(VLOOKUP($D29,'Senior Lien DS - First'!$A$11:$O$81,COLUMNS('Senior Lien DS - First'!$A$11:$O$11),0)),0,VLOOKUP($D29,'Senior Lien DS - First'!$A$11:$O$81,COLUMNS('Senior Lien DS - First'!$A$11:$O$11),0)))</f>
        <v>424567.36527054396</v>
      </c>
      <c r="BR29" s="4">
        <f>IF(ISERROR(VLOOKUP($D29,'Senior Lien DS - Refunding'!$A$11:$O$81,COLUMNS('Senior Lien DS - Refunding'!$A$11:$O$11),0)),0,VLOOKUP($D29,'Senior Lien DS - Refunding'!$A$11:$O$81,COLUMNS('Senior Lien DS - Refunding'!$A$11:$O$11),0))</f>
        <v>0</v>
      </c>
      <c r="BS29" s="4">
        <f t="shared" ca="1" si="33"/>
        <v>424567.36527054396</v>
      </c>
      <c r="BT29" s="84">
        <f t="shared" ca="1" si="34"/>
        <v>1.3200421004812162</v>
      </c>
      <c r="BU29" s="4">
        <f t="shared" ca="1" si="49"/>
        <v>135879.43137696059</v>
      </c>
      <c r="BV29" s="4">
        <f t="shared" si="66"/>
        <v>0</v>
      </c>
      <c r="BW29" s="4">
        <f t="shared" ca="1" si="67"/>
        <v>0</v>
      </c>
      <c r="BX29" s="4">
        <f t="shared" ca="1" si="50"/>
        <v>135879.43137696059</v>
      </c>
      <c r="BY29" s="4">
        <f t="shared" ca="1" si="51"/>
        <v>135879.43137696059</v>
      </c>
      <c r="BZ29" s="4">
        <f t="shared" ca="1" si="52"/>
        <v>0</v>
      </c>
      <c r="CA29" s="4">
        <f t="shared" ca="1" si="35"/>
        <v>0</v>
      </c>
      <c r="CB29" s="14">
        <f ca="1">IF(ISERROR((VLOOKUP($D29,'Senior Lien DS - First'!$A$11:$P$71,COLUMNS('Senior Lien DS - First'!$A$11:$P$11)))/Summary!$AG30),"",(IF(REFUND_FINANCING="Yes",0,VLOOKUP($D29,'Senior Lien DS - First'!$A$11:$P$71,COLUMNS('Senior Lien DS - First'!$A$11:$P$11))))/Summary!$AG30)</f>
        <v>2.016423385710641E-2</v>
      </c>
      <c r="CC29" s="10">
        <f ca="1">IF(ISERROR((VLOOKUP($C29,'Senior Lien DS - First'!$A$11:$P$71,COLUMNS('Senior Lien DS - First'!$A$11:$P$11)))/Summary!$M30),"",(VLOOKUP($C29,'Senior Lien DS - First'!$A$11:$P$71,COLUMNS('Senior Lien DS - First'!$A$11:$P$11)))/Summary!$M30)</f>
        <v>1.1519306065240029E-2</v>
      </c>
      <c r="CD29" s="9">
        <f t="shared" ca="1" si="36"/>
        <v>1.3200421004812162</v>
      </c>
      <c r="CE29" s="9">
        <f t="shared" ca="1" si="53"/>
        <v>1.3200421004812162</v>
      </c>
      <c r="CH29" s="4">
        <f t="shared" ca="1" si="73"/>
        <v>132879.43137696059</v>
      </c>
      <c r="CI29" s="309">
        <v>0</v>
      </c>
      <c r="CJ29" s="4">
        <f t="shared" ca="1" si="72"/>
        <v>132879.43137696059</v>
      </c>
      <c r="CK29" s="4">
        <f ca="1">IF(ISNA(VLOOKUP(DATE(YEAR($D29),PRIN_MATURITY,PRIN_MATURITY_DAY_SUB),'Sub Lien DS - First (Annual)'!$A$12:$H$96,COLUMNS('Sub Lien DS - First (Annual)'!$A$12:$H$12),0)),0,VLOOKUP(DATE(YEAR($D29),PRIN_MATURITY,PRIN_MATURITY_DAY_SUB),'Sub Lien DS - First (Annual)'!$A$12:$H$96,COLUMNS('Sub Lien DS - First (Annual)'!$A$12:$H$12),0))</f>
        <v>61668.75</v>
      </c>
      <c r="CL29" s="4">
        <f t="shared" ca="1" si="55"/>
        <v>61668.75</v>
      </c>
      <c r="CM29" s="4">
        <f t="shared" ca="1" si="37"/>
        <v>0</v>
      </c>
      <c r="CN29" s="4">
        <f t="shared" ca="1" si="56"/>
        <v>0</v>
      </c>
      <c r="CO29" s="4">
        <f t="shared" ca="1" si="68"/>
        <v>0</v>
      </c>
      <c r="CP29" s="4"/>
      <c r="CQ29" s="4">
        <f>IF(YEAR(DELIVERY)=YEAR($D29),'Sources and Uses - First'!$D$12,0)</f>
        <v>0</v>
      </c>
      <c r="CR29" s="4">
        <f ca="1">IF(ISNA(VLOOKUP(DATE(YEAR($D29),PRIN_MATURITY, PRIN_MATURITY_DAY_SUB),'Sub Lien DS - First (Annual)'!$A$12:$G$41,COLUMNS('Sub Lien DS - First (Annual)'!$A$12:$G$12),0)),0,VLOOKUP(DATE(YEAR($D29),PRIN_MATURITY, PRIN_MATURITY_DAY_SUB),'Sub Lien DS - First (Annual)'!$A$12:$G$41,COLUMNS('Sub Lien DS - First (Annual)'!$A$12:$G$12),0))</f>
        <v>71000</v>
      </c>
      <c r="CS29" s="4">
        <f ca="1">SUM($CQ$14:CQ29)-SUM($CR$14:CR29)</f>
        <v>-241000</v>
      </c>
      <c r="CT29" s="4">
        <f ca="1">SUM($CQ$14:CQ29)-SUM($CR$14:CR29)</f>
        <v>-241000</v>
      </c>
      <c r="CU29" s="4">
        <f t="shared" ca="1" si="57"/>
        <v>132668.75</v>
      </c>
      <c r="CV29" s="4">
        <f t="shared" ca="1" si="58"/>
        <v>132668.75</v>
      </c>
      <c r="CW29" s="4">
        <f t="shared" ca="1" si="59"/>
        <v>210.68137696059421</v>
      </c>
      <c r="CX29" s="4">
        <f t="shared" ca="1" si="69"/>
        <v>210.68137696059421</v>
      </c>
      <c r="CY29" s="4">
        <f ca="1">SUM($CW$14:CW29)-SUM($CX$14:CX29)</f>
        <v>0</v>
      </c>
    </row>
    <row r="30" spans="1:103" x14ac:dyDescent="0.25">
      <c r="A30">
        <f t="shared" si="22"/>
        <v>18</v>
      </c>
      <c r="B30" s="3">
        <f>VLOOKUP($C30,'Residential Development'!$D$14:$P$33,COLUMNS('Residential Development'!$D$14:$F$14))</f>
        <v>0</v>
      </c>
      <c r="C30" s="75">
        <f t="shared" si="38"/>
        <v>51561</v>
      </c>
      <c r="D30" s="75">
        <f t="shared" si="38"/>
        <v>51926</v>
      </c>
      <c r="E30" s="3">
        <f t="shared" si="39"/>
        <v>0</v>
      </c>
      <c r="F30" s="3">
        <f>VLOOKUP($C30,'Residential Development'!$DW$14:$EL$33,COLUMNS('Residential Development'!$DW$14:$DX$14))+F29+E30</f>
        <v>0</v>
      </c>
      <c r="G30" s="4">
        <f t="shared" si="23"/>
        <v>0</v>
      </c>
      <c r="H30" s="3">
        <f>VLOOKUP($C30,'Residential Development'!$D$14:$Q$33,COLUMNS('Residential Development'!$D$14:$Q$14))</f>
        <v>0</v>
      </c>
      <c r="I30" s="3">
        <f ca="1">VLOOKUP($C30,'Residential Development'!$AW31:$BK$33,COLUMNS('Residential Development'!$AW$13:$BK$33))</f>
        <v>0</v>
      </c>
      <c r="J30" s="4">
        <f t="shared" ca="1" si="24"/>
        <v>0</v>
      </c>
      <c r="K30" s="4">
        <f>VLOOKUP($C30,'Residential Development'!$CD$14:$CQ$33,COLUMNS('Residential Development'!$CD$14:$CQ$14))</f>
        <v>0</v>
      </c>
      <c r="L30" s="3">
        <f t="shared" ca="1" si="60"/>
        <v>3923675.5709067448</v>
      </c>
      <c r="M30" s="3">
        <f ca="1">VLOOKUP($C30,'Residential Development'!$EN$14:$FC$33,COLUMNS('Residential Development'!$EN$14:$FC$14))+M29+L30</f>
        <v>396291232.66158122</v>
      </c>
      <c r="N30" s="3">
        <f t="shared" ca="1" si="41"/>
        <v>217960177.96386969</v>
      </c>
      <c r="O30" s="322"/>
      <c r="P30" s="4">
        <f>VLOOKUP($C30,'Residential Development'!$AH$14:$AI$38,2)</f>
        <v>0</v>
      </c>
      <c r="Q30" s="4">
        <f t="shared" ca="1" si="8"/>
        <v>217960177.96386969</v>
      </c>
      <c r="R30" s="4"/>
      <c r="S30" s="4">
        <f t="shared" si="25"/>
        <v>0</v>
      </c>
      <c r="T30" s="4">
        <f>VLOOKUP($C30,'Comm Development'!$CG$14:$CR$33,COLUMNS('Comm Development'!$CG$14:$CR$14))+T29+S30</f>
        <v>0</v>
      </c>
      <c r="U30" s="3"/>
      <c r="V30" s="3">
        <f>VLOOKUP($C30,'Comm Development'!$BG$14:$BR$33,COLUMNS('Comm Development'!$BG$14:$BR$14))</f>
        <v>0</v>
      </c>
      <c r="W30" s="4">
        <f t="shared" si="26"/>
        <v>0</v>
      </c>
      <c r="X30" s="4">
        <f>VLOOKUP($C30,'Comm Development'!$CG$14:$CR$33,COLUMNS('Comm Development'!$CG$14:$CR$14))+X29+W30</f>
        <v>0</v>
      </c>
      <c r="Y30" s="3">
        <f t="shared" si="42"/>
        <v>0</v>
      </c>
      <c r="Z30" s="3">
        <f t="shared" si="61"/>
        <v>0</v>
      </c>
      <c r="AA30" s="322">
        <f t="shared" si="43"/>
        <v>0</v>
      </c>
      <c r="AB30" s="297"/>
      <c r="AC30" s="268"/>
      <c r="AD30" s="4">
        <f t="shared" si="44"/>
        <v>0</v>
      </c>
      <c r="AE30" s="4">
        <f t="shared" si="45"/>
        <v>0</v>
      </c>
      <c r="AG30" s="4">
        <f t="shared" ca="1" si="9"/>
        <v>217960177.96386969</v>
      </c>
      <c r="AH30" s="18">
        <f t="shared" si="27"/>
        <v>3</v>
      </c>
      <c r="AI30" s="4">
        <f t="shared" ca="1" si="28"/>
        <v>640802.92321377702</v>
      </c>
      <c r="AJ30" s="4">
        <f t="shared" ca="1" si="11"/>
        <v>0</v>
      </c>
      <c r="AK30" s="3">
        <f t="shared" si="12"/>
        <v>0</v>
      </c>
      <c r="AL30" s="194">
        <f t="shared" si="13"/>
        <v>0</v>
      </c>
      <c r="AM30" s="4">
        <f t="shared" si="62"/>
        <v>0</v>
      </c>
      <c r="AN30" s="4">
        <f t="shared" si="63"/>
        <v>0</v>
      </c>
      <c r="AO30" s="97"/>
      <c r="AP30" s="4">
        <f t="shared" si="64"/>
        <v>0</v>
      </c>
      <c r="AQ30" s="4">
        <f t="shared" si="3"/>
        <v>0</v>
      </c>
      <c r="AR30" s="364">
        <f t="shared" ca="1" si="14"/>
        <v>640802.92321377702</v>
      </c>
      <c r="AT30" s="213">
        <f t="shared" ca="1" si="46"/>
        <v>0</v>
      </c>
      <c r="AU30" s="213">
        <f t="shared" ca="1" si="65"/>
        <v>-4000</v>
      </c>
      <c r="AV30" s="312">
        <f t="shared" si="70"/>
        <v>-71411.774031478344</v>
      </c>
      <c r="AX30" s="4">
        <f t="shared" ca="1" si="32"/>
        <v>565391.14918229869</v>
      </c>
      <c r="AZ30" s="4">
        <f t="shared" ca="1" si="15"/>
        <v>217960177.96386969</v>
      </c>
      <c r="BA30" s="18">
        <f t="shared" si="47"/>
        <v>3</v>
      </c>
      <c r="BB30" s="4">
        <f t="shared" ca="1" si="16"/>
        <v>640802.92321377702</v>
      </c>
      <c r="BC30" s="4">
        <f t="shared" ca="1" si="17"/>
        <v>0</v>
      </c>
      <c r="BD30" s="3">
        <f t="shared" si="18"/>
        <v>0</v>
      </c>
      <c r="BE30" s="194">
        <f t="shared" si="19"/>
        <v>0</v>
      </c>
      <c r="BF30" s="4">
        <f t="shared" si="4"/>
        <v>0</v>
      </c>
      <c r="BG30" s="4">
        <f t="shared" si="5"/>
        <v>0</v>
      </c>
      <c r="BH30" s="97"/>
      <c r="BI30" s="4">
        <f t="shared" si="6"/>
        <v>0</v>
      </c>
      <c r="BJ30" s="4">
        <f t="shared" si="7"/>
        <v>0</v>
      </c>
      <c r="BK30" s="96">
        <f t="shared" ca="1" si="71"/>
        <v>640802.92321377702</v>
      </c>
      <c r="BM30" s="213">
        <f t="shared" si="48"/>
        <v>-3000</v>
      </c>
      <c r="BO30" s="4">
        <f t="shared" ca="1" si="21"/>
        <v>637802.92321377702</v>
      </c>
      <c r="BQ30" s="4">
        <f ca="1">IF(AND(REFUND_FINANCING="Yes",$D30&gt;PREMIUM_CALL_FIRST),0, IF(ISERROR(VLOOKUP($D30,'Senior Lien DS - First'!$A$11:$O$81,COLUMNS('Senior Lien DS - First'!$A$11:$O$11),0)),0,VLOOKUP($D30,'Senior Lien DS - First'!$A$11:$O$81,COLUMNS('Senior Lien DS - First'!$A$11:$O$11),0)))</f>
        <v>429579.86527054396</v>
      </c>
      <c r="BR30" s="4">
        <f>IF(ISERROR(VLOOKUP($D30,'Senior Lien DS - Refunding'!$A$11:$O$81,COLUMNS('Senior Lien DS - Refunding'!$A$11:$O$11),0)),0,VLOOKUP($D30,'Senior Lien DS - Refunding'!$A$11:$O$81,COLUMNS('Senior Lien DS - Refunding'!$A$11:$O$11),0))</f>
        <v>0</v>
      </c>
      <c r="BS30" s="4">
        <f t="shared" ca="1" si="33"/>
        <v>429579.86527054396</v>
      </c>
      <c r="BT30" s="84">
        <f t="shared" ca="1" si="34"/>
        <v>1.3161490909873592</v>
      </c>
      <c r="BU30" s="4">
        <f t="shared" ca="1" si="49"/>
        <v>135811.28391175473</v>
      </c>
      <c r="BV30" s="4">
        <f t="shared" si="66"/>
        <v>0</v>
      </c>
      <c r="BW30" s="4">
        <f t="shared" ca="1" si="67"/>
        <v>0</v>
      </c>
      <c r="BX30" s="4">
        <f t="shared" ca="1" si="50"/>
        <v>135811.28391175473</v>
      </c>
      <c r="BY30" s="4">
        <f t="shared" ca="1" si="51"/>
        <v>135811.28391175473</v>
      </c>
      <c r="BZ30" s="4">
        <f t="shared" ca="1" si="52"/>
        <v>0</v>
      </c>
      <c r="CA30" s="4">
        <f t="shared" ca="1" si="35"/>
        <v>0</v>
      </c>
      <c r="CB30" s="14">
        <f ca="1">IF(ISERROR((VLOOKUP($D30,'Senior Lien DS - First'!$A$11:$P$71,COLUMNS('Senior Lien DS - First'!$A$11:$P$11)))/Summary!$AG31),"",(IF(REFUND_FINANCING="Yes",0,VLOOKUP($D30,'Senior Lien DS - First'!$A$11:$P$71,COLUMNS('Senior Lien DS - First'!$A$11:$P$11))))/Summary!$AG31)</f>
        <v>1.9124212829254215E-2</v>
      </c>
      <c r="CC30" s="10">
        <f ca="1">IF(ISERROR((VLOOKUP($C30,'Senior Lien DS - First'!$A$11:$P$71,COLUMNS('Senior Lien DS - First'!$A$11:$P$11)))/Summary!$M31),"",(VLOOKUP($C30,'Senior Lien DS - First'!$A$11:$P$71,COLUMNS('Senior Lien DS - First'!$A$11:$P$11)))/Summary!$M31)</f>
        <v>1.0980523387533195E-2</v>
      </c>
      <c r="CD30" s="9">
        <f t="shared" ca="1" si="36"/>
        <v>1.3161490909873592</v>
      </c>
      <c r="CE30" s="9">
        <f t="shared" ca="1" si="53"/>
        <v>1.3161490909873592</v>
      </c>
      <c r="CH30" s="4">
        <f t="shared" ca="1" si="73"/>
        <v>132811.28391175473</v>
      </c>
      <c r="CI30" s="309">
        <v>0</v>
      </c>
      <c r="CJ30" s="4">
        <f t="shared" ca="1" si="72"/>
        <v>132811.28391175473</v>
      </c>
      <c r="CK30" s="4">
        <f ca="1">IF(ISNA(VLOOKUP(DATE(YEAR($D30),PRIN_MATURITY,PRIN_MATURITY_DAY_SUB),'Sub Lien DS - First (Annual)'!$A$12:$H$96,COLUMNS('Sub Lien DS - First (Annual)'!$A$12:$H$12),0)),0,VLOOKUP(DATE(YEAR($D30),PRIN_MATURITY,PRIN_MATURITY_DAY_SUB),'Sub Lien DS - First (Annual)'!$A$12:$H$96,COLUMNS('Sub Lien DS - First (Annual)'!$A$12:$H$12),0))</f>
        <v>55900</v>
      </c>
      <c r="CL30" s="4">
        <f t="shared" ca="1" si="55"/>
        <v>55900</v>
      </c>
      <c r="CM30" s="4">
        <f t="shared" ca="1" si="37"/>
        <v>0</v>
      </c>
      <c r="CN30" s="4">
        <f t="shared" ca="1" si="56"/>
        <v>0</v>
      </c>
      <c r="CO30" s="4">
        <f t="shared" ca="1" si="68"/>
        <v>0</v>
      </c>
      <c r="CP30" s="4"/>
      <c r="CQ30" s="4">
        <f>IF(YEAR(DELIVERY)=YEAR($D30),'Sources and Uses - First'!$D$12,0)</f>
        <v>0</v>
      </c>
      <c r="CR30" s="4">
        <f ca="1">IF(ISNA(VLOOKUP(DATE(YEAR($D30),PRIN_MATURITY, PRIN_MATURITY_DAY_SUB),'Sub Lien DS - First (Annual)'!$A$12:$G$41,COLUMNS('Sub Lien DS - First (Annual)'!$A$12:$G$12),0)),0,VLOOKUP(DATE(YEAR($D30),PRIN_MATURITY, PRIN_MATURITY_DAY_SUB),'Sub Lien DS - First (Annual)'!$A$12:$G$41,COLUMNS('Sub Lien DS - First (Annual)'!$A$12:$G$12),0))</f>
        <v>71000</v>
      </c>
      <c r="CS30" s="4">
        <f ca="1">SUM($CQ$14:CQ30)-SUM($CR$14:CR30)</f>
        <v>-312000</v>
      </c>
      <c r="CT30" s="4">
        <f ca="1">SUM($CQ$14:CQ30)-SUM($CR$14:CR30)</f>
        <v>-312000</v>
      </c>
      <c r="CU30" s="4">
        <f t="shared" ca="1" si="57"/>
        <v>126900</v>
      </c>
      <c r="CV30" s="4">
        <f t="shared" ca="1" si="58"/>
        <v>126900</v>
      </c>
      <c r="CW30" s="4">
        <f t="shared" ca="1" si="59"/>
        <v>5911.2839117547264</v>
      </c>
      <c r="CX30" s="4">
        <f t="shared" ca="1" si="69"/>
        <v>5911.2839117547264</v>
      </c>
      <c r="CY30" s="4">
        <f ca="1">SUM($CW$14:CW30)-SUM($CX$14:CX30)</f>
        <v>0</v>
      </c>
    </row>
    <row r="31" spans="1:103" x14ac:dyDescent="0.25">
      <c r="A31">
        <f t="shared" si="22"/>
        <v>19</v>
      </c>
      <c r="B31" s="3">
        <f>VLOOKUP($C31,'Residential Development'!$D$14:$P$33,COLUMNS('Residential Development'!$D$14:$F$14))</f>
        <v>0</v>
      </c>
      <c r="C31" s="75">
        <f t="shared" si="38"/>
        <v>51926</v>
      </c>
      <c r="D31" s="75">
        <f t="shared" si="38"/>
        <v>52291</v>
      </c>
      <c r="E31" s="3">
        <f t="shared" si="39"/>
        <v>0</v>
      </c>
      <c r="F31" s="3">
        <f>VLOOKUP($C31,'Residential Development'!$DW$14:$EL$33,COLUMNS('Residential Development'!$DW$14:$DX$14))+F30+E31</f>
        <v>0</v>
      </c>
      <c r="G31" s="4">
        <f t="shared" si="23"/>
        <v>0</v>
      </c>
      <c r="H31" s="3">
        <f>VLOOKUP($C31,'Residential Development'!$D$14:$Q$33,COLUMNS('Residential Development'!$D$14:$Q$14))</f>
        <v>0</v>
      </c>
      <c r="I31" s="3">
        <f ca="1">VLOOKUP($C31,'Residential Development'!$AW32:$BK$33,COLUMNS('Residential Development'!$AW$13:$BK$33))</f>
        <v>0</v>
      </c>
      <c r="J31" s="4">
        <f t="shared" ca="1" si="24"/>
        <v>0</v>
      </c>
      <c r="K31" s="4">
        <f>VLOOKUP($C31,'Residential Development'!$CD$14:$CQ$33,COLUMNS('Residential Development'!$CD$14:$CQ$14))</f>
        <v>0</v>
      </c>
      <c r="L31" s="3">
        <f t="shared" ca="1" si="60"/>
        <v>3962912.3266158123</v>
      </c>
      <c r="M31" s="3">
        <f ca="1">VLOOKUP($C31,'Residential Development'!$EN$14:$FC$33,COLUMNS('Residential Development'!$EN$14:$FC$14))+M30+L31</f>
        <v>400254144.98819703</v>
      </c>
      <c r="N31" s="3">
        <f t="shared" ca="1" si="41"/>
        <v>220139779.74350837</v>
      </c>
      <c r="O31" s="322"/>
      <c r="P31" s="4">
        <f>VLOOKUP($C31,'Residential Development'!$AH$14:$AI$38,2)</f>
        <v>0</v>
      </c>
      <c r="Q31" s="4">
        <f t="shared" ca="1" si="8"/>
        <v>220139779.74350837</v>
      </c>
      <c r="R31" s="4"/>
      <c r="S31" s="4">
        <f t="shared" si="25"/>
        <v>0</v>
      </c>
      <c r="T31" s="4">
        <f>VLOOKUP($C31,'Comm Development'!$CG$14:$CR$33,COLUMNS('Comm Development'!$CG$14:$CR$14))+T30+S31</f>
        <v>0</v>
      </c>
      <c r="U31" s="3"/>
      <c r="V31" s="3">
        <f>VLOOKUP($C31,'Comm Development'!$BG$14:$BR$33,COLUMNS('Comm Development'!$BG$14:$BR$14))</f>
        <v>0</v>
      </c>
      <c r="W31" s="4">
        <f t="shared" si="26"/>
        <v>0</v>
      </c>
      <c r="X31" s="4">
        <f>VLOOKUP($C31,'Comm Development'!$CG$14:$CR$33,COLUMNS('Comm Development'!$CG$14:$CR$14))+X30+W31</f>
        <v>0</v>
      </c>
      <c r="Y31" s="3">
        <f t="shared" si="42"/>
        <v>0</v>
      </c>
      <c r="Z31" s="3">
        <f t="shared" si="61"/>
        <v>0</v>
      </c>
      <c r="AA31" s="322">
        <f t="shared" si="43"/>
        <v>0</v>
      </c>
      <c r="AB31" s="297"/>
      <c r="AC31" s="268"/>
      <c r="AD31" s="4">
        <f t="shared" si="44"/>
        <v>0</v>
      </c>
      <c r="AE31" s="4">
        <f t="shared" si="45"/>
        <v>0</v>
      </c>
      <c r="AG31" s="4">
        <f t="shared" ca="1" si="9"/>
        <v>220139779.74350837</v>
      </c>
      <c r="AH31" s="18">
        <f t="shared" si="27"/>
        <v>3</v>
      </c>
      <c r="AI31" s="4">
        <f t="shared" ca="1" si="28"/>
        <v>647210.9524459145</v>
      </c>
      <c r="AJ31" s="4">
        <f t="shared" ca="1" si="11"/>
        <v>0</v>
      </c>
      <c r="AK31" s="3">
        <f t="shared" si="12"/>
        <v>0</v>
      </c>
      <c r="AL31" s="194">
        <f t="shared" si="13"/>
        <v>0</v>
      </c>
      <c r="AM31" s="4">
        <f t="shared" si="62"/>
        <v>0</v>
      </c>
      <c r="AN31" s="4">
        <f t="shared" si="63"/>
        <v>0</v>
      </c>
      <c r="AO31" s="97"/>
      <c r="AP31" s="4">
        <f t="shared" si="64"/>
        <v>0</v>
      </c>
      <c r="AQ31" s="4">
        <f t="shared" si="3"/>
        <v>0</v>
      </c>
      <c r="AR31" s="364">
        <f t="shared" ca="1" si="14"/>
        <v>647210.9524459145</v>
      </c>
      <c r="AT31" s="213">
        <f t="shared" ca="1" si="46"/>
        <v>0</v>
      </c>
      <c r="AU31" s="213">
        <f t="shared" ca="1" si="65"/>
        <v>-4000</v>
      </c>
      <c r="AV31" s="312">
        <f t="shared" si="70"/>
        <v>-72840.009512107907</v>
      </c>
      <c r="AX31" s="4">
        <f t="shared" ca="1" si="32"/>
        <v>570370.94293380657</v>
      </c>
      <c r="AZ31" s="4">
        <f t="shared" ca="1" si="15"/>
        <v>220139779.74350837</v>
      </c>
      <c r="BA31" s="18">
        <f t="shared" si="47"/>
        <v>3</v>
      </c>
      <c r="BB31" s="4">
        <f t="shared" ca="1" si="16"/>
        <v>647210.9524459145</v>
      </c>
      <c r="BC31" s="4">
        <f t="shared" ca="1" si="17"/>
        <v>0</v>
      </c>
      <c r="BD31" s="3">
        <f t="shared" si="18"/>
        <v>0</v>
      </c>
      <c r="BE31" s="194">
        <f t="shared" si="19"/>
        <v>0</v>
      </c>
      <c r="BF31" s="4">
        <f t="shared" si="4"/>
        <v>0</v>
      </c>
      <c r="BG31" s="4">
        <f t="shared" si="5"/>
        <v>0</v>
      </c>
      <c r="BH31" s="97"/>
      <c r="BI31" s="4">
        <f t="shared" si="6"/>
        <v>0</v>
      </c>
      <c r="BJ31" s="4">
        <f t="shared" si="7"/>
        <v>0</v>
      </c>
      <c r="BK31" s="96">
        <f t="shared" ca="1" si="71"/>
        <v>647210.9524459145</v>
      </c>
      <c r="BM31" s="213">
        <f t="shared" si="48"/>
        <v>-3000</v>
      </c>
      <c r="BO31" s="4">
        <f t="shared" ca="1" si="21"/>
        <v>644210.9524459145</v>
      </c>
      <c r="BQ31" s="4">
        <f ca="1">IF(AND(REFUND_FINANCING="Yes",$D31&gt;PREMIUM_CALL_FIRST),0, IF(ISERROR(VLOOKUP($D31,'Senior Lien DS - First'!$A$11:$O$81,COLUMNS('Senior Lien DS - First'!$A$11:$O$11),0)),0,VLOOKUP($D31,'Senior Lien DS - First'!$A$11:$O$81,COLUMNS('Senior Lien DS - First'!$A$11:$O$11),0)))</f>
        <v>433711.11527054396</v>
      </c>
      <c r="BR31" s="4">
        <f>IF(ISERROR(VLOOKUP($D31,'Senior Lien DS - Refunding'!$A$11:$O$81,COLUMNS('Senior Lien DS - Refunding'!$A$11:$O$11),0)),0,VLOOKUP($D31,'Senior Lien DS - Refunding'!$A$11:$O$81,COLUMNS('Senior Lien DS - Refunding'!$A$11:$O$11),0))</f>
        <v>0</v>
      </c>
      <c r="BS31" s="4">
        <f t="shared" ca="1" si="33"/>
        <v>433711.11527054396</v>
      </c>
      <c r="BT31" s="84">
        <f t="shared" ca="1" si="34"/>
        <v>1.3150941325956467</v>
      </c>
      <c r="BU31" s="4">
        <f t="shared" ca="1" si="49"/>
        <v>136659.82766326261</v>
      </c>
      <c r="BV31" s="4">
        <f t="shared" si="66"/>
        <v>0</v>
      </c>
      <c r="BW31" s="4">
        <f t="shared" ca="1" si="67"/>
        <v>0</v>
      </c>
      <c r="BX31" s="4">
        <f t="shared" ca="1" si="50"/>
        <v>136659.82766326261</v>
      </c>
      <c r="BY31" s="4">
        <f t="shared" ca="1" si="51"/>
        <v>136659.82766326261</v>
      </c>
      <c r="BZ31" s="4">
        <f t="shared" ca="1" si="52"/>
        <v>0</v>
      </c>
      <c r="CA31" s="4">
        <f t="shared" ca="1" si="35"/>
        <v>0</v>
      </c>
      <c r="CB31" s="14">
        <f ca="1">IF(ISERROR((VLOOKUP($D31,'Senior Lien DS - First'!$A$11:$P$71,COLUMNS('Senior Lien DS - First'!$A$11:$P$11)))/Summary!$AG32),"",(IF(REFUND_FINANCING="Yes",0,VLOOKUP($D31,'Senior Lien DS - First'!$A$11:$P$71,COLUMNS('Senior Lien DS - First'!$A$11:$P$11))))/Summary!$AG32)</f>
        <v>1.8035345698668753E-2</v>
      </c>
      <c r="CC31" s="10">
        <f ca="1">IF(ISERROR((VLOOKUP($C31,'Senior Lien DS - First'!$A$11:$P$71,COLUMNS('Senior Lien DS - First'!$A$11:$P$11)))/Summary!$M32),"",(VLOOKUP($C31,'Senior Lien DS - First'!$A$11:$P$71,COLUMNS('Senior Lien DS - First'!$A$11:$P$11)))/Summary!$M32)</f>
        <v>1.0414175303059226E-2</v>
      </c>
      <c r="CD31" s="9">
        <f t="shared" ca="1" si="36"/>
        <v>1.3150941325956467</v>
      </c>
      <c r="CE31" s="9">
        <f t="shared" ca="1" si="53"/>
        <v>1.3150941325956467</v>
      </c>
      <c r="CH31" s="4">
        <f t="shared" ca="1" si="73"/>
        <v>133659.82766326261</v>
      </c>
      <c r="CI31" s="309">
        <v>0</v>
      </c>
      <c r="CJ31" s="4">
        <f t="shared" ca="1" si="72"/>
        <v>133659.82766326261</v>
      </c>
      <c r="CK31" s="4">
        <f ca="1">IF(ISNA(VLOOKUP(DATE(YEAR($D31),PRIN_MATURITY,PRIN_MATURITY_DAY_SUB),'Sub Lien DS - First (Annual)'!$A$12:$H$96,COLUMNS('Sub Lien DS - First (Annual)'!$A$12:$H$12),0)),0,VLOOKUP(DATE(YEAR($D31),PRIN_MATURITY,PRIN_MATURITY_DAY_SUB),'Sub Lien DS - First (Annual)'!$A$12:$H$96,COLUMNS('Sub Lien DS - First (Annual)'!$A$12:$H$12),0))</f>
        <v>55900</v>
      </c>
      <c r="CL31" s="4">
        <f t="shared" ca="1" si="55"/>
        <v>55900</v>
      </c>
      <c r="CM31" s="4">
        <f t="shared" ca="1" si="37"/>
        <v>0</v>
      </c>
      <c r="CN31" s="4">
        <f t="shared" ca="1" si="56"/>
        <v>0</v>
      </c>
      <c r="CO31" s="4">
        <f t="shared" ca="1" si="68"/>
        <v>0</v>
      </c>
      <c r="CP31" s="4"/>
      <c r="CQ31" s="4">
        <f>IF(YEAR(DELIVERY)=YEAR($D31),'Sources and Uses - First'!$D$12,0)</f>
        <v>0</v>
      </c>
      <c r="CR31" s="4">
        <f ca="1">IF(ISNA(VLOOKUP(DATE(YEAR($D31),PRIN_MATURITY, PRIN_MATURITY_DAY_SUB),'Sub Lien DS - First (Annual)'!$A$12:$G$41,COLUMNS('Sub Lien DS - First (Annual)'!$A$12:$G$12),0)),0,VLOOKUP(DATE(YEAR($D31),PRIN_MATURITY, PRIN_MATURITY_DAY_SUB),'Sub Lien DS - First (Annual)'!$A$12:$G$41,COLUMNS('Sub Lien DS - First (Annual)'!$A$12:$G$12),0))</f>
        <v>77000</v>
      </c>
      <c r="CS31" s="4">
        <f ca="1">SUM($CQ$14:CQ31)-SUM($CR$14:CR31)</f>
        <v>-389000</v>
      </c>
      <c r="CT31" s="4">
        <f ca="1">SUM($CQ$14:CQ31)-SUM($CR$14:CR31)</f>
        <v>-389000</v>
      </c>
      <c r="CU31" s="4">
        <f t="shared" ca="1" si="57"/>
        <v>132900</v>
      </c>
      <c r="CV31" s="4">
        <f t="shared" ca="1" si="58"/>
        <v>132900</v>
      </c>
      <c r="CW31" s="4">
        <f t="shared" ca="1" si="59"/>
        <v>759.82766326260753</v>
      </c>
      <c r="CX31" s="4">
        <f t="shared" ca="1" si="69"/>
        <v>759.82766326260753</v>
      </c>
      <c r="CY31" s="4">
        <f ca="1">SUM($CW$14:CW31)-SUM($CX$14:CX31)</f>
        <v>0</v>
      </c>
    </row>
    <row r="32" spans="1:103" x14ac:dyDescent="0.25">
      <c r="A32">
        <f t="shared" si="22"/>
        <v>20</v>
      </c>
      <c r="B32" s="3">
        <f>VLOOKUP($C32,'Residential Development'!$D$14:$P$33,COLUMNS('Residential Development'!$D$14:$F$14))</f>
        <v>0</v>
      </c>
      <c r="C32" s="75">
        <f t="shared" si="38"/>
        <v>52291</v>
      </c>
      <c r="D32" s="75">
        <f t="shared" si="38"/>
        <v>52657</v>
      </c>
      <c r="E32" s="3">
        <f t="shared" si="39"/>
        <v>0</v>
      </c>
      <c r="F32" s="3">
        <f>VLOOKUP($C32,'Residential Development'!$DW$14:$EL$33,COLUMNS('Residential Development'!$DW$14:$DX$14))+F31+E32</f>
        <v>0</v>
      </c>
      <c r="G32" s="4">
        <f t="shared" si="23"/>
        <v>0</v>
      </c>
      <c r="H32" s="3">
        <f>VLOOKUP($C32,'Residential Development'!$D$14:$Q$33,COLUMNS('Residential Development'!$D$14:$Q$14))</f>
        <v>0</v>
      </c>
      <c r="I32" s="3">
        <f ca="1">VLOOKUP($C32,'Residential Development'!$AW33:$BK$33,COLUMNS('Residential Development'!$AW$13:$BK$33))</f>
        <v>0</v>
      </c>
      <c r="J32" s="4">
        <f t="shared" ca="1" si="24"/>
        <v>0</v>
      </c>
      <c r="K32" s="4">
        <f>VLOOKUP($C32,'Residential Development'!$CD$14:$CQ$33,COLUMNS('Residential Development'!$CD$14:$CQ$14))</f>
        <v>0</v>
      </c>
      <c r="L32" s="3">
        <f t="shared" ca="1" si="60"/>
        <v>4002541.4498819704</v>
      </c>
      <c r="M32" s="3">
        <f ca="1">VLOOKUP($C32,'Residential Development'!$EN$14:$FC$33,COLUMNS('Residential Development'!$EN$14:$FC$14))+M31+L32</f>
        <v>404256686.438079</v>
      </c>
      <c r="N32" s="3">
        <f t="shared" ca="1" si="41"/>
        <v>222341177.54094347</v>
      </c>
      <c r="O32" s="322"/>
      <c r="P32" s="4">
        <f>VLOOKUP($C32,'Residential Development'!$AH$14:$AI$38,2)</f>
        <v>0</v>
      </c>
      <c r="Q32" s="4">
        <f t="shared" ca="1" si="8"/>
        <v>222341177.54094347</v>
      </c>
      <c r="R32" s="4"/>
      <c r="S32" s="4">
        <f t="shared" si="25"/>
        <v>0</v>
      </c>
      <c r="T32" s="4">
        <f>VLOOKUP($C32,'Comm Development'!$CG$14:$CR$33,COLUMNS('Comm Development'!$CG$14:$CR$14))+T31+S32</f>
        <v>0</v>
      </c>
      <c r="U32" s="3"/>
      <c r="V32" s="3">
        <f>VLOOKUP($C32,'Comm Development'!$BG$14:$BR$33,COLUMNS('Comm Development'!$BG$14:$BR$14))</f>
        <v>0</v>
      </c>
      <c r="W32" s="4">
        <f t="shared" si="26"/>
        <v>0</v>
      </c>
      <c r="X32" s="4">
        <f>VLOOKUP($C32,'Comm Development'!$CG$14:$CR$33,COLUMNS('Comm Development'!$CG$14:$CR$14))+X31+W32</f>
        <v>0</v>
      </c>
      <c r="Y32" s="3">
        <f t="shared" si="42"/>
        <v>0</v>
      </c>
      <c r="Z32" s="3">
        <f t="shared" si="61"/>
        <v>0</v>
      </c>
      <c r="AA32" s="322">
        <f t="shared" si="43"/>
        <v>0</v>
      </c>
      <c r="AB32" s="297"/>
      <c r="AC32" s="268"/>
      <c r="AD32" s="4">
        <f t="shared" si="44"/>
        <v>0</v>
      </c>
      <c r="AE32" s="4">
        <f t="shared" si="45"/>
        <v>0</v>
      </c>
      <c r="AG32" s="4">
        <f t="shared" ca="1" si="9"/>
        <v>222341177.54094347</v>
      </c>
      <c r="AH32" s="18">
        <f t="shared" si="27"/>
        <v>3</v>
      </c>
      <c r="AI32" s="4">
        <f t="shared" ca="1" si="28"/>
        <v>653683.06197037373</v>
      </c>
      <c r="AJ32" s="4">
        <f t="shared" ca="1" si="11"/>
        <v>0</v>
      </c>
      <c r="AK32" s="3">
        <f t="shared" si="12"/>
        <v>0</v>
      </c>
      <c r="AL32" s="194">
        <f t="shared" si="13"/>
        <v>0</v>
      </c>
      <c r="AM32" s="4">
        <f t="shared" si="62"/>
        <v>0</v>
      </c>
      <c r="AN32" s="4">
        <f t="shared" si="63"/>
        <v>0</v>
      </c>
      <c r="AO32" s="97"/>
      <c r="AP32" s="4">
        <f t="shared" si="64"/>
        <v>0</v>
      </c>
      <c r="AQ32" s="4">
        <f t="shared" si="3"/>
        <v>0</v>
      </c>
      <c r="AR32" s="364">
        <f t="shared" ca="1" si="14"/>
        <v>653683.06197037373</v>
      </c>
      <c r="AT32" s="213">
        <f t="shared" ca="1" si="46"/>
        <v>0</v>
      </c>
      <c r="AU32" s="213">
        <f t="shared" ca="1" si="65"/>
        <v>-4000</v>
      </c>
      <c r="AV32" s="312">
        <f t="shared" si="70"/>
        <v>-74296.80970235006</v>
      </c>
      <c r="AX32" s="4">
        <f t="shared" ca="1" si="32"/>
        <v>575386.25226802367</v>
      </c>
      <c r="AZ32" s="4">
        <f t="shared" ca="1" si="15"/>
        <v>222341177.54094347</v>
      </c>
      <c r="BA32" s="18">
        <f t="shared" si="47"/>
        <v>3</v>
      </c>
      <c r="BB32" s="4">
        <f t="shared" ca="1" si="16"/>
        <v>653683.06197037373</v>
      </c>
      <c r="BC32" s="4">
        <f t="shared" ca="1" si="17"/>
        <v>0</v>
      </c>
      <c r="BD32" s="3">
        <f t="shared" si="18"/>
        <v>0</v>
      </c>
      <c r="BE32" s="194">
        <f t="shared" si="19"/>
        <v>0</v>
      </c>
      <c r="BF32" s="4">
        <f t="shared" si="4"/>
        <v>0</v>
      </c>
      <c r="BG32" s="4">
        <f t="shared" si="5"/>
        <v>0</v>
      </c>
      <c r="BH32" s="97"/>
      <c r="BI32" s="4">
        <f t="shared" si="6"/>
        <v>0</v>
      </c>
      <c r="BJ32" s="4">
        <f t="shared" si="7"/>
        <v>0</v>
      </c>
      <c r="BK32" s="96">
        <f t="shared" ca="1" si="71"/>
        <v>653683.06197037373</v>
      </c>
      <c r="BM32" s="213">
        <f t="shared" si="48"/>
        <v>-3000</v>
      </c>
      <c r="BO32" s="4">
        <f t="shared" ca="1" si="21"/>
        <v>650683.06197037373</v>
      </c>
      <c r="BQ32" s="4">
        <f ca="1">IF(AND(REFUND_FINANCING="Yes",$D32&gt;PREMIUM_CALL_FIRST),0, IF(ISERROR(VLOOKUP($D32,'Senior Lien DS - First'!$A$11:$O$81,COLUMNS('Senior Lien DS - First'!$A$11:$O$11),0)),0,VLOOKUP($D32,'Senior Lien DS - First'!$A$11:$O$81,COLUMNS('Senior Lien DS - First'!$A$11:$O$11),0)))</f>
        <v>436961.11527054396</v>
      </c>
      <c r="BR32" s="4">
        <f>IF(ISERROR(VLOOKUP($D32,'Senior Lien DS - Refunding'!$A$11:$O$81,COLUMNS('Senior Lien DS - Refunding'!$A$11:$O$11),0)),0,VLOOKUP($D32,'Senior Lien DS - Refunding'!$A$11:$O$81,COLUMNS('Senior Lien DS - Refunding'!$A$11:$O$11),0))</f>
        <v>0</v>
      </c>
      <c r="BS32" s="4">
        <f t="shared" ca="1" si="33"/>
        <v>436961.11527054396</v>
      </c>
      <c r="BT32" s="84">
        <f t="shared" ca="1" si="34"/>
        <v>1.3167905155857493</v>
      </c>
      <c r="BU32" s="4">
        <f t="shared" ca="1" si="49"/>
        <v>138425.13699747971</v>
      </c>
      <c r="BV32" s="4">
        <f t="shared" si="66"/>
        <v>0</v>
      </c>
      <c r="BW32" s="4">
        <f t="shared" ca="1" si="67"/>
        <v>0</v>
      </c>
      <c r="BX32" s="4">
        <f t="shared" ca="1" si="50"/>
        <v>138425.13699747971</v>
      </c>
      <c r="BY32" s="4">
        <f t="shared" ca="1" si="51"/>
        <v>138425.13699747971</v>
      </c>
      <c r="BZ32" s="4">
        <f t="shared" ca="1" si="52"/>
        <v>0</v>
      </c>
      <c r="CA32" s="4">
        <f t="shared" ca="1" si="35"/>
        <v>0</v>
      </c>
      <c r="CB32" s="14">
        <f ca="1">IF(ISERROR((VLOOKUP($D32,'Senior Lien DS - First'!$A$11:$P$71,COLUMNS('Senior Lien DS - First'!$A$11:$P$11)))/Summary!$AG33),"",(IF(REFUND_FINANCING="Yes",0,VLOOKUP($D32,'Senior Lien DS - First'!$A$11:$P$71,COLUMNS('Senior Lien DS - First'!$A$11:$P$11))))/Summary!$AG33)</f>
        <v>1.6899369627033384E-2</v>
      </c>
      <c r="CC32" s="10">
        <f ca="1">IF(ISERROR((VLOOKUP($C32,'Senior Lien DS - First'!$A$11:$P$71,COLUMNS('Senior Lien DS - First'!$A$11:$P$11)))/Summary!$M33),"",(VLOOKUP($C32,'Senior Lien DS - First'!$A$11:$P$71,COLUMNS('Senior Lien DS - First'!$A$11:$P$11)))/Summary!$M33)</f>
        <v>9.8212278557107072E-3</v>
      </c>
      <c r="CD32" s="9">
        <f t="shared" ca="1" si="36"/>
        <v>1.3167905155857493</v>
      </c>
      <c r="CE32" s="9">
        <f t="shared" ca="1" si="53"/>
        <v>1.3167905155857493</v>
      </c>
      <c r="CH32" s="4">
        <f t="shared" ca="1" si="73"/>
        <v>135425.13699747971</v>
      </c>
      <c r="CI32" s="309">
        <v>0</v>
      </c>
      <c r="CJ32" s="4">
        <f t="shared" ca="1" si="72"/>
        <v>135425.13699747971</v>
      </c>
      <c r="CK32" s="4">
        <f ca="1">IF(ISNA(VLOOKUP(DATE(YEAR($D32),PRIN_MATURITY,PRIN_MATURITY_DAY_SUB),'Sub Lien DS - First (Annual)'!$A$12:$H$96,COLUMNS('Sub Lien DS - First (Annual)'!$A$12:$H$12),0)),0,VLOOKUP(DATE(YEAR($D32),PRIN_MATURITY,PRIN_MATURITY_DAY_SUB),'Sub Lien DS - First (Annual)'!$A$12:$H$96,COLUMNS('Sub Lien DS - First (Annual)'!$A$12:$H$12),0))</f>
        <v>49643.75</v>
      </c>
      <c r="CL32" s="4">
        <f t="shared" ca="1" si="55"/>
        <v>49643.75</v>
      </c>
      <c r="CM32" s="4">
        <f t="shared" ca="1" si="37"/>
        <v>0</v>
      </c>
      <c r="CN32" s="4">
        <f t="shared" ca="1" si="56"/>
        <v>0</v>
      </c>
      <c r="CO32" s="4">
        <f t="shared" ca="1" si="68"/>
        <v>0</v>
      </c>
      <c r="CP32" s="4"/>
      <c r="CQ32" s="4">
        <f>IF(YEAR(DELIVERY)=YEAR($D32),'Sources and Uses - First'!$D$12,0)</f>
        <v>0</v>
      </c>
      <c r="CR32" s="4">
        <f ca="1">IF(ISNA(VLOOKUP(DATE(YEAR($D32),PRIN_MATURITY, PRIN_MATURITY_DAY_SUB),'Sub Lien DS - First (Annual)'!$A$12:$G$41,COLUMNS('Sub Lien DS - First (Annual)'!$A$12:$G$12),0)),0,VLOOKUP(DATE(YEAR($D32),PRIN_MATURITY, PRIN_MATURITY_DAY_SUB),'Sub Lien DS - First (Annual)'!$A$12:$G$41,COLUMNS('Sub Lien DS - First (Annual)'!$A$12:$G$12),0))</f>
        <v>85000</v>
      </c>
      <c r="CS32" s="4">
        <f ca="1">SUM($CQ$14:CQ32)-SUM($CR$14:CR32)</f>
        <v>-474000</v>
      </c>
      <c r="CT32" s="4">
        <f ca="1">SUM($CQ$14:CQ32)-SUM($CR$14:CR32)</f>
        <v>-474000</v>
      </c>
      <c r="CU32" s="4">
        <f t="shared" ca="1" si="57"/>
        <v>134643.75</v>
      </c>
      <c r="CV32" s="4">
        <f t="shared" ca="1" si="58"/>
        <v>134643.75</v>
      </c>
      <c r="CW32" s="4">
        <f t="shared" ca="1" si="59"/>
        <v>781.38699747971259</v>
      </c>
      <c r="CX32" s="4">
        <f t="shared" ca="1" si="69"/>
        <v>781.38699747971259</v>
      </c>
      <c r="CY32" s="4">
        <f ca="1">SUM($CW$14:CW32)-SUM($CX$14:CX32)</f>
        <v>0</v>
      </c>
    </row>
    <row r="33" spans="1:103" x14ac:dyDescent="0.25">
      <c r="A33">
        <f t="shared" si="22"/>
        <v>21</v>
      </c>
      <c r="B33" s="3">
        <f>VLOOKUP($C33,'Residential Development'!$D$14:$P$33,COLUMNS('Residential Development'!$D$14:$F$14))</f>
        <v>0</v>
      </c>
      <c r="C33" s="75">
        <f t="shared" si="38"/>
        <v>52657</v>
      </c>
      <c r="D33" s="75">
        <f t="shared" si="38"/>
        <v>53022</v>
      </c>
      <c r="E33" s="3">
        <f t="shared" si="39"/>
        <v>0</v>
      </c>
      <c r="F33" s="3">
        <f>VLOOKUP($C33,'Residential Development'!$DW$14:$EL$33,COLUMNS('Residential Development'!$DW$14:$DX$14))+F32+E33</f>
        <v>0</v>
      </c>
      <c r="G33" s="4">
        <f t="shared" si="23"/>
        <v>0</v>
      </c>
      <c r="H33" s="3">
        <f>VLOOKUP($C33,'Residential Development'!$D$14:$Q$33,COLUMNS('Residential Development'!$D$14:$Q$14))</f>
        <v>0</v>
      </c>
      <c r="I33" s="3">
        <f ca="1">VLOOKUP($C33,'Residential Development'!$AW$33:$BK34,COLUMNS('Residential Development'!$AW$13:$BK$33))</f>
        <v>0</v>
      </c>
      <c r="J33" s="4">
        <f t="shared" ca="1" si="24"/>
        <v>0</v>
      </c>
      <c r="K33" s="4">
        <f>VLOOKUP($C33,'Residential Development'!$CD$14:$CQ$33,COLUMNS('Residential Development'!$CD$14:$CQ$14))</f>
        <v>0</v>
      </c>
      <c r="L33" s="3">
        <f t="shared" ca="1" si="60"/>
        <v>4042566.8643807899</v>
      </c>
      <c r="M33" s="3">
        <f ca="1">VLOOKUP($C33,'Residential Development'!$EN$14:$FC$33,COLUMNS('Residential Development'!$EN$14:$FC$14))+M32+L33</f>
        <v>408299253.30245978</v>
      </c>
      <c r="N33" s="3">
        <f t="shared" ca="1" si="41"/>
        <v>224564589.3163529</v>
      </c>
      <c r="O33" s="322"/>
      <c r="P33" s="4">
        <f>VLOOKUP($C33,'Residential Development'!$AH$14:$AI$38,2)</f>
        <v>0</v>
      </c>
      <c r="Q33" s="4">
        <f t="shared" ca="1" si="8"/>
        <v>224564589.3163529</v>
      </c>
      <c r="R33" s="4"/>
      <c r="S33" s="4">
        <f t="shared" si="25"/>
        <v>0</v>
      </c>
      <c r="T33" s="4">
        <f>VLOOKUP($C33,'Comm Development'!$CG$14:$CR$33,COLUMNS('Comm Development'!$CG$14:$CR$14))+T32+S33</f>
        <v>0</v>
      </c>
      <c r="U33" s="3"/>
      <c r="V33" s="3">
        <f>VLOOKUP($C33,'Comm Development'!$BG$14:$BR$33,COLUMNS('Comm Development'!$BG$14:$BR$14))</f>
        <v>0</v>
      </c>
      <c r="W33" s="4">
        <f t="shared" si="26"/>
        <v>0</v>
      </c>
      <c r="X33" s="4">
        <f>VLOOKUP($C33,'Comm Development'!$CG$14:$CR$33,COLUMNS('Comm Development'!$CG$14:$CR$14))+X32+W33</f>
        <v>0</v>
      </c>
      <c r="Y33" s="3">
        <f t="shared" si="42"/>
        <v>0</v>
      </c>
      <c r="Z33" s="3">
        <f t="shared" si="61"/>
        <v>0</v>
      </c>
      <c r="AA33" s="322">
        <f t="shared" si="43"/>
        <v>0</v>
      </c>
      <c r="AB33" s="297"/>
      <c r="AC33" s="268"/>
      <c r="AD33" s="4">
        <f t="shared" si="44"/>
        <v>0</v>
      </c>
      <c r="AE33" s="4">
        <f t="shared" si="45"/>
        <v>0</v>
      </c>
      <c r="AG33" s="4">
        <f t="shared" ca="1" si="9"/>
        <v>224564589.3163529</v>
      </c>
      <c r="AH33" s="18">
        <f t="shared" si="27"/>
        <v>3</v>
      </c>
      <c r="AI33" s="4">
        <f t="shared" ca="1" si="28"/>
        <v>660219.89259007748</v>
      </c>
      <c r="AJ33" s="4">
        <f t="shared" ca="1" si="11"/>
        <v>0</v>
      </c>
      <c r="AK33" s="3">
        <f t="shared" si="12"/>
        <v>0</v>
      </c>
      <c r="AL33" s="194">
        <f t="shared" si="13"/>
        <v>0</v>
      </c>
      <c r="AM33" s="4">
        <f t="shared" si="62"/>
        <v>0</v>
      </c>
      <c r="AN33" s="4">
        <f t="shared" si="63"/>
        <v>0</v>
      </c>
      <c r="AO33" s="97"/>
      <c r="AP33" s="4">
        <f t="shared" si="64"/>
        <v>0</v>
      </c>
      <c r="AQ33" s="4">
        <f t="shared" si="3"/>
        <v>0</v>
      </c>
      <c r="AR33" s="364">
        <f t="shared" ca="1" si="14"/>
        <v>660219.89259007748</v>
      </c>
      <c r="AT33" s="213">
        <f t="shared" ca="1" si="46"/>
        <v>0</v>
      </c>
      <c r="AU33" s="213">
        <f t="shared" ca="1" si="65"/>
        <v>-4000</v>
      </c>
      <c r="AV33" s="312">
        <f t="shared" si="70"/>
        <v>-75782.745896397057</v>
      </c>
      <c r="AX33" s="4">
        <f t="shared" ca="1" si="32"/>
        <v>580437.14669368044</v>
      </c>
      <c r="AZ33" s="4">
        <f t="shared" ca="1" si="15"/>
        <v>224564589.3163529</v>
      </c>
      <c r="BA33" s="18">
        <f t="shared" si="47"/>
        <v>3</v>
      </c>
      <c r="BB33" s="4">
        <f t="shared" ca="1" si="16"/>
        <v>660219.89259007748</v>
      </c>
      <c r="BC33" s="4">
        <f t="shared" ca="1" si="17"/>
        <v>0</v>
      </c>
      <c r="BD33" s="3">
        <f t="shared" si="18"/>
        <v>0</v>
      </c>
      <c r="BE33" s="194">
        <f t="shared" si="19"/>
        <v>0</v>
      </c>
      <c r="BF33" s="4">
        <f t="shared" si="4"/>
        <v>0</v>
      </c>
      <c r="BG33" s="4">
        <f t="shared" si="5"/>
        <v>0</v>
      </c>
      <c r="BH33" s="97"/>
      <c r="BI33" s="4">
        <f t="shared" si="6"/>
        <v>0</v>
      </c>
      <c r="BJ33" s="4">
        <f t="shared" si="7"/>
        <v>0</v>
      </c>
      <c r="BK33" s="96">
        <f ca="1">+BB33+BC33+BF33+BG33+BI33+BJ33</f>
        <v>660219.89259007748</v>
      </c>
      <c r="BM33" s="213">
        <f t="shared" si="48"/>
        <v>-3000</v>
      </c>
      <c r="BO33" s="4">
        <f t="shared" ca="1" si="21"/>
        <v>657219.89259007748</v>
      </c>
      <c r="BQ33" s="4">
        <f ca="1">IF(AND(REFUND_FINANCING="Yes",$D33&gt;PREMIUM_CALL_FIRST),0, IF(ISERROR(VLOOKUP($D33,'Senior Lien DS - First'!$A$11:$O$81,COLUMNS('Senior Lien DS - First'!$A$11:$O$11),0)),0,VLOOKUP($D33,'Senior Lien DS - First'!$A$11:$O$81,COLUMNS('Senior Lien DS - First'!$A$11:$O$11),0)))</f>
        <v>439329.86527054396</v>
      </c>
      <c r="BR33" s="4">
        <f>IF(ISERROR(VLOOKUP($D33,'Senior Lien DS - Refunding'!$A$11:$O$81,COLUMNS('Senior Lien DS - Refunding'!$A$11:$O$11),0)),0,VLOOKUP($D33,'Senior Lien DS - Refunding'!$A$11:$O$81,COLUMNS('Senior Lien DS - Refunding'!$A$11:$O$11),0))</f>
        <v>0</v>
      </c>
      <c r="BS33" s="4">
        <f t="shared" ca="1" si="33"/>
        <v>439329.86527054396</v>
      </c>
      <c r="BT33" s="84">
        <f t="shared" ca="1" si="34"/>
        <v>1.3211875462557983</v>
      </c>
      <c r="BU33" s="4">
        <f t="shared" ca="1" si="49"/>
        <v>141107.28142313648</v>
      </c>
      <c r="BV33" s="4">
        <f t="shared" si="66"/>
        <v>0</v>
      </c>
      <c r="BW33" s="4">
        <f t="shared" ca="1" si="67"/>
        <v>0</v>
      </c>
      <c r="BX33" s="4">
        <f t="shared" ca="1" si="50"/>
        <v>141107.28142313648</v>
      </c>
      <c r="BY33" s="4">
        <f t="shared" ca="1" si="51"/>
        <v>141107.28142313648</v>
      </c>
      <c r="BZ33" s="4">
        <f t="shared" ca="1" si="52"/>
        <v>0</v>
      </c>
      <c r="CA33" s="4">
        <f t="shared" ca="1" si="35"/>
        <v>0</v>
      </c>
      <c r="CB33" s="14">
        <f ca="1">IF(ISERROR((VLOOKUP($D33,'Senior Lien DS - First'!$A$11:$P$71,COLUMNS('Senior Lien DS - First'!$A$11:$P$11)))/Summary!$AG34),"",(IF(REFUND_FINANCING="Yes",0,VLOOKUP($D33,'Senior Lien DS - First'!$A$11:$P$71,COLUMNS('Senior Lien DS - First'!$A$11:$P$11))))/Summary!$AG34)</f>
        <v>1.5717985551696217E-2</v>
      </c>
      <c r="CC33" s="10">
        <f ca="1">IF(ISERROR((VLOOKUP($C33,'Senior Lien DS - First'!$A$11:$P$71,COLUMNS('Senior Lien DS - First'!$A$11:$P$11)))/Summary!$M34),"",(VLOOKUP($C33,'Senior Lien DS - First'!$A$11:$P$71,COLUMNS('Senior Lien DS - First'!$A$11:$P$11)))/Summary!$M34)</f>
        <v>9.2026270246221408E-3</v>
      </c>
      <c r="CD33" s="9">
        <f t="shared" ca="1" si="36"/>
        <v>1.3211875462557983</v>
      </c>
      <c r="CE33" s="9">
        <f t="shared" ca="1" si="53"/>
        <v>1.3211875462557983</v>
      </c>
      <c r="CH33" s="4">
        <f t="shared" ca="1" si="73"/>
        <v>138107.28142313648</v>
      </c>
      <c r="CI33" s="309">
        <v>0</v>
      </c>
      <c r="CJ33" s="4">
        <f t="shared" ca="1" si="72"/>
        <v>138107.28142313648</v>
      </c>
      <c r="CK33" s="4">
        <f ca="1">IF(ISNA(VLOOKUP(DATE(YEAR($D33),PRIN_MATURITY,PRIN_MATURITY_DAY_SUB),'Sub Lien DS - First (Annual)'!$A$12:$H$96,COLUMNS('Sub Lien DS - First (Annual)'!$A$12:$H$12),0)),0,VLOOKUP(DATE(YEAR($D33),PRIN_MATURITY,PRIN_MATURITY_DAY_SUB),'Sub Lien DS - First (Annual)'!$A$12:$H$96,COLUMNS('Sub Lien DS - First (Annual)'!$A$12:$H$12),0))</f>
        <v>42737.5</v>
      </c>
      <c r="CL33" s="4">
        <f t="shared" ca="1" si="55"/>
        <v>42737.5</v>
      </c>
      <c r="CM33" s="4">
        <f t="shared" ca="1" si="37"/>
        <v>0</v>
      </c>
      <c r="CN33" s="4">
        <f t="shared" ca="1" si="56"/>
        <v>0</v>
      </c>
      <c r="CO33" s="4">
        <f t="shared" ca="1" si="68"/>
        <v>0</v>
      </c>
      <c r="CP33" s="4"/>
      <c r="CQ33" s="4">
        <f>IF(YEAR(DELIVERY)=YEAR($D33),'Sources and Uses - First'!$D$12,0)</f>
        <v>0</v>
      </c>
      <c r="CR33" s="4">
        <f ca="1">IF(ISNA(VLOOKUP(DATE(YEAR($D33),PRIN_MATURITY, PRIN_MATURITY_DAY_SUB),'Sub Lien DS - First (Annual)'!$A$12:$G$41,COLUMNS('Sub Lien DS - First (Annual)'!$A$12:$G$12),0)),0,VLOOKUP(DATE(YEAR($D33),PRIN_MATURITY, PRIN_MATURITY_DAY_SUB),'Sub Lien DS - First (Annual)'!$A$12:$G$41,COLUMNS('Sub Lien DS - First (Annual)'!$A$12:$G$12),0))</f>
        <v>95000</v>
      </c>
      <c r="CS33" s="4">
        <f ca="1">SUM($CQ$14:CQ33)-SUM($CR$14:CR33)</f>
        <v>-569000</v>
      </c>
      <c r="CT33" s="4">
        <f ca="1">SUM($CQ$14:CQ33)-SUM($CR$14:CR33)</f>
        <v>-569000</v>
      </c>
      <c r="CU33" s="4">
        <f t="shared" ca="1" si="57"/>
        <v>137737.5</v>
      </c>
      <c r="CV33" s="4">
        <f t="shared" ca="1" si="58"/>
        <v>137737.5</v>
      </c>
      <c r="CW33" s="4">
        <f t="shared" ca="1" si="59"/>
        <v>369.7814231364755</v>
      </c>
      <c r="CX33" s="4">
        <f t="shared" ca="1" si="69"/>
        <v>369.7814231364755</v>
      </c>
      <c r="CY33" s="4">
        <f ca="1">SUM($CW$14:CW33)-SUM($CX$14:CX33)</f>
        <v>0</v>
      </c>
    </row>
    <row r="34" spans="1:103" x14ac:dyDescent="0.25">
      <c r="A34">
        <f t="shared" si="22"/>
        <v>22</v>
      </c>
      <c r="B34" s="3">
        <f>VLOOKUP($C34,'Residential Development'!$D$14:$P$33,COLUMNS('Residential Development'!$D$14:$F$14))</f>
        <v>0</v>
      </c>
      <c r="C34" s="75">
        <f t="shared" si="38"/>
        <v>53022</v>
      </c>
      <c r="D34" s="75">
        <f t="shared" si="38"/>
        <v>53387</v>
      </c>
      <c r="E34" s="3">
        <f t="shared" si="39"/>
        <v>0</v>
      </c>
      <c r="F34" s="3">
        <f>VLOOKUP($C34,'Residential Development'!$DW$14:$EL$33,COLUMNS('Residential Development'!$DW$14:$DX$14))+F33+E34</f>
        <v>0</v>
      </c>
      <c r="G34" s="4">
        <f t="shared" si="23"/>
        <v>0</v>
      </c>
      <c r="H34" s="3">
        <f>VLOOKUP($C34,'Residential Development'!$D$14:$Q$33,COLUMNS('Residential Development'!$D$14:$Q$14))</f>
        <v>0</v>
      </c>
      <c r="I34" s="3">
        <f ca="1">VLOOKUP($C34,'Residential Development'!$AW$33:$BK35,COLUMNS('Residential Development'!$AW$13:$BK$33))</f>
        <v>0</v>
      </c>
      <c r="J34" s="4">
        <f t="shared" ca="1" si="24"/>
        <v>0</v>
      </c>
      <c r="K34" s="4">
        <f>VLOOKUP($C34,'Residential Development'!$CD$14:$CQ$33,COLUMNS('Residential Development'!$CD$14:$CQ$14))</f>
        <v>0</v>
      </c>
      <c r="L34" s="3">
        <f t="shared" ca="1" si="60"/>
        <v>4082992.5330245979</v>
      </c>
      <c r="M34" s="3">
        <f ca="1">VLOOKUP($C34,'Residential Development'!$EN$14:$FC$33,COLUMNS('Residential Development'!$EN$14:$FC$14))+M33+L34</f>
        <v>412382245.83548439</v>
      </c>
      <c r="N34" s="3">
        <f t="shared" ca="1" si="41"/>
        <v>226810235.20951644</v>
      </c>
      <c r="O34" s="322"/>
      <c r="P34" s="4">
        <f>VLOOKUP($C34,'Residential Development'!$AH$14:$AI$38,2)</f>
        <v>0</v>
      </c>
      <c r="Q34" s="4">
        <f t="shared" ca="1" si="8"/>
        <v>226810235.20951644</v>
      </c>
      <c r="R34" s="4"/>
      <c r="S34" s="4">
        <f t="shared" si="25"/>
        <v>0</v>
      </c>
      <c r="T34" s="4">
        <f>VLOOKUP($C34,'Comm Development'!$CG$14:$CR$33,COLUMNS('Comm Development'!$CG$14:$CR$14))+T33+S34</f>
        <v>0</v>
      </c>
      <c r="U34" s="3"/>
      <c r="V34" s="3">
        <f>VLOOKUP($C34,'Comm Development'!$BG$14:$BR$33,COLUMNS('Comm Development'!$BG$14:$BR$14))</f>
        <v>0</v>
      </c>
      <c r="W34" s="4">
        <f t="shared" si="26"/>
        <v>0</v>
      </c>
      <c r="X34" s="4">
        <f>VLOOKUP($C34,'Comm Development'!$CG$14:$CR$33,COLUMNS('Comm Development'!$CG$14:$CR$14))+X33+W34</f>
        <v>0</v>
      </c>
      <c r="Y34" s="3">
        <f t="shared" si="42"/>
        <v>0</v>
      </c>
      <c r="Z34" s="3">
        <f t="shared" si="61"/>
        <v>0</v>
      </c>
      <c r="AA34" s="322">
        <f t="shared" si="43"/>
        <v>0</v>
      </c>
      <c r="AB34" s="297"/>
      <c r="AC34" s="268"/>
      <c r="AD34" s="4">
        <f t="shared" si="44"/>
        <v>0</v>
      </c>
      <c r="AE34" s="4">
        <f t="shared" si="45"/>
        <v>0</v>
      </c>
      <c r="AG34" s="4">
        <f t="shared" ca="1" si="9"/>
        <v>226810235.20951644</v>
      </c>
      <c r="AH34" s="18">
        <f t="shared" si="27"/>
        <v>3</v>
      </c>
      <c r="AI34" s="4">
        <f ca="1">AG34/1000*AH34*TAX_COLLECT_MILL_PRC</f>
        <v>666822.09151597822</v>
      </c>
      <c r="AJ34" s="4">
        <f t="shared" ca="1" si="11"/>
        <v>0</v>
      </c>
      <c r="AK34" s="3">
        <f t="shared" si="12"/>
        <v>0</v>
      </c>
      <c r="AL34" s="194">
        <f t="shared" si="13"/>
        <v>0</v>
      </c>
      <c r="AM34" s="4">
        <f t="shared" si="62"/>
        <v>0</v>
      </c>
      <c r="AN34" s="4">
        <f t="shared" si="63"/>
        <v>0</v>
      </c>
      <c r="AO34" s="97"/>
      <c r="AP34" s="4">
        <f t="shared" si="64"/>
        <v>0</v>
      </c>
      <c r="AQ34" s="4">
        <f t="shared" si="3"/>
        <v>0</v>
      </c>
      <c r="AR34" s="364">
        <f ca="1">+AI34+AJ34+AM34+AN34+AP34+AQ34</f>
        <v>666822.09151597822</v>
      </c>
      <c r="AT34" s="213">
        <f t="shared" ca="1" si="46"/>
        <v>0</v>
      </c>
      <c r="AU34" s="213">
        <f t="shared" ca="1" si="65"/>
        <v>-4000</v>
      </c>
      <c r="AV34" s="312">
        <f t="shared" si="70"/>
        <v>-77298.400814324996</v>
      </c>
      <c r="AX34" s="4">
        <f ca="1">AR34+SUM(AT34:AV34)</f>
        <v>585523.69070165325</v>
      </c>
      <c r="AZ34" s="4">
        <f t="shared" ca="1" si="15"/>
        <v>226810235.20951644</v>
      </c>
      <c r="BA34" s="18">
        <f t="shared" si="47"/>
        <v>3</v>
      </c>
      <c r="BB34" s="4">
        <f t="shared" ca="1" si="16"/>
        <v>666822.09151597822</v>
      </c>
      <c r="BC34" s="4">
        <f t="shared" ca="1" si="17"/>
        <v>0</v>
      </c>
      <c r="BD34" s="3">
        <f t="shared" si="18"/>
        <v>0</v>
      </c>
      <c r="BE34" s="194">
        <f t="shared" si="19"/>
        <v>0</v>
      </c>
      <c r="BF34" s="4">
        <f t="shared" si="4"/>
        <v>0</v>
      </c>
      <c r="BG34" s="4">
        <f t="shared" si="5"/>
        <v>0</v>
      </c>
      <c r="BH34" s="97"/>
      <c r="BI34" s="4">
        <f t="shared" si="6"/>
        <v>0</v>
      </c>
      <c r="BJ34" s="4">
        <f t="shared" si="7"/>
        <v>0</v>
      </c>
      <c r="BK34" s="96">
        <f t="shared" ca="1" si="71"/>
        <v>666822.09151597822</v>
      </c>
      <c r="BM34" s="213">
        <f t="shared" si="48"/>
        <v>-3000</v>
      </c>
      <c r="BO34" s="4">
        <f t="shared" ca="1" si="21"/>
        <v>663822.09151597822</v>
      </c>
      <c r="BQ34" s="4">
        <f ca="1">IF(AND(REFUND_FINANCING="Yes",$D34&gt;PREMIUM_CALL_FIRST),0, IF(ISERROR(VLOOKUP($D34,'Senior Lien DS - First'!$A$11:$O$81,COLUMNS('Senior Lien DS - First'!$A$11:$O$11),0)),0,VLOOKUP($D34,'Senior Lien DS - First'!$A$11:$O$81,COLUMNS('Senior Lien DS - First'!$A$11:$O$11),0)))</f>
        <v>445817.36527054396</v>
      </c>
      <c r="BR34" s="4">
        <f>IF(ISERROR(VLOOKUP($D34,'Senior Lien DS - Refunding'!$A$11:$O$81,COLUMNS('Senior Lien DS - Refunding'!$A$11:$O$11),0)),0,VLOOKUP($D34,'Senior Lien DS - Refunding'!$A$11:$O$81,COLUMNS('Senior Lien DS - Refunding'!$A$11:$O$11),0))</f>
        <v>0</v>
      </c>
      <c r="BS34" s="4">
        <f t="shared" ca="1" si="33"/>
        <v>445817.36527054396</v>
      </c>
      <c r="BT34" s="84">
        <f t="shared" ca="1" si="34"/>
        <v>1.3133712060460647</v>
      </c>
      <c r="BU34" s="4">
        <f t="shared" ca="1" si="49"/>
        <v>139706.32543110929</v>
      </c>
      <c r="BV34" s="4">
        <f t="shared" si="66"/>
        <v>0</v>
      </c>
      <c r="BW34" s="4">
        <f t="shared" ca="1" si="67"/>
        <v>0</v>
      </c>
      <c r="BX34" s="4">
        <f t="shared" ca="1" si="50"/>
        <v>139706.32543110929</v>
      </c>
      <c r="BY34" s="4">
        <f t="shared" ca="1" si="51"/>
        <v>139706.32543110929</v>
      </c>
      <c r="BZ34" s="4">
        <f t="shared" ca="1" si="52"/>
        <v>0</v>
      </c>
      <c r="CA34" s="4">
        <f t="shared" ca="1" si="35"/>
        <v>0</v>
      </c>
      <c r="CB34" s="14">
        <f ca="1">IF(ISERROR((VLOOKUP($D34,'Senior Lien DS - First'!$A$11:$P$71,COLUMNS('Senior Lien DS - First'!$A$11:$P$11)))/Summary!$AG35),"",(IF(REFUND_FINANCING="Yes",0,VLOOKUP($D34,'Senior Lien DS - First'!$A$11:$P$71,COLUMNS('Senior Lien DS - First'!$A$11:$P$11))))/Summary!$AG35)</f>
        <v>1.4471032203594619E-2</v>
      </c>
      <c r="CC34" s="10">
        <f ca="1">IF(ISERROR((VLOOKUP($C34,'Senior Lien DS - First'!$A$11:$P$71,COLUMNS('Senior Lien DS - First'!$A$11:$P$11)))/Summary!$M35),"",(VLOOKUP($C34,'Senior Lien DS - First'!$A$11:$P$71,COLUMNS('Senior Lien DS - First'!$A$11:$P$11)))/Summary!$M35)</f>
        <v>8.5592990628048718E-3</v>
      </c>
      <c r="CD34" s="9">
        <f t="shared" ca="1" si="36"/>
        <v>1.3133712060460647</v>
      </c>
      <c r="CE34" s="9">
        <f t="shared" ca="1" si="53"/>
        <v>1.3133712060460647</v>
      </c>
      <c r="CH34" s="4">
        <f t="shared" ca="1" si="73"/>
        <v>136706.32543110929</v>
      </c>
      <c r="CI34" s="309">
        <v>0</v>
      </c>
      <c r="CJ34" s="4">
        <f t="shared" ca="1" si="72"/>
        <v>136706.32543110929</v>
      </c>
      <c r="CK34" s="4">
        <f ca="1">IF(ISNA(VLOOKUP(DATE(YEAR($D34),PRIN_MATURITY,PRIN_MATURITY_DAY_SUB),'Sub Lien DS - First (Annual)'!$A$12:$H$96,COLUMNS('Sub Lien DS - First (Annual)'!$A$12:$H$12),0)),0,VLOOKUP(DATE(YEAR($D34),PRIN_MATURITY,PRIN_MATURITY_DAY_SUB),'Sub Lien DS - First (Annual)'!$A$12:$H$96,COLUMNS('Sub Lien DS - First (Annual)'!$A$12:$H$12),0))</f>
        <v>35018.75</v>
      </c>
      <c r="CL34" s="4">
        <f t="shared" ca="1" si="55"/>
        <v>35018.75</v>
      </c>
      <c r="CM34" s="4">
        <f t="shared" ca="1" si="37"/>
        <v>0</v>
      </c>
      <c r="CN34" s="4">
        <f t="shared" ca="1" si="56"/>
        <v>0</v>
      </c>
      <c r="CO34" s="4">
        <f t="shared" ca="1" si="68"/>
        <v>0</v>
      </c>
      <c r="CP34" s="4"/>
      <c r="CQ34" s="4">
        <f>IF(YEAR(DELIVERY)=YEAR($D34),'Sources and Uses - First'!$D$12,0)</f>
        <v>0</v>
      </c>
      <c r="CR34" s="4">
        <f ca="1">IF(ISNA(VLOOKUP(DATE(YEAR($D34),PRIN_MATURITY, PRIN_MATURITY_DAY_SUB),'Sub Lien DS - First (Annual)'!$A$12:$G$41,COLUMNS('Sub Lien DS - First (Annual)'!$A$12:$G$12),0)),0,VLOOKUP(DATE(YEAR($D34),PRIN_MATURITY, PRIN_MATURITY_DAY_SUB),'Sub Lien DS - First (Annual)'!$A$12:$G$41,COLUMNS('Sub Lien DS - First (Annual)'!$A$12:$G$12),0))</f>
        <v>101000</v>
      </c>
      <c r="CS34" s="4">
        <f ca="1">SUM($CQ$14:CQ34)-SUM($CR$14:CR34)</f>
        <v>-670000</v>
      </c>
      <c r="CT34" s="4">
        <f ca="1">SUM($CQ$14:CQ34)-SUM($CR$14:CR34)</f>
        <v>-670000</v>
      </c>
      <c r="CU34" s="4">
        <f t="shared" ca="1" si="57"/>
        <v>136018.75</v>
      </c>
      <c r="CV34" s="4">
        <f t="shared" ca="1" si="58"/>
        <v>136018.75</v>
      </c>
      <c r="CW34" s="4">
        <f t="shared" ca="1" si="59"/>
        <v>687.57543110928964</v>
      </c>
      <c r="CX34" s="4">
        <f t="shared" ca="1" si="69"/>
        <v>687.57543110928964</v>
      </c>
      <c r="CY34" s="4">
        <f ca="1">SUM($CW$14:CW34)-SUM($CX$14:CX34)</f>
        <v>0</v>
      </c>
    </row>
    <row r="35" spans="1:103" x14ac:dyDescent="0.25">
      <c r="A35">
        <f t="shared" si="22"/>
        <v>23</v>
      </c>
      <c r="B35" s="3">
        <f>VLOOKUP($C35,'Residential Development'!$D$14:$P$33,COLUMNS('Residential Development'!$D$14:$F$14))</f>
        <v>0</v>
      </c>
      <c r="C35" s="75">
        <f t="shared" si="38"/>
        <v>53387</v>
      </c>
      <c r="D35" s="75">
        <f t="shared" si="38"/>
        <v>53752</v>
      </c>
      <c r="E35" s="3">
        <f t="shared" si="39"/>
        <v>0</v>
      </c>
      <c r="F35" s="3">
        <f>VLOOKUP($C35,'Residential Development'!$DW$14:$EL$33,COLUMNS('Residential Development'!$DW$14:$DX$14))+F34+E35</f>
        <v>0</v>
      </c>
      <c r="G35" s="4">
        <f t="shared" si="23"/>
        <v>0</v>
      </c>
      <c r="H35" s="3">
        <f>VLOOKUP($C35,'Residential Development'!$D$14:$Q$33,COLUMNS('Residential Development'!$D$14:$Q$14))</f>
        <v>0</v>
      </c>
      <c r="I35" s="3">
        <f ca="1">VLOOKUP($C35,'Residential Development'!$AW$33:$BK36,COLUMNS('Residential Development'!$AW$13:$BK$33))</f>
        <v>0</v>
      </c>
      <c r="J35" s="4">
        <f t="shared" ca="1" si="24"/>
        <v>0</v>
      </c>
      <c r="K35" s="4">
        <f>VLOOKUP($C35,'Residential Development'!$CD$14:$CQ$33,COLUMNS('Residential Development'!$CD$14:$CQ$14))</f>
        <v>0</v>
      </c>
      <c r="L35" s="3">
        <f t="shared" ca="1" si="60"/>
        <v>4123822.4583548438</v>
      </c>
      <c r="M35" s="3">
        <f ca="1">VLOOKUP($C35,'Residential Development'!$EN$14:$FC$33,COLUMNS('Residential Development'!$EN$14:$FC$14))+M34+L35</f>
        <v>416506068.29383922</v>
      </c>
      <c r="N35" s="3">
        <f t="shared" ca="1" si="41"/>
        <v>229078337.56161159</v>
      </c>
      <c r="O35" s="322"/>
      <c r="P35" s="4">
        <f>VLOOKUP($C35,'Residential Development'!$AH$14:$AI$38,2)</f>
        <v>0</v>
      </c>
      <c r="Q35" s="4">
        <f t="shared" ca="1" si="8"/>
        <v>229078337.56161159</v>
      </c>
      <c r="R35" s="4"/>
      <c r="S35" s="4">
        <f t="shared" si="25"/>
        <v>0</v>
      </c>
      <c r="T35" s="4">
        <f>VLOOKUP($C35,'Comm Development'!$CG$14:$CR$33,COLUMNS('Comm Development'!$CG$14:$CR$14))+T34+S35</f>
        <v>0</v>
      </c>
      <c r="U35" s="3"/>
      <c r="V35" s="3">
        <f>VLOOKUP($C35,'Comm Development'!$BG$14:$BR$33,COLUMNS('Comm Development'!$BG$14:$BR$14))</f>
        <v>0</v>
      </c>
      <c r="W35" s="4">
        <f t="shared" si="26"/>
        <v>0</v>
      </c>
      <c r="X35" s="4">
        <f>VLOOKUP($C35,'Comm Development'!$CG$14:$CR$33,COLUMNS('Comm Development'!$CG$14:$CR$14))+X34+W35</f>
        <v>0</v>
      </c>
      <c r="Y35" s="3">
        <f t="shared" si="42"/>
        <v>0</v>
      </c>
      <c r="Z35" s="3">
        <f>U35+Y35</f>
        <v>0</v>
      </c>
      <c r="AA35" s="322">
        <f t="shared" si="43"/>
        <v>0</v>
      </c>
      <c r="AB35" s="297"/>
      <c r="AC35" s="268"/>
      <c r="AD35" s="4">
        <f t="shared" si="44"/>
        <v>0</v>
      </c>
      <c r="AE35" s="4">
        <f t="shared" si="45"/>
        <v>0</v>
      </c>
      <c r="AG35" s="4">
        <f t="shared" ca="1" si="9"/>
        <v>229078337.56161159</v>
      </c>
      <c r="AH35" s="18">
        <f t="shared" si="27"/>
        <v>3</v>
      </c>
      <c r="AI35" s="4">
        <f t="shared" ca="1" si="28"/>
        <v>673490.31243113801</v>
      </c>
      <c r="AJ35" s="4">
        <f t="shared" ca="1" si="11"/>
        <v>0</v>
      </c>
      <c r="AK35" s="3">
        <f t="shared" si="12"/>
        <v>0</v>
      </c>
      <c r="AL35" s="194">
        <f t="shared" si="13"/>
        <v>0</v>
      </c>
      <c r="AM35" s="4">
        <f t="shared" si="62"/>
        <v>0</v>
      </c>
      <c r="AN35" s="4">
        <f t="shared" si="63"/>
        <v>0</v>
      </c>
      <c r="AO35" s="97"/>
      <c r="AP35" s="4">
        <f t="shared" si="64"/>
        <v>0</v>
      </c>
      <c r="AQ35" s="4">
        <f t="shared" si="3"/>
        <v>0</v>
      </c>
      <c r="AR35" s="364">
        <f t="shared" ca="1" si="14"/>
        <v>673490.31243113801</v>
      </c>
      <c r="AT35" s="213">
        <f t="shared" ca="1" si="46"/>
        <v>0</v>
      </c>
      <c r="AU35" s="213">
        <f t="shared" ca="1" si="65"/>
        <v>-4000</v>
      </c>
      <c r="AV35" s="312">
        <f t="shared" si="70"/>
        <v>-78844.368830611493</v>
      </c>
      <c r="AX35" s="4">
        <f t="shared" ca="1" si="32"/>
        <v>590645.94360052655</v>
      </c>
      <c r="AZ35" s="4">
        <f t="shared" ca="1" si="15"/>
        <v>229078337.56161159</v>
      </c>
      <c r="BA35" s="18">
        <f t="shared" si="47"/>
        <v>3</v>
      </c>
      <c r="BB35" s="4">
        <f t="shared" ca="1" si="16"/>
        <v>673490.31243113801</v>
      </c>
      <c r="BC35" s="4">
        <f t="shared" ca="1" si="17"/>
        <v>0</v>
      </c>
      <c r="BD35" s="3">
        <f t="shared" si="18"/>
        <v>0</v>
      </c>
      <c r="BE35" s="194">
        <f t="shared" si="19"/>
        <v>0</v>
      </c>
      <c r="BF35" s="4">
        <f t="shared" si="4"/>
        <v>0</v>
      </c>
      <c r="BG35" s="4">
        <f t="shared" si="5"/>
        <v>0</v>
      </c>
      <c r="BH35" s="97"/>
      <c r="BI35" s="4">
        <f t="shared" si="6"/>
        <v>0</v>
      </c>
      <c r="BJ35" s="4">
        <f t="shared" si="7"/>
        <v>0</v>
      </c>
      <c r="BK35" s="96">
        <f t="shared" ca="1" si="71"/>
        <v>673490.31243113801</v>
      </c>
      <c r="BM35" s="213">
        <f t="shared" si="48"/>
        <v>-3000</v>
      </c>
      <c r="BO35" s="4">
        <f t="shared" ca="1" si="21"/>
        <v>670490.31243113801</v>
      </c>
      <c r="BQ35" s="4">
        <f ca="1">IF(AND(REFUND_FINANCING="Yes",$D35&gt;PREMIUM_CALL_FIRST),0, IF(ISERROR(VLOOKUP($D35,'Senior Lien DS - First'!$A$11:$O$81,COLUMNS('Senior Lien DS - First'!$A$11:$O$11),0)),0,VLOOKUP($D35,'Senior Lien DS - First'!$A$11:$O$81,COLUMNS('Senior Lien DS - First'!$A$11:$O$11),0)))</f>
        <v>451129.86527054396</v>
      </c>
      <c r="BR35" s="4">
        <f>IF(ISERROR(VLOOKUP($D35,'Senior Lien DS - Refunding'!$A$11:$O$81,COLUMNS('Senior Lien DS - Refunding'!$A$11:$O$11),0)),0,VLOOKUP($D35,'Senior Lien DS - Refunding'!$A$11:$O$81,COLUMNS('Senior Lien DS - Refunding'!$A$11:$O$11),0))</f>
        <v>0</v>
      </c>
      <c r="BS35" s="4">
        <f t="shared" ca="1" si="33"/>
        <v>451129.86527054396</v>
      </c>
      <c r="BT35" s="84">
        <f t="shared" ca="1" si="34"/>
        <v>1.3092592379055072</v>
      </c>
      <c r="BU35" s="4">
        <f t="shared" ca="1" si="49"/>
        <v>139516.07832998259</v>
      </c>
      <c r="BV35" s="4">
        <f t="shared" si="66"/>
        <v>0</v>
      </c>
      <c r="BW35" s="4">
        <f t="shared" ca="1" si="67"/>
        <v>0</v>
      </c>
      <c r="BX35" s="4">
        <f t="shared" ca="1" si="50"/>
        <v>139516.07832998259</v>
      </c>
      <c r="BY35" s="4">
        <f t="shared" ca="1" si="51"/>
        <v>139516.07832998259</v>
      </c>
      <c r="BZ35" s="4">
        <f t="shared" ca="1" si="52"/>
        <v>0</v>
      </c>
      <c r="CA35" s="4">
        <f t="shared" ca="1" si="35"/>
        <v>0</v>
      </c>
      <c r="CB35" s="14">
        <f ca="1">IF(ISERROR((VLOOKUP($D35,'Senior Lien DS - First'!$A$11:$P$71,COLUMNS('Senior Lien DS - First'!$A$11:$P$11)))/Summary!$AG36),"",(IF(REFUND_FINANCING="Yes",0,VLOOKUP($D35,'Senior Lien DS - First'!$A$11:$P$71,COLUMNS('Senior Lien DS - First'!$A$11:$P$11))))/Summary!$AG36)</f>
        <v>1.3160788214370805E-2</v>
      </c>
      <c r="CC35" s="10">
        <f ca="1">IF(ISERROR((VLOOKUP($C35,'Senior Lien DS - First'!$A$11:$P$71,COLUMNS('Senior Lien DS - First'!$A$11:$P$11)))/Summary!$M36),"",(VLOOKUP($C35,'Senior Lien DS - First'!$A$11:$P$71,COLUMNS('Senior Lien DS - First'!$A$11:$P$11)))/Summary!$M36)</f>
        <v>7.8802650613634066E-3</v>
      </c>
      <c r="CD35" s="9">
        <f t="shared" ca="1" si="36"/>
        <v>1.3092592379055072</v>
      </c>
      <c r="CE35" s="9">
        <f t="shared" ca="1" si="53"/>
        <v>1.3092592379055072</v>
      </c>
      <c r="CH35" s="4">
        <f t="shared" ca="1" si="73"/>
        <v>136516.07832998259</v>
      </c>
      <c r="CI35" s="309">
        <v>0</v>
      </c>
      <c r="CJ35" s="4">
        <f t="shared" ca="1" si="72"/>
        <v>136516.07832998259</v>
      </c>
      <c r="CK35" s="4">
        <f ca="1">IF(ISNA(VLOOKUP(DATE(YEAR($D35),PRIN_MATURITY,PRIN_MATURITY_DAY_SUB),'Sub Lien DS - First (Annual)'!$A$12:$H$96,COLUMNS('Sub Lien DS - First (Annual)'!$A$12:$H$12),0)),0,VLOOKUP(DATE(YEAR($D35),PRIN_MATURITY,PRIN_MATURITY_DAY_SUB),'Sub Lien DS - First (Annual)'!$A$12:$H$96,COLUMNS('Sub Lien DS - First (Annual)'!$A$12:$H$12),0))</f>
        <v>26812.5</v>
      </c>
      <c r="CL35" s="4">
        <f t="shared" ca="1" si="55"/>
        <v>26812.5</v>
      </c>
      <c r="CM35" s="4">
        <f t="shared" ca="1" si="37"/>
        <v>0</v>
      </c>
      <c r="CN35" s="4">
        <f t="shared" ca="1" si="56"/>
        <v>0</v>
      </c>
      <c r="CO35" s="4">
        <f t="shared" ca="1" si="68"/>
        <v>0</v>
      </c>
      <c r="CP35" s="4"/>
      <c r="CQ35" s="4">
        <f>IF(YEAR(DELIVERY)=YEAR($D35),'Sources and Uses - First'!$D$12,0)</f>
        <v>0</v>
      </c>
      <c r="CR35" s="4">
        <f ca="1">IF(ISNA(VLOOKUP(DATE(YEAR($D35),PRIN_MATURITY, PRIN_MATURITY_DAY_SUB),'Sub Lien DS - First (Annual)'!$A$12:$G$41,COLUMNS('Sub Lien DS - First (Annual)'!$A$12:$G$12),0)),0,VLOOKUP(DATE(YEAR($D35),PRIN_MATURITY, PRIN_MATURITY_DAY_SUB),'Sub Lien DS - First (Annual)'!$A$12:$G$41,COLUMNS('Sub Lien DS - First (Annual)'!$A$12:$G$12),0))</f>
        <v>109000</v>
      </c>
      <c r="CS35" s="4">
        <f ca="1">SUM($CQ$14:CQ35)-SUM($CR$14:CR35)</f>
        <v>-779000</v>
      </c>
      <c r="CT35" s="4">
        <f ca="1">SUM($CQ$14:CQ35)-SUM($CR$14:CR35)</f>
        <v>-779000</v>
      </c>
      <c r="CU35" s="4">
        <f t="shared" ca="1" si="57"/>
        <v>135812.5</v>
      </c>
      <c r="CV35" s="4">
        <f t="shared" ca="1" si="58"/>
        <v>135812.5</v>
      </c>
      <c r="CW35" s="4">
        <f t="shared" ca="1" si="59"/>
        <v>703.57832998258527</v>
      </c>
      <c r="CX35" s="4">
        <f t="shared" ca="1" si="69"/>
        <v>703.57832998258527</v>
      </c>
      <c r="CY35" s="4">
        <f ca="1">SUM($CW$14:CW35)-SUM($CX$14:CX35)</f>
        <v>0</v>
      </c>
    </row>
    <row r="36" spans="1:103" x14ac:dyDescent="0.25">
      <c r="A36">
        <f t="shared" si="22"/>
        <v>24</v>
      </c>
      <c r="B36" s="3">
        <f>VLOOKUP($C36,'Residential Development'!$D$14:$P$33,COLUMNS('Residential Development'!$D$14:$F$14))</f>
        <v>0</v>
      </c>
      <c r="C36" s="75">
        <f t="shared" si="38"/>
        <v>53752</v>
      </c>
      <c r="D36" s="75">
        <f t="shared" si="38"/>
        <v>54118</v>
      </c>
      <c r="E36" s="3">
        <f t="shared" si="39"/>
        <v>0</v>
      </c>
      <c r="F36" s="3">
        <f>VLOOKUP($C36,'Residential Development'!$DW$14:$EL$33,COLUMNS('Residential Development'!$DW$14:$DX$14))+F35+E36</f>
        <v>0</v>
      </c>
      <c r="G36" s="4">
        <f t="shared" si="23"/>
        <v>0</v>
      </c>
      <c r="H36" s="3">
        <f>VLOOKUP($C36,'Residential Development'!$D$14:$Q$33,COLUMNS('Residential Development'!$D$14:$Q$14))</f>
        <v>0</v>
      </c>
      <c r="I36" s="3">
        <f ca="1">VLOOKUP($C36,'Residential Development'!$AW$33:$BK37,COLUMNS('Residential Development'!$AW$13:$BK$33))</f>
        <v>0</v>
      </c>
      <c r="J36" s="4">
        <f t="shared" ca="1" si="24"/>
        <v>0</v>
      </c>
      <c r="K36" s="4">
        <f>VLOOKUP($C36,'Residential Development'!$CD$14:$CQ$33,COLUMNS('Residential Development'!$CD$14:$CQ$14))</f>
        <v>0</v>
      </c>
      <c r="L36" s="3">
        <f t="shared" ca="1" si="60"/>
        <v>4165060.6829383923</v>
      </c>
      <c r="M36" s="3">
        <f ca="1">VLOOKUP($C36,'Residential Development'!$EN$14:$FC$33,COLUMNS('Residential Development'!$EN$14:$FC$14))+M35+L36</f>
        <v>420671128.97677761</v>
      </c>
      <c r="N36" s="3">
        <f t="shared" ca="1" si="41"/>
        <v>231369120.9372277</v>
      </c>
      <c r="O36" s="322"/>
      <c r="P36" s="4">
        <f>VLOOKUP($C36,'Residential Development'!$AH$14:$AI$38,2)</f>
        <v>0</v>
      </c>
      <c r="Q36" s="4">
        <f t="shared" ca="1" si="8"/>
        <v>231369120.9372277</v>
      </c>
      <c r="R36" s="4"/>
      <c r="S36" s="4">
        <f t="shared" si="25"/>
        <v>0</v>
      </c>
      <c r="T36" s="4">
        <f>VLOOKUP($C36,'Comm Development'!$CG$14:$CR$33,COLUMNS('Comm Development'!$CG$14:$CR$14))+T35+S36</f>
        <v>0</v>
      </c>
      <c r="U36" s="3"/>
      <c r="V36" s="3">
        <f>VLOOKUP($C36,'Comm Development'!$BG$14:$BR$33,COLUMNS('Comm Development'!$BG$14:$BR$14))</f>
        <v>0</v>
      </c>
      <c r="W36" s="4">
        <f t="shared" si="26"/>
        <v>0</v>
      </c>
      <c r="X36" s="4">
        <f>VLOOKUP($C36,'Comm Development'!$CG$14:$CR$33,COLUMNS('Comm Development'!$CG$14:$CR$14))+X35+W36</f>
        <v>0</v>
      </c>
      <c r="Y36" s="3">
        <f t="shared" si="42"/>
        <v>0</v>
      </c>
      <c r="Z36" s="3">
        <f t="shared" si="61"/>
        <v>0</v>
      </c>
      <c r="AA36" s="322">
        <f t="shared" si="43"/>
        <v>0</v>
      </c>
      <c r="AB36" s="297"/>
      <c r="AC36" s="268"/>
      <c r="AD36" s="4">
        <f t="shared" si="44"/>
        <v>0</v>
      </c>
      <c r="AE36" s="4">
        <f t="shared" si="45"/>
        <v>0</v>
      </c>
      <c r="AG36" s="4">
        <f t="shared" ca="1" si="9"/>
        <v>231369120.9372277</v>
      </c>
      <c r="AH36" s="18">
        <f t="shared" si="27"/>
        <v>3</v>
      </c>
      <c r="AI36" s="4">
        <f t="shared" ca="1" si="28"/>
        <v>680225.21555544937</v>
      </c>
      <c r="AJ36" s="4">
        <f t="shared" ca="1" si="11"/>
        <v>0</v>
      </c>
      <c r="AK36" s="3">
        <f t="shared" si="12"/>
        <v>0</v>
      </c>
      <c r="AL36" s="194">
        <f t="shared" si="13"/>
        <v>0</v>
      </c>
      <c r="AM36" s="4">
        <f t="shared" si="62"/>
        <v>0</v>
      </c>
      <c r="AN36" s="4">
        <f t="shared" si="63"/>
        <v>0</v>
      </c>
      <c r="AO36" s="97"/>
      <c r="AP36" s="4">
        <f t="shared" si="64"/>
        <v>0</v>
      </c>
      <c r="AQ36" s="4">
        <f t="shared" si="3"/>
        <v>0</v>
      </c>
      <c r="AR36" s="364">
        <f t="shared" ca="1" si="14"/>
        <v>680225.21555544937</v>
      </c>
      <c r="AT36" s="213">
        <f t="shared" ca="1" si="46"/>
        <v>0</v>
      </c>
      <c r="AU36" s="213">
        <f t="shared" ca="1" si="65"/>
        <v>-4000</v>
      </c>
      <c r="AV36" s="312">
        <f t="shared" si="70"/>
        <v>-80421.25620722372</v>
      </c>
      <c r="AX36" s="4">
        <f t="shared" ca="1" si="32"/>
        <v>595803.95934822562</v>
      </c>
      <c r="AZ36" s="4">
        <f t="shared" ca="1" si="15"/>
        <v>231369120.9372277</v>
      </c>
      <c r="BA36" s="18">
        <f t="shared" si="47"/>
        <v>3</v>
      </c>
      <c r="BB36" s="4">
        <f t="shared" ca="1" si="16"/>
        <v>680225.21555544937</v>
      </c>
      <c r="BC36" s="4">
        <f t="shared" ca="1" si="17"/>
        <v>0</v>
      </c>
      <c r="BD36" s="3">
        <f t="shared" si="18"/>
        <v>0</v>
      </c>
      <c r="BE36" s="194">
        <f t="shared" si="19"/>
        <v>0</v>
      </c>
      <c r="BF36" s="4">
        <f t="shared" si="4"/>
        <v>0</v>
      </c>
      <c r="BG36" s="4">
        <f t="shared" si="5"/>
        <v>0</v>
      </c>
      <c r="BH36" s="97"/>
      <c r="BI36" s="4">
        <f t="shared" si="6"/>
        <v>0</v>
      </c>
      <c r="BJ36" s="4">
        <f t="shared" si="7"/>
        <v>0</v>
      </c>
      <c r="BK36" s="96">
        <f t="shared" ca="1" si="71"/>
        <v>680225.21555544937</v>
      </c>
      <c r="BM36" s="213">
        <f t="shared" si="48"/>
        <v>-3000</v>
      </c>
      <c r="BO36" s="4">
        <f t="shared" ca="1" si="21"/>
        <v>677225.21555544937</v>
      </c>
      <c r="BQ36" s="4">
        <f ca="1">IF(AND(REFUND_FINANCING="Yes",$D36&gt;PREMIUM_CALL_FIRST),0, IF(ISERROR(VLOOKUP($D36,'Senior Lien DS - First'!$A$11:$O$81,COLUMNS('Senior Lien DS - First'!$A$11:$O$11),0)),0,VLOOKUP($D36,'Senior Lien DS - First'!$A$11:$O$81,COLUMNS('Senior Lien DS - First'!$A$11:$O$11),0)))</f>
        <v>450267.36527054396</v>
      </c>
      <c r="BR36" s="4">
        <f>IF(ISERROR(VLOOKUP($D36,'Senior Lien DS - Refunding'!$A$11:$O$81,COLUMNS('Senior Lien DS - Refunding'!$A$11:$O$11),0)),0,VLOOKUP($D36,'Senior Lien DS - Refunding'!$A$11:$O$81,COLUMNS('Senior Lien DS - Refunding'!$A$11:$O$11),0))</f>
        <v>0</v>
      </c>
      <c r="BS36" s="4">
        <f t="shared" ca="1" si="33"/>
        <v>450267.36527054396</v>
      </c>
      <c r="BT36" s="84">
        <f t="shared" ca="1" si="34"/>
        <v>1.3232226123921633</v>
      </c>
      <c r="BU36" s="4">
        <f t="shared" ca="1" si="49"/>
        <v>145536.59407768166</v>
      </c>
      <c r="BV36" s="4">
        <f t="shared" si="66"/>
        <v>0</v>
      </c>
      <c r="BW36" s="4">
        <f t="shared" ca="1" si="67"/>
        <v>0</v>
      </c>
      <c r="BX36" s="4">
        <f t="shared" ca="1" si="50"/>
        <v>145536.59407768166</v>
      </c>
      <c r="BY36" s="4">
        <f t="shared" ca="1" si="51"/>
        <v>145536.59407768166</v>
      </c>
      <c r="BZ36" s="4">
        <f t="shared" ca="1" si="52"/>
        <v>0</v>
      </c>
      <c r="CA36" s="4">
        <f t="shared" ca="1" si="35"/>
        <v>0</v>
      </c>
      <c r="CB36" s="14">
        <f ca="1">IF(ISERROR((VLOOKUP($D36,'Senior Lien DS - First'!$A$11:$P$71,COLUMNS('Senior Lien DS - First'!$A$11:$P$11)))/Summary!$AG37),"",(IF(REFUND_FINANCING="Yes",0,VLOOKUP($D36,'Senior Lien DS - First'!$A$11:$P$71,COLUMNS('Senior Lien DS - First'!$A$11:$P$11))))/Summary!$AG37)</f>
        <v>1.1810881487802898E-2</v>
      </c>
      <c r="CC36" s="10">
        <f ca="1">IF(ISERROR((VLOOKUP($C36,'Senior Lien DS - First'!$A$11:$P$71,COLUMNS('Senior Lien DS - First'!$A$11:$P$11)))/Summary!$M37),"",(VLOOKUP($C36,'Senior Lien DS - First'!$A$11:$P$71,COLUMNS('Senior Lien DS - First'!$A$11:$P$11)))/Summary!$M37)</f>
        <v>7.1667658593108346E-3</v>
      </c>
      <c r="CD36" s="9">
        <f t="shared" ca="1" si="36"/>
        <v>1.3232226123921633</v>
      </c>
      <c r="CE36" s="9">
        <f t="shared" ca="1" si="53"/>
        <v>1.3232226123921633</v>
      </c>
      <c r="CH36" s="4">
        <f t="shared" ca="1" si="73"/>
        <v>142536.59407768166</v>
      </c>
      <c r="CI36" s="309">
        <v>0</v>
      </c>
      <c r="CJ36" s="4">
        <f t="shared" ca="1" si="72"/>
        <v>142536.59407768166</v>
      </c>
      <c r="CK36" s="4">
        <f ca="1">IF(ISNA(VLOOKUP(DATE(YEAR($D36),PRIN_MATURITY,PRIN_MATURITY_DAY_SUB),'Sub Lien DS - First (Annual)'!$A$12:$H$96,COLUMNS('Sub Lien DS - First (Annual)'!$A$12:$H$12),0)),0,VLOOKUP(DATE(YEAR($D36),PRIN_MATURITY,PRIN_MATURITY_DAY_SUB),'Sub Lien DS - First (Annual)'!$A$12:$H$96,COLUMNS('Sub Lien DS - First (Annual)'!$A$12:$H$12),0))</f>
        <v>17956.25</v>
      </c>
      <c r="CL36" s="4">
        <f t="shared" ca="1" si="55"/>
        <v>17956.25</v>
      </c>
      <c r="CM36" s="4">
        <f t="shared" ca="1" si="37"/>
        <v>0</v>
      </c>
      <c r="CN36" s="4">
        <f t="shared" ca="1" si="56"/>
        <v>0</v>
      </c>
      <c r="CO36" s="4">
        <f t="shared" ca="1" si="68"/>
        <v>0</v>
      </c>
      <c r="CP36" s="4"/>
      <c r="CQ36" s="4">
        <f>IF(YEAR(DELIVERY)=YEAR($D36),'Sources and Uses - First'!$D$12,0)</f>
        <v>0</v>
      </c>
      <c r="CR36" s="4">
        <f ca="1">IF(ISNA(VLOOKUP(DATE(YEAR($D36),PRIN_MATURITY, PRIN_MATURITY_DAY_SUB),'Sub Lien DS - First (Annual)'!$A$12:$G$41,COLUMNS('Sub Lien DS - First (Annual)'!$A$12:$G$12),0)),0,VLOOKUP(DATE(YEAR($D36),PRIN_MATURITY, PRIN_MATURITY_DAY_SUB),'Sub Lien DS - First (Annual)'!$A$12:$G$41,COLUMNS('Sub Lien DS - First (Annual)'!$A$12:$G$12),0))</f>
        <v>124000</v>
      </c>
      <c r="CS36" s="4">
        <f ca="1">SUM($CQ$14:CQ36)-SUM($CR$14:CR36)</f>
        <v>-903000</v>
      </c>
      <c r="CT36" s="4">
        <f ca="1">SUM($CQ$14:CQ36)-SUM($CR$14:CR36)</f>
        <v>-903000</v>
      </c>
      <c r="CU36" s="4">
        <f t="shared" ca="1" si="57"/>
        <v>141956.25</v>
      </c>
      <c r="CV36" s="4">
        <f t="shared" ca="1" si="58"/>
        <v>141956.25</v>
      </c>
      <c r="CW36" s="4">
        <f t="shared" ca="1" si="59"/>
        <v>580.34407768165693</v>
      </c>
      <c r="CX36" s="4">
        <f t="shared" ca="1" si="69"/>
        <v>580.34407768165693</v>
      </c>
      <c r="CY36" s="4">
        <f ca="1">SUM($CW$14:CW36)-SUM($CX$14:CX36)</f>
        <v>0</v>
      </c>
    </row>
    <row r="37" spans="1:103" x14ac:dyDescent="0.25">
      <c r="A37">
        <f t="shared" si="22"/>
        <v>25</v>
      </c>
      <c r="B37" s="3">
        <f>VLOOKUP($C37,'Residential Development'!$D$14:$P$33,COLUMNS('Residential Development'!$D$14:$F$14))</f>
        <v>0</v>
      </c>
      <c r="C37" s="75">
        <f t="shared" si="38"/>
        <v>54118</v>
      </c>
      <c r="D37" s="75">
        <f t="shared" si="38"/>
        <v>54483</v>
      </c>
      <c r="E37" s="3">
        <f t="shared" si="39"/>
        <v>0</v>
      </c>
      <c r="F37" s="3">
        <f>VLOOKUP($C37,'Residential Development'!$DW$14:$EL$33,COLUMNS('Residential Development'!$DW$14:$DX$14))+F36+E37</f>
        <v>0</v>
      </c>
      <c r="G37" s="4">
        <f t="shared" si="23"/>
        <v>0</v>
      </c>
      <c r="H37" s="3">
        <f>VLOOKUP($C37,'Residential Development'!$D$14:$Q$33,COLUMNS('Residential Development'!$D$14:$Q$14))</f>
        <v>0</v>
      </c>
      <c r="I37" s="3">
        <f ca="1">VLOOKUP($C37,'Residential Development'!$AW$33:$BK38,COLUMNS('Residential Development'!$AW$13:$BK$33))</f>
        <v>0</v>
      </c>
      <c r="J37" s="4">
        <f t="shared" ca="1" si="24"/>
        <v>0</v>
      </c>
      <c r="K37" s="4">
        <f>VLOOKUP($C37,'Residential Development'!$CD$14:$CQ$33,COLUMNS('Residential Development'!$CD$14:$CQ$14))</f>
        <v>0</v>
      </c>
      <c r="L37" s="3">
        <f t="shared" ca="1" si="60"/>
        <v>4206711.2897677766</v>
      </c>
      <c r="M37" s="3">
        <f ca="1">VLOOKUP($C37,'Residential Development'!$EN$14:$FC$33,COLUMNS('Residential Development'!$EN$14:$FC$14))+M36+L37</f>
        <v>424877840.26654541</v>
      </c>
      <c r="N37" s="3">
        <f t="shared" ca="1" si="41"/>
        <v>233682812.14660001</v>
      </c>
      <c r="O37" s="322"/>
      <c r="P37" s="4">
        <f>VLOOKUP($C37,'Residential Development'!$AH$14:$AI$38,2)</f>
        <v>0</v>
      </c>
      <c r="Q37" s="4">
        <f t="shared" ca="1" si="8"/>
        <v>233682812.14660001</v>
      </c>
      <c r="R37" s="4"/>
      <c r="S37" s="4">
        <f t="shared" si="25"/>
        <v>0</v>
      </c>
      <c r="T37" s="4">
        <f>VLOOKUP($C37,'Comm Development'!$CG$14:$CR$33,COLUMNS('Comm Development'!$CG$14:$CR$14))+T36+S37</f>
        <v>0</v>
      </c>
      <c r="U37" s="3"/>
      <c r="V37" s="3">
        <f>VLOOKUP($C37,'Comm Development'!$BG$14:$BR$33,COLUMNS('Comm Development'!$BG$14:$BR$14))</f>
        <v>0</v>
      </c>
      <c r="W37" s="4">
        <f t="shared" si="26"/>
        <v>0</v>
      </c>
      <c r="X37" s="4">
        <f>VLOOKUP($C37,'Comm Development'!$CG$14:$CR$33,COLUMNS('Comm Development'!$CG$14:$CR$14))+X36+W37</f>
        <v>0</v>
      </c>
      <c r="Y37" s="3">
        <f t="shared" si="42"/>
        <v>0</v>
      </c>
      <c r="Z37" s="3">
        <f t="shared" si="61"/>
        <v>0</v>
      </c>
      <c r="AA37" s="322">
        <f t="shared" si="43"/>
        <v>0</v>
      </c>
      <c r="AB37" s="297"/>
      <c r="AC37" s="268"/>
      <c r="AD37" s="4">
        <f t="shared" si="44"/>
        <v>0</v>
      </c>
      <c r="AE37" s="4">
        <f t="shared" si="45"/>
        <v>0</v>
      </c>
      <c r="AG37" s="4">
        <f t="shared" ca="1" si="9"/>
        <v>233682812.14660001</v>
      </c>
      <c r="AH37" s="18">
        <f t="shared" si="27"/>
        <v>3</v>
      </c>
      <c r="AI37" s="4">
        <f t="shared" ca="1" si="28"/>
        <v>687027.46771100408</v>
      </c>
      <c r="AJ37" s="4">
        <f t="shared" ca="1" si="11"/>
        <v>0</v>
      </c>
      <c r="AK37" s="3">
        <f t="shared" si="12"/>
        <v>0</v>
      </c>
      <c r="AL37" s="194">
        <f t="shared" si="13"/>
        <v>0</v>
      </c>
      <c r="AM37" s="4">
        <f t="shared" si="62"/>
        <v>0</v>
      </c>
      <c r="AN37" s="4">
        <f t="shared" si="63"/>
        <v>0</v>
      </c>
      <c r="AO37" s="97"/>
      <c r="AP37" s="4">
        <f t="shared" si="64"/>
        <v>0</v>
      </c>
      <c r="AQ37" s="4">
        <f t="shared" si="3"/>
        <v>0</v>
      </c>
      <c r="AR37" s="364">
        <f t="shared" ca="1" si="14"/>
        <v>687027.46771100408</v>
      </c>
      <c r="AT37" s="213">
        <f t="shared" ca="1" si="46"/>
        <v>0</v>
      </c>
      <c r="AU37" s="213">
        <f t="shared" ca="1" si="65"/>
        <v>-4000</v>
      </c>
      <c r="AV37" s="312">
        <f t="shared" si="70"/>
        <v>-82029.681331368192</v>
      </c>
      <c r="AX37" s="4">
        <f t="shared" ca="1" si="32"/>
        <v>600997.78637963592</v>
      </c>
      <c r="AZ37" s="4">
        <f t="shared" ca="1" si="15"/>
        <v>233682812.14660001</v>
      </c>
      <c r="BA37" s="18">
        <f t="shared" si="47"/>
        <v>3</v>
      </c>
      <c r="BB37" s="4">
        <f t="shared" ca="1" si="16"/>
        <v>687027.46771100408</v>
      </c>
      <c r="BC37" s="4">
        <f t="shared" ca="1" si="17"/>
        <v>0</v>
      </c>
      <c r="BD37" s="3">
        <f t="shared" si="18"/>
        <v>0</v>
      </c>
      <c r="BE37" s="194">
        <f t="shared" si="19"/>
        <v>0</v>
      </c>
      <c r="BF37" s="4">
        <f t="shared" si="4"/>
        <v>0</v>
      </c>
      <c r="BG37" s="4">
        <f t="shared" si="5"/>
        <v>0</v>
      </c>
      <c r="BH37" s="97"/>
      <c r="BI37" s="4">
        <f t="shared" si="6"/>
        <v>0</v>
      </c>
      <c r="BJ37" s="4">
        <f t="shared" si="7"/>
        <v>0</v>
      </c>
      <c r="BK37" s="96">
        <f t="shared" ca="1" si="71"/>
        <v>687027.46771100408</v>
      </c>
      <c r="BM37" s="213">
        <f t="shared" si="48"/>
        <v>-3000</v>
      </c>
      <c r="BO37" s="4">
        <f t="shared" ca="1" si="21"/>
        <v>684027.46771100408</v>
      </c>
      <c r="BQ37" s="4">
        <f ca="1">IF(AND(REFUND_FINANCING="Yes",$D37&gt;PREMIUM_CALL_FIRST),0, IF(ISERROR(VLOOKUP($D37,'Senior Lien DS - First'!$A$11:$O$81,COLUMNS('Senior Lien DS - First'!$A$11:$O$11),0)),0,VLOOKUP($D37,'Senior Lien DS - First'!$A$11:$O$81,COLUMNS('Senior Lien DS - First'!$A$11:$O$11),0)))</f>
        <v>458523.61527054396</v>
      </c>
      <c r="BR37" s="4">
        <f>IF(ISERROR(VLOOKUP($D37,'Senior Lien DS - Refunding'!$A$11:$O$81,COLUMNS('Senior Lien DS - Refunding'!$A$11:$O$11),0)),0,VLOOKUP($D37,'Senior Lien DS - Refunding'!$A$11:$O$81,COLUMNS('Senior Lien DS - Refunding'!$A$11:$O$11),0))</f>
        <v>0</v>
      </c>
      <c r="BS37" s="4">
        <f t="shared" ca="1" si="33"/>
        <v>458523.61527054396</v>
      </c>
      <c r="BT37" s="84">
        <f t="shared" ca="1" si="34"/>
        <v>1.3107237367153435</v>
      </c>
      <c r="BU37" s="4">
        <f t="shared" ca="1" si="49"/>
        <v>142474.17110909196</v>
      </c>
      <c r="BV37" s="4">
        <f t="shared" si="66"/>
        <v>0</v>
      </c>
      <c r="BW37" s="4">
        <f t="shared" ca="1" si="67"/>
        <v>0</v>
      </c>
      <c r="BX37" s="4">
        <f t="shared" ca="1" si="50"/>
        <v>142474.17110909196</v>
      </c>
      <c r="BY37" s="4">
        <f t="shared" ca="1" si="51"/>
        <v>142474.17110909196</v>
      </c>
      <c r="BZ37" s="4">
        <f t="shared" ca="1" si="52"/>
        <v>0</v>
      </c>
      <c r="CA37" s="4">
        <f t="shared" ca="1" si="35"/>
        <v>0</v>
      </c>
      <c r="CB37" s="14">
        <f ca="1">IF(ISERROR((VLOOKUP($D37,'Senior Lien DS - First'!$A$11:$P$71,COLUMNS('Senior Lien DS - First'!$A$11:$P$11)))/Summary!$AG38),"",(IF(REFUND_FINANCING="Yes",0,VLOOKUP($D37,'Senior Lien DS - First'!$A$11:$P$71,COLUMNS('Senior Lien DS - First'!$A$11:$P$11))))/Summary!$AG38)</f>
        <v>1.0380492052345064E-2</v>
      </c>
      <c r="CC37" s="10">
        <f ca="1">IF(ISERROR((VLOOKUP($C37,'Senior Lien DS - First'!$A$11:$P$71,COLUMNS('Senior Lien DS - First'!$A$11:$P$11)))/Summary!$M38),"",(VLOOKUP($C37,'Senior Lien DS - First'!$A$11:$P$71,COLUMNS('Senior Lien DS - First'!$A$11:$P$11)))/Summary!$M38)</f>
        <v>6.4316681369223708E-3</v>
      </c>
      <c r="CD37" s="9">
        <f t="shared" ca="1" si="36"/>
        <v>1.3107237367153435</v>
      </c>
      <c r="CE37" s="9">
        <f t="shared" ca="1" si="53"/>
        <v>1.3107237367153435</v>
      </c>
      <c r="CH37" s="4">
        <f t="shared" ca="1" si="73"/>
        <v>139474.17110909196</v>
      </c>
      <c r="CI37" s="309">
        <v>0</v>
      </c>
      <c r="CJ37" s="4">
        <f t="shared" ca="1" si="72"/>
        <v>139474.17110909196</v>
      </c>
      <c r="CK37" s="4">
        <f>IF(ISNA(VLOOKUP(DATE(YEAR($D37),PRIN_MATURITY,PRIN_MATURITY_DAY_SUB),'Sub Lien DS - First (Annual)'!$A$12:$H$96,COLUMNS('Sub Lien DS - First (Annual)'!$A$12:$H$12),0)),0,VLOOKUP(DATE(YEAR($D37),PRIN_MATURITY,PRIN_MATURITY_DAY_SUB),'Sub Lien DS - First (Annual)'!$A$12:$H$96,COLUMNS('Sub Lien DS - First (Annual)'!$A$12:$H$12),0))</f>
        <v>7881.25</v>
      </c>
      <c r="CL37" s="4">
        <f t="shared" ca="1" si="55"/>
        <v>7881.25</v>
      </c>
      <c r="CM37" s="4">
        <f t="shared" ca="1" si="37"/>
        <v>0</v>
      </c>
      <c r="CN37" s="4">
        <f t="shared" ca="1" si="56"/>
        <v>0</v>
      </c>
      <c r="CO37" s="4">
        <f t="shared" ca="1" si="68"/>
        <v>0</v>
      </c>
      <c r="CP37" s="4"/>
      <c r="CQ37" s="4">
        <f>IF(YEAR(DELIVERY)=YEAR($D37),'Sources and Uses - First'!$D$12,0)</f>
        <v>0</v>
      </c>
      <c r="CR37" s="4">
        <f>IF(ISNA(VLOOKUP(DATE(YEAR($D37),PRIN_MATURITY, PRIN_MATURITY_DAY_SUB),'Sub Lien DS - First (Annual)'!$A$12:$G$41,COLUMNS('Sub Lien DS - First (Annual)'!$A$12:$G$12),0)),0,VLOOKUP(DATE(YEAR($D37),PRIN_MATURITY, PRIN_MATURITY_DAY_SUB),'Sub Lien DS - First (Annual)'!$A$12:$G$41,COLUMNS('Sub Lien DS - First (Annual)'!$A$12:$G$12),0))</f>
        <v>97000</v>
      </c>
      <c r="CS37" s="4">
        <f ca="1">SUM($CQ$14:CQ37)-SUM($CR$14:CR37)</f>
        <v>-1000000</v>
      </c>
      <c r="CT37" s="4">
        <f ca="1">SUM($CQ$14:CQ37)-SUM($CR$14:CR37)</f>
        <v>-1000000</v>
      </c>
      <c r="CU37" s="4">
        <f t="shared" ca="1" si="57"/>
        <v>104881.25</v>
      </c>
      <c r="CV37" s="4">
        <f t="shared" ca="1" si="58"/>
        <v>104881.25</v>
      </c>
      <c r="CW37" s="4">
        <f t="shared" ca="1" si="59"/>
        <v>34592.921109091956</v>
      </c>
      <c r="CX37" s="4">
        <f t="shared" ca="1" si="69"/>
        <v>34592.921109091956</v>
      </c>
      <c r="CY37" s="4">
        <f ca="1">SUM($CW$14:CW37)-SUM($CX$14:CX37)</f>
        <v>0</v>
      </c>
    </row>
    <row r="38" spans="1:103" x14ac:dyDescent="0.25">
      <c r="A38">
        <f t="shared" si="22"/>
        <v>26</v>
      </c>
      <c r="B38" s="3">
        <f>VLOOKUP($C38,'Residential Development'!$D$14:$P$33,COLUMNS('Residential Development'!$D$14:$F$14))</f>
        <v>0</v>
      </c>
      <c r="C38" s="75">
        <f t="shared" si="38"/>
        <v>54483</v>
      </c>
      <c r="D38" s="75">
        <f t="shared" si="38"/>
        <v>54848</v>
      </c>
      <c r="E38" s="3">
        <f t="shared" si="39"/>
        <v>0</v>
      </c>
      <c r="F38" s="3">
        <f>VLOOKUP($C38,'Residential Development'!$DW$14:$EL$33,COLUMNS('Residential Development'!$DW$14:$DX$14))+F37+E38</f>
        <v>0</v>
      </c>
      <c r="G38" s="4">
        <f t="shared" si="23"/>
        <v>0</v>
      </c>
      <c r="H38" s="3">
        <f>VLOOKUP($C38,'Residential Development'!$D$14:$Q$33,COLUMNS('Residential Development'!$D$14:$Q$14))</f>
        <v>0</v>
      </c>
      <c r="I38" s="3">
        <f ca="1">VLOOKUP($C38,'Residential Development'!$AW$33:$BK39,COLUMNS('Residential Development'!$AW$13:$BK$33))</f>
        <v>0</v>
      </c>
      <c r="J38" s="4">
        <f t="shared" ca="1" si="24"/>
        <v>0</v>
      </c>
      <c r="K38" s="4">
        <f>VLOOKUP($C38,'Residential Development'!$CD$14:$CQ$33,COLUMNS('Residential Development'!$CD$14:$CQ$14))</f>
        <v>0</v>
      </c>
      <c r="L38" s="3">
        <f t="shared" ca="1" si="60"/>
        <v>4248778.402665454</v>
      </c>
      <c r="M38" s="3">
        <f ca="1">VLOOKUP($C38,'Residential Development'!$EN$14:$FC$33,COLUMNS('Residential Development'!$EN$14:$FC$14))+M37+L38</f>
        <v>429126618.66921085</v>
      </c>
      <c r="N38" s="3">
        <f t="shared" ca="1" si="41"/>
        <v>236019640.26806599</v>
      </c>
      <c r="O38" s="322"/>
      <c r="P38" s="4">
        <f>VLOOKUP($C38,'Residential Development'!$AH$14:$AI$38,2)</f>
        <v>0</v>
      </c>
      <c r="Q38" s="4">
        <f t="shared" ca="1" si="8"/>
        <v>236019640.26806599</v>
      </c>
      <c r="R38" s="4"/>
      <c r="S38" s="4">
        <f t="shared" si="25"/>
        <v>0</v>
      </c>
      <c r="T38" s="4">
        <f>VLOOKUP($C38,'Comm Development'!$CG$14:$CR$33,COLUMNS('Comm Development'!$CG$14:$CR$14))+T37+S38</f>
        <v>0</v>
      </c>
      <c r="U38" s="3"/>
      <c r="V38" s="3">
        <f>VLOOKUP($C38,'Comm Development'!$BG$14:$BR$33,COLUMNS('Comm Development'!$BG$14:$BR$14))</f>
        <v>0</v>
      </c>
      <c r="W38" s="4">
        <f t="shared" si="26"/>
        <v>0</v>
      </c>
      <c r="X38" s="4">
        <f>VLOOKUP($C38,'Comm Development'!$CG$14:$CR$33,COLUMNS('Comm Development'!$CG$14:$CR$14))+X37+W38</f>
        <v>0</v>
      </c>
      <c r="Y38" s="3">
        <f t="shared" si="42"/>
        <v>0</v>
      </c>
      <c r="Z38" s="3">
        <f t="shared" si="61"/>
        <v>0</v>
      </c>
      <c r="AA38" s="322">
        <f t="shared" si="43"/>
        <v>0</v>
      </c>
      <c r="AB38" s="297"/>
      <c r="AC38" s="268"/>
      <c r="AD38" s="4">
        <f t="shared" si="44"/>
        <v>0</v>
      </c>
      <c r="AE38" s="4">
        <f t="shared" si="45"/>
        <v>0</v>
      </c>
      <c r="AG38" s="4">
        <f t="shared" ca="1" si="9"/>
        <v>236019640.26806599</v>
      </c>
      <c r="AH38" s="18">
        <f t="shared" si="27"/>
        <v>3</v>
      </c>
      <c r="AI38" s="4">
        <f t="shared" ca="1" si="28"/>
        <v>693897.7423881141</v>
      </c>
      <c r="AJ38" s="4">
        <f t="shared" ca="1" si="11"/>
        <v>0</v>
      </c>
      <c r="AK38" s="3">
        <f t="shared" si="12"/>
        <v>0</v>
      </c>
      <c r="AL38" s="194">
        <f t="shared" si="13"/>
        <v>0</v>
      </c>
      <c r="AM38" s="4">
        <f t="shared" si="62"/>
        <v>0</v>
      </c>
      <c r="AN38" s="4">
        <f t="shared" si="63"/>
        <v>0</v>
      </c>
      <c r="AO38" s="97"/>
      <c r="AP38" s="4">
        <f t="shared" si="64"/>
        <v>0</v>
      </c>
      <c r="AQ38" s="4">
        <f t="shared" si="3"/>
        <v>0</v>
      </c>
      <c r="AR38" s="364">
        <f t="shared" ca="1" si="14"/>
        <v>693897.7423881141</v>
      </c>
      <c r="AT38" s="213">
        <f t="shared" ca="1" si="46"/>
        <v>0</v>
      </c>
      <c r="AU38" s="213">
        <f t="shared" ca="1" si="65"/>
        <v>-4000</v>
      </c>
      <c r="AV38" s="312">
        <f t="shared" si="70"/>
        <v>-83670.274957995556</v>
      </c>
      <c r="AX38" s="4">
        <f t="shared" ca="1" si="32"/>
        <v>606227.46743011859</v>
      </c>
      <c r="AZ38" s="4">
        <f t="shared" ca="1" si="15"/>
        <v>236019640.26806599</v>
      </c>
      <c r="BA38" s="18">
        <f t="shared" si="47"/>
        <v>3</v>
      </c>
      <c r="BB38" s="4">
        <f t="shared" ca="1" si="16"/>
        <v>693897.7423881141</v>
      </c>
      <c r="BC38" s="4">
        <f t="shared" ca="1" si="17"/>
        <v>0</v>
      </c>
      <c r="BD38" s="3">
        <f t="shared" si="18"/>
        <v>0</v>
      </c>
      <c r="BE38" s="194">
        <f t="shared" si="19"/>
        <v>0</v>
      </c>
      <c r="BF38" s="4">
        <f t="shared" si="4"/>
        <v>0</v>
      </c>
      <c r="BG38" s="4">
        <f t="shared" si="5"/>
        <v>0</v>
      </c>
      <c r="BH38" s="97"/>
      <c r="BI38" s="4">
        <f t="shared" si="6"/>
        <v>0</v>
      </c>
      <c r="BJ38" s="4">
        <f t="shared" si="7"/>
        <v>0</v>
      </c>
      <c r="BK38" s="96">
        <f t="shared" ca="1" si="71"/>
        <v>693897.7423881141</v>
      </c>
      <c r="BM38" s="213">
        <f t="shared" si="48"/>
        <v>-3000</v>
      </c>
      <c r="BO38" s="4">
        <f t="shared" ca="1" si="21"/>
        <v>690897.7423881141</v>
      </c>
      <c r="BQ38" s="4">
        <f ca="1">IF(AND(REFUND_FINANCING="Yes",$D38&gt;PREMIUM_CALL_FIRST),0, IF(ISERROR(VLOOKUP($D38,'Senior Lien DS - First'!$A$11:$O$81,COLUMNS('Senior Lien DS - First'!$A$11:$O$11),0)),0,VLOOKUP($D38,'Senior Lien DS - First'!$A$11:$O$81,COLUMNS('Senior Lien DS - First'!$A$11:$O$11),0)))</f>
        <v>460311.11527054396</v>
      </c>
      <c r="BR38" s="4">
        <f>IF(ISERROR(VLOOKUP($D38,'Senior Lien DS - Refunding'!$A$11:$O$81,COLUMNS('Senior Lien DS - Refunding'!$A$11:$O$11),0)),0,VLOOKUP($D38,'Senior Lien DS - Refunding'!$A$11:$O$81,COLUMNS('Senior Lien DS - Refunding'!$A$11:$O$11),0))</f>
        <v>0</v>
      </c>
      <c r="BS38" s="4">
        <f t="shared" ca="1" si="33"/>
        <v>460311.11527054396</v>
      </c>
      <c r="BT38" s="84">
        <f t="shared" ca="1" si="34"/>
        <v>1.3169950655521614</v>
      </c>
      <c r="BU38" s="4">
        <f t="shared" ca="1" si="49"/>
        <v>145916.35215957463</v>
      </c>
      <c r="BV38" s="4">
        <f t="shared" si="66"/>
        <v>0</v>
      </c>
      <c r="BW38" s="4">
        <f t="shared" ca="1" si="67"/>
        <v>0</v>
      </c>
      <c r="BX38" s="4">
        <f t="shared" ca="1" si="50"/>
        <v>145916.35215957463</v>
      </c>
      <c r="BY38" s="4">
        <f t="shared" ca="1" si="51"/>
        <v>145916.35215957463</v>
      </c>
      <c r="BZ38" s="4">
        <f t="shared" ca="1" si="52"/>
        <v>0</v>
      </c>
      <c r="CA38" s="4">
        <f t="shared" ca="1" si="35"/>
        <v>0</v>
      </c>
      <c r="CB38" s="14">
        <f ca="1">IF(ISERROR((VLOOKUP($D38,'Senior Lien DS - First'!$A$11:$P$71,COLUMNS('Senior Lien DS - First'!$A$11:$P$11)))/Summary!$AG39),"",(IF(REFUND_FINANCING="Yes",0,VLOOKUP($D38,'Senior Lien DS - First'!$A$11:$P$71,COLUMNS('Senior Lien DS - First'!$A$11:$P$11))))/Summary!$AG39)</f>
        <v>8.8933696306209477E-3</v>
      </c>
      <c r="CC38" s="10">
        <f ca="1">IF(ISERROR((VLOOKUP($C38,'Senior Lien DS - First'!$A$11:$P$71,COLUMNS('Senior Lien DS - First'!$A$11:$P$11)))/Summary!$M39),"",(VLOOKUP($C38,'Senior Lien DS - First'!$A$11:$P$71,COLUMNS('Senior Lien DS - First'!$A$11:$P$11)))/Summary!$M39)</f>
        <v>5.6527431968215695E-3</v>
      </c>
      <c r="CD38" s="9">
        <f t="shared" ca="1" si="36"/>
        <v>1.3169950655521614</v>
      </c>
      <c r="CE38" s="9">
        <f t="shared" ca="1" si="53"/>
        <v>1.3169950655521614</v>
      </c>
      <c r="CH38" s="4">
        <f t="shared" ca="1" si="73"/>
        <v>142916.35215957463</v>
      </c>
      <c r="CI38" s="309">
        <v>0</v>
      </c>
      <c r="CJ38" s="4">
        <f t="shared" ca="1" si="72"/>
        <v>142916.35215957463</v>
      </c>
      <c r="CK38" s="4">
        <f>IF(ISNA(VLOOKUP(DATE(YEAR($D38),PRIN_MATURITY,PRIN_MATURITY_DAY_SUB),'Sub Lien DS - First (Annual)'!$A$12:$H$96,COLUMNS('Sub Lien DS - First (Annual)'!$A$12:$H$12),0)),0,VLOOKUP(DATE(YEAR($D38),PRIN_MATURITY,PRIN_MATURITY_DAY_SUB),'Sub Lien DS - First (Annual)'!$A$12:$H$96,COLUMNS('Sub Lien DS - First (Annual)'!$A$12:$H$12),0))</f>
        <v>0</v>
      </c>
      <c r="CL38" s="4">
        <f t="shared" ca="1" si="55"/>
        <v>0</v>
      </c>
      <c r="CM38" s="4">
        <f t="shared" ca="1" si="37"/>
        <v>0</v>
      </c>
      <c r="CN38" s="4">
        <f t="shared" ca="1" si="56"/>
        <v>0</v>
      </c>
      <c r="CO38" s="4">
        <f t="shared" ca="1" si="68"/>
        <v>0</v>
      </c>
      <c r="CP38" s="4"/>
      <c r="CQ38" s="4">
        <f>IF(YEAR(DELIVERY)=YEAR($D38),'Sources and Uses - First'!$D$12,0)</f>
        <v>0</v>
      </c>
      <c r="CR38" s="4">
        <f>IF(ISNA(VLOOKUP(DATE(YEAR($D38),PRIN_MATURITY, PRIN_MATURITY_DAY_SUB),'Sub Lien DS - First (Annual)'!$A$12:$G$41,COLUMNS('Sub Lien DS - First (Annual)'!$A$12:$G$12),0)),0,VLOOKUP(DATE(YEAR($D38),PRIN_MATURITY, PRIN_MATURITY_DAY_SUB),'Sub Lien DS - First (Annual)'!$A$12:$G$41,COLUMNS('Sub Lien DS - First (Annual)'!$A$12:$G$12),0))</f>
        <v>0</v>
      </c>
      <c r="CS38" s="4">
        <f ca="1">SUM($CQ$14:CQ38)-SUM($CR$14:CR38)</f>
        <v>-1000000</v>
      </c>
      <c r="CT38" s="4">
        <f ca="1">SUM($CQ$14:CQ38)-SUM($CR$14:CR38)</f>
        <v>-1000000</v>
      </c>
      <c r="CU38" s="4">
        <f t="shared" ca="1" si="57"/>
        <v>0</v>
      </c>
      <c r="CV38" s="4">
        <f t="shared" ca="1" si="58"/>
        <v>0</v>
      </c>
      <c r="CW38" s="4">
        <f t="shared" ca="1" si="59"/>
        <v>142916.35215957463</v>
      </c>
      <c r="CX38" s="4">
        <f t="shared" ca="1" si="69"/>
        <v>142916.35215957463</v>
      </c>
      <c r="CY38" s="4">
        <f ca="1">SUM($CW$14:CW38)-SUM($CX$14:CX38)</f>
        <v>0</v>
      </c>
    </row>
    <row r="39" spans="1:103" x14ac:dyDescent="0.25">
      <c r="A39">
        <f t="shared" si="22"/>
        <v>27</v>
      </c>
      <c r="B39" s="3">
        <f>VLOOKUP($C39,'Residential Development'!$D$14:$P$33,COLUMNS('Residential Development'!$D$14:$F$14))</f>
        <v>0</v>
      </c>
      <c r="C39" s="75">
        <f t="shared" si="38"/>
        <v>54848</v>
      </c>
      <c r="D39" s="75">
        <f t="shared" si="38"/>
        <v>55213</v>
      </c>
      <c r="E39" s="3">
        <f t="shared" si="39"/>
        <v>0</v>
      </c>
      <c r="F39" s="3">
        <f>VLOOKUP($C39,'Residential Development'!$DW$14:$EL$33,COLUMNS('Residential Development'!$DW$14:$DX$14))+F38+E39</f>
        <v>0</v>
      </c>
      <c r="G39" s="4">
        <f t="shared" si="23"/>
        <v>0</v>
      </c>
      <c r="H39" s="3">
        <f>VLOOKUP($C39,'Residential Development'!$D$14:$Q$33,COLUMNS('Residential Development'!$D$14:$Q$14))</f>
        <v>0</v>
      </c>
      <c r="I39" s="3">
        <f ca="1">VLOOKUP($C39,'Residential Development'!$AW$33:$BK40,COLUMNS('Residential Development'!$AW$13:$BK$33))</f>
        <v>0</v>
      </c>
      <c r="J39" s="4">
        <f t="shared" ca="1" si="24"/>
        <v>0</v>
      </c>
      <c r="K39" s="4">
        <f>VLOOKUP($C39,'Residential Development'!$CD$14:$CQ$33,COLUMNS('Residential Development'!$CD$14:$CQ$14))</f>
        <v>0</v>
      </c>
      <c r="L39" s="3">
        <f t="shared" ca="1" si="60"/>
        <v>4291266.1866921084</v>
      </c>
      <c r="M39" s="3">
        <f ca="1">VLOOKUP($C39,'Residential Development'!$EN$14:$FC$33,COLUMNS('Residential Development'!$EN$14:$FC$14))+M38+L39</f>
        <v>433417884.85590297</v>
      </c>
      <c r="N39" s="3">
        <f t="shared" ca="1" si="41"/>
        <v>238379836.67074665</v>
      </c>
      <c r="O39" s="322"/>
      <c r="P39" s="4">
        <f>VLOOKUP($C39,'Residential Development'!$AH$14:$AI$38,2)</f>
        <v>0</v>
      </c>
      <c r="Q39" s="4">
        <f t="shared" ca="1" si="8"/>
        <v>238379836.67074665</v>
      </c>
      <c r="R39" s="4"/>
      <c r="S39" s="4">
        <f t="shared" si="25"/>
        <v>0</v>
      </c>
      <c r="T39" s="4">
        <f>VLOOKUP($C39,'Comm Development'!$CG$14:$CR$33,COLUMNS('Comm Development'!$CG$14:$CR$14))+T38+S39</f>
        <v>0</v>
      </c>
      <c r="U39" s="3"/>
      <c r="V39" s="3">
        <f>VLOOKUP($C39,'Comm Development'!$BG$14:$BR$33,COLUMNS('Comm Development'!$BG$14:$BR$14))</f>
        <v>0</v>
      </c>
      <c r="W39" s="4">
        <f t="shared" si="26"/>
        <v>0</v>
      </c>
      <c r="X39" s="4">
        <f>VLOOKUP($C39,'Comm Development'!$CG$14:$CR$33,COLUMNS('Comm Development'!$CG$14:$CR$14))+X38+W39</f>
        <v>0</v>
      </c>
      <c r="Y39" s="3">
        <f t="shared" si="42"/>
        <v>0</v>
      </c>
      <c r="Z39" s="3">
        <f t="shared" si="61"/>
        <v>0</v>
      </c>
      <c r="AA39" s="322">
        <f t="shared" si="43"/>
        <v>0</v>
      </c>
      <c r="AB39" s="297"/>
      <c r="AC39" s="4"/>
      <c r="AD39" s="4">
        <f t="shared" si="44"/>
        <v>0</v>
      </c>
      <c r="AE39" s="4">
        <f t="shared" si="45"/>
        <v>0</v>
      </c>
      <c r="AG39" s="4">
        <f t="shared" ca="1" si="9"/>
        <v>238379836.67074665</v>
      </c>
      <c r="AH39" s="18">
        <f t="shared" si="27"/>
        <v>3</v>
      </c>
      <c r="AI39" s="4">
        <f t="shared" ca="1" si="28"/>
        <v>700836.71981199505</v>
      </c>
      <c r="AJ39" s="4">
        <f t="shared" ca="1" si="11"/>
        <v>0</v>
      </c>
      <c r="AK39" s="3">
        <f t="shared" si="12"/>
        <v>0</v>
      </c>
      <c r="AL39" s="194">
        <f t="shared" si="13"/>
        <v>0</v>
      </c>
      <c r="AM39" s="4">
        <f t="shared" si="62"/>
        <v>0</v>
      </c>
      <c r="AN39" s="4">
        <f t="shared" si="63"/>
        <v>0</v>
      </c>
      <c r="AO39" s="97"/>
      <c r="AP39" s="4">
        <f t="shared" si="64"/>
        <v>0</v>
      </c>
      <c r="AQ39" s="4">
        <f t="shared" si="3"/>
        <v>0</v>
      </c>
      <c r="AR39" s="364">
        <f t="shared" ca="1" si="14"/>
        <v>700836.71981199505</v>
      </c>
      <c r="AT39" s="213">
        <f t="shared" ca="1" si="46"/>
        <v>0</v>
      </c>
      <c r="AU39" s="213">
        <f t="shared" ca="1" si="65"/>
        <v>-4000</v>
      </c>
      <c r="AV39" s="312">
        <f t="shared" si="70"/>
        <v>-85343.680457155468</v>
      </c>
      <c r="AX39" s="4">
        <f t="shared" ca="1" si="32"/>
        <v>611493.0393548396</v>
      </c>
      <c r="AZ39" s="4">
        <f t="shared" ca="1" si="15"/>
        <v>238379836.67074665</v>
      </c>
      <c r="BA39" s="18">
        <f t="shared" si="47"/>
        <v>3</v>
      </c>
      <c r="BB39" s="4">
        <f t="shared" ca="1" si="16"/>
        <v>700836.71981199505</v>
      </c>
      <c r="BC39" s="4">
        <f t="shared" ca="1" si="17"/>
        <v>0</v>
      </c>
      <c r="BD39" s="3">
        <f t="shared" si="18"/>
        <v>0</v>
      </c>
      <c r="BE39" s="194">
        <f t="shared" si="19"/>
        <v>0</v>
      </c>
      <c r="BF39" s="4">
        <f t="shared" si="4"/>
        <v>0</v>
      </c>
      <c r="BG39" s="4">
        <f t="shared" si="5"/>
        <v>0</v>
      </c>
      <c r="BH39" s="97"/>
      <c r="BI39" s="4">
        <f t="shared" si="6"/>
        <v>0</v>
      </c>
      <c r="BJ39" s="4">
        <f t="shared" si="7"/>
        <v>0</v>
      </c>
      <c r="BK39" s="96">
        <f t="shared" ca="1" si="71"/>
        <v>700836.71981199505</v>
      </c>
      <c r="BM39" s="213">
        <f t="shared" si="48"/>
        <v>-3000</v>
      </c>
      <c r="BO39" s="4">
        <f t="shared" ca="1" si="21"/>
        <v>697836.71981199505</v>
      </c>
      <c r="BQ39" s="4">
        <f ca="1">IF(AND(REFUND_FINANCING="Yes",$D39&gt;PREMIUM_CALL_FIRST),0, IF(ISERROR(VLOOKUP($D39,'Senior Lien DS - First'!$A$11:$O$81,COLUMNS('Senior Lien DS - First'!$A$11:$O$11),0)),0,VLOOKUP($D39,'Senior Lien DS - First'!$A$11:$O$81,COLUMNS('Senior Lien DS - First'!$A$11:$O$11),0)))</f>
        <v>465923.61527054396</v>
      </c>
      <c r="BR39" s="4">
        <f>IF(ISERROR(VLOOKUP($D39,'Senior Lien DS - Refunding'!$A$11:$O$81,COLUMNS('Senior Lien DS - Refunding'!$A$11:$O$11),0)),0,VLOOKUP($D39,'Senior Lien DS - Refunding'!$A$11:$O$81,COLUMNS('Senior Lien DS - Refunding'!$A$11:$O$11),0))</f>
        <v>0</v>
      </c>
      <c r="BS39" s="4">
        <f t="shared" ca="1" si="33"/>
        <v>465923.61527054396</v>
      </c>
      <c r="BT39" s="84">
        <f t="shared" ca="1" si="34"/>
        <v>1.3124319508891367</v>
      </c>
      <c r="BU39" s="4">
        <f t="shared" ca="1" si="49"/>
        <v>145569.42408429564</v>
      </c>
      <c r="BV39" s="4">
        <f t="shared" si="66"/>
        <v>0</v>
      </c>
      <c r="BW39" s="4">
        <f t="shared" ca="1" si="67"/>
        <v>0</v>
      </c>
      <c r="BX39" s="4">
        <f t="shared" ca="1" si="50"/>
        <v>145569.42408429564</v>
      </c>
      <c r="BY39" s="4">
        <f t="shared" ca="1" si="51"/>
        <v>145569.42408429564</v>
      </c>
      <c r="BZ39" s="4">
        <f t="shared" ca="1" si="52"/>
        <v>0</v>
      </c>
      <c r="CA39" s="4">
        <f t="shared" ca="1" si="35"/>
        <v>0</v>
      </c>
      <c r="CB39" s="14">
        <f ca="1">IF(ISERROR((VLOOKUP($D39,'Senior Lien DS - First'!$A$11:$P$71,COLUMNS('Senior Lien DS - First'!$A$11:$P$11)))/Summary!$AG40),"",(IF(REFUND_FINANCING="Yes",0,VLOOKUP($D39,'Senior Lien DS - First'!$A$11:$P$71,COLUMNS('Senior Lien DS - First'!$A$11:$P$11))))/Summary!$AG40)</f>
        <v>7.3308413030291298E-3</v>
      </c>
      <c r="CC39" s="10">
        <f ca="1">IF(ISERROR((VLOOKUP($C39,'Senior Lien DS - First'!$A$11:$P$71,COLUMNS('Senior Lien DS - First'!$A$11:$P$11)))/Summary!$M40),"",(VLOOKUP($C39,'Senior Lien DS - First'!$A$11:$P$71,COLUMNS('Senior Lien DS - First'!$A$11:$P$11)))/Summary!$M40)</f>
        <v>4.8429240562787345E-3</v>
      </c>
      <c r="CD39" s="9">
        <f t="shared" ca="1" si="36"/>
        <v>1.3124319508891367</v>
      </c>
      <c r="CE39" s="9">
        <f t="shared" ca="1" si="53"/>
        <v>1.3124319508891367</v>
      </c>
      <c r="CH39" s="4">
        <f t="shared" ca="1" si="73"/>
        <v>142569.42408429564</v>
      </c>
      <c r="CI39" s="309">
        <v>0</v>
      </c>
      <c r="CJ39" s="4">
        <f t="shared" ca="1" si="72"/>
        <v>142569.42408429564</v>
      </c>
      <c r="CK39" s="4">
        <f>IF(ISNA(VLOOKUP(DATE(YEAR($D39),PRIN_MATURITY,PRIN_MATURITY_DAY_SUB),'Sub Lien DS - First (Annual)'!$A$12:$H$96,COLUMNS('Sub Lien DS - First (Annual)'!$A$12:$H$12),0)),0,VLOOKUP(DATE(YEAR($D39),PRIN_MATURITY,PRIN_MATURITY_DAY_SUB),'Sub Lien DS - First (Annual)'!$A$12:$H$96,COLUMNS('Sub Lien DS - First (Annual)'!$A$12:$H$12),0))</f>
        <v>0</v>
      </c>
      <c r="CL39" s="4">
        <f t="shared" ca="1" si="55"/>
        <v>0</v>
      </c>
      <c r="CM39" s="4">
        <f t="shared" ca="1" si="37"/>
        <v>0</v>
      </c>
      <c r="CN39" s="4">
        <f t="shared" ca="1" si="56"/>
        <v>0</v>
      </c>
      <c r="CO39" s="4">
        <f t="shared" ca="1" si="68"/>
        <v>0</v>
      </c>
      <c r="CP39" s="4"/>
      <c r="CQ39" s="4">
        <f>IF(YEAR(DELIVERY)=YEAR($D39),'Sources and Uses - First'!$D$12,0)</f>
        <v>0</v>
      </c>
      <c r="CR39" s="4">
        <f>IF(ISNA(VLOOKUP(DATE(YEAR($D39),PRIN_MATURITY, PRIN_MATURITY_DAY_SUB),'Sub Lien DS - First (Annual)'!$A$12:$G$41,COLUMNS('Sub Lien DS - First (Annual)'!$A$12:$G$12),0)),0,VLOOKUP(DATE(YEAR($D39),PRIN_MATURITY, PRIN_MATURITY_DAY_SUB),'Sub Lien DS - First (Annual)'!$A$12:$G$41,COLUMNS('Sub Lien DS - First (Annual)'!$A$12:$G$12),0))</f>
        <v>0</v>
      </c>
      <c r="CS39" s="4">
        <f ca="1">SUM($CQ$14:CQ39)-SUM($CR$14:CR39)</f>
        <v>-1000000</v>
      </c>
      <c r="CT39" s="4">
        <f ca="1">SUM($CQ$14:CQ39)-SUM($CR$14:CR39)</f>
        <v>-1000000</v>
      </c>
      <c r="CU39" s="4">
        <f t="shared" ca="1" si="57"/>
        <v>0</v>
      </c>
      <c r="CV39" s="4">
        <f t="shared" ca="1" si="58"/>
        <v>0</v>
      </c>
      <c r="CW39" s="4">
        <f t="shared" ca="1" si="59"/>
        <v>142569.42408429564</v>
      </c>
      <c r="CX39" s="4">
        <f t="shared" ca="1" si="69"/>
        <v>142569.42408429564</v>
      </c>
      <c r="CY39" s="4">
        <f ca="1">SUM($CW$14:CW39)-SUM($CX$14:CX39)</f>
        <v>0</v>
      </c>
    </row>
    <row r="40" spans="1:103" x14ac:dyDescent="0.25">
      <c r="A40">
        <f t="shared" si="22"/>
        <v>28</v>
      </c>
      <c r="B40" s="3">
        <f>VLOOKUP($C40,'Residential Development'!$D$14:$P$33,COLUMNS('Residential Development'!$D$14:$F$14))</f>
        <v>0</v>
      </c>
      <c r="C40" s="75">
        <f t="shared" si="38"/>
        <v>55213</v>
      </c>
      <c r="D40" s="75">
        <f t="shared" si="38"/>
        <v>55579</v>
      </c>
      <c r="E40" s="3">
        <f t="shared" si="39"/>
        <v>0</v>
      </c>
      <c r="F40" s="3">
        <f>VLOOKUP($C40,'Residential Development'!$DW$14:$EL$33,COLUMNS('Residential Development'!$DW$14:$DX$14))+F39+E40</f>
        <v>0</v>
      </c>
      <c r="G40" s="4">
        <f t="shared" si="23"/>
        <v>0</v>
      </c>
      <c r="H40" s="3">
        <f>VLOOKUP($C40,'Residential Development'!$D$14:$Q$33,COLUMNS('Residential Development'!$D$14:$Q$14))</f>
        <v>0</v>
      </c>
      <c r="I40" s="3">
        <f ca="1">VLOOKUP($C40,'Residential Development'!$AW$33:$BK41,COLUMNS('Residential Development'!$AW$13:$BK$33))</f>
        <v>0</v>
      </c>
      <c r="J40" s="4">
        <f t="shared" ca="1" si="24"/>
        <v>0</v>
      </c>
      <c r="K40" s="4">
        <f>VLOOKUP($C40,'Residential Development'!$CD$14:$CQ$33,COLUMNS('Residential Development'!$CD$14:$CQ$14))</f>
        <v>0</v>
      </c>
      <c r="L40" s="3">
        <f t="shared" ca="1" si="60"/>
        <v>4334178.8485590294</v>
      </c>
      <c r="M40" s="3">
        <f ca="1">VLOOKUP($C40,'Residential Development'!$EN$14:$FC$33,COLUMNS('Residential Development'!$EN$14:$FC$14))+M39+L40</f>
        <v>437752063.70446199</v>
      </c>
      <c r="N40" s="3">
        <f t="shared" ca="1" si="41"/>
        <v>240763635.03745413</v>
      </c>
      <c r="O40" s="322"/>
      <c r="P40" s="4">
        <f>VLOOKUP($C40,'Residential Development'!$AH$14:$AI$38,2)</f>
        <v>0</v>
      </c>
      <c r="Q40" s="4">
        <f t="shared" ca="1" si="8"/>
        <v>240763635.03745413</v>
      </c>
      <c r="R40" s="4"/>
      <c r="S40" s="4">
        <f t="shared" si="25"/>
        <v>0</v>
      </c>
      <c r="T40" s="4">
        <f>VLOOKUP($C40,'Comm Development'!$CG$14:$CR$33,COLUMNS('Comm Development'!$CG$14:$CR$14))+T39+S40</f>
        <v>0</v>
      </c>
      <c r="U40" s="3"/>
      <c r="V40" s="3">
        <f>VLOOKUP($C40,'Comm Development'!$BG$14:$BR$33,COLUMNS('Comm Development'!$BG$14:$BR$14))</f>
        <v>0</v>
      </c>
      <c r="W40" s="4">
        <f t="shared" si="26"/>
        <v>0</v>
      </c>
      <c r="X40" s="4">
        <f>VLOOKUP($C40,'Comm Development'!$CG$14:$CR$33,COLUMNS('Comm Development'!$CG$14:$CR$14))+X39+W40</f>
        <v>0</v>
      </c>
      <c r="Y40" s="3">
        <f t="shared" si="42"/>
        <v>0</v>
      </c>
      <c r="Z40" s="3">
        <f t="shared" si="61"/>
        <v>0</v>
      </c>
      <c r="AA40" s="322">
        <f t="shared" si="43"/>
        <v>0</v>
      </c>
      <c r="AB40" s="297"/>
      <c r="AC40" s="4"/>
      <c r="AD40" s="4">
        <f t="shared" si="44"/>
        <v>0</v>
      </c>
      <c r="AE40" s="4">
        <f t="shared" si="45"/>
        <v>0</v>
      </c>
      <c r="AG40" s="4">
        <f t="shared" ca="1" si="9"/>
        <v>240763635.03745413</v>
      </c>
      <c r="AH40" s="18">
        <f t="shared" si="27"/>
        <v>3</v>
      </c>
      <c r="AI40" s="4">
        <f t="shared" ca="1" si="28"/>
        <v>707845.08701011515</v>
      </c>
      <c r="AJ40" s="4">
        <f t="shared" ca="1" si="11"/>
        <v>0</v>
      </c>
      <c r="AK40" s="3">
        <f t="shared" si="12"/>
        <v>0</v>
      </c>
      <c r="AL40" s="194">
        <f t="shared" si="13"/>
        <v>0</v>
      </c>
      <c r="AM40" s="4">
        <f t="shared" si="62"/>
        <v>0</v>
      </c>
      <c r="AN40" s="4">
        <f t="shared" si="63"/>
        <v>0</v>
      </c>
      <c r="AO40" s="97"/>
      <c r="AP40" s="4">
        <f t="shared" si="64"/>
        <v>0</v>
      </c>
      <c r="AQ40" s="4">
        <f t="shared" si="3"/>
        <v>0</v>
      </c>
      <c r="AR40" s="364">
        <f t="shared" ca="1" si="14"/>
        <v>707845.08701011515</v>
      </c>
      <c r="AT40" s="213">
        <f t="shared" ca="1" si="46"/>
        <v>0</v>
      </c>
      <c r="AU40" s="213">
        <f t="shared" ca="1" si="65"/>
        <v>-4000</v>
      </c>
      <c r="AV40" s="312">
        <f t="shared" si="70"/>
        <v>-87050.554066298573</v>
      </c>
      <c r="AX40" s="4">
        <f t="shared" ca="1" si="32"/>
        <v>616794.53294381662</v>
      </c>
      <c r="AZ40" s="4">
        <f t="shared" ca="1" si="15"/>
        <v>240763635.03745413</v>
      </c>
      <c r="BA40" s="18">
        <f t="shared" si="47"/>
        <v>3</v>
      </c>
      <c r="BB40" s="4">
        <f t="shared" ca="1" si="16"/>
        <v>707845.08701011515</v>
      </c>
      <c r="BC40" s="4">
        <f t="shared" ca="1" si="17"/>
        <v>0</v>
      </c>
      <c r="BD40" s="3">
        <f t="shared" si="18"/>
        <v>0</v>
      </c>
      <c r="BE40" s="194">
        <f t="shared" si="19"/>
        <v>0</v>
      </c>
      <c r="BF40" s="4">
        <f t="shared" si="4"/>
        <v>0</v>
      </c>
      <c r="BG40" s="4">
        <f t="shared" si="5"/>
        <v>0</v>
      </c>
      <c r="BH40" s="97"/>
      <c r="BI40" s="4">
        <f t="shared" si="6"/>
        <v>0</v>
      </c>
      <c r="BJ40" s="4">
        <f t="shared" si="7"/>
        <v>0</v>
      </c>
      <c r="BK40" s="96">
        <f t="shared" ca="1" si="71"/>
        <v>707845.08701011515</v>
      </c>
      <c r="BM40" s="213">
        <f t="shared" si="48"/>
        <v>-3000</v>
      </c>
      <c r="BO40" s="4">
        <f t="shared" ca="1" si="21"/>
        <v>704845.08701011515</v>
      </c>
      <c r="BQ40" s="4">
        <f ca="1">IF(AND(REFUND_FINANCING="Yes",$D40&gt;PREMIUM_CALL_FIRST),0, IF(ISERROR(VLOOKUP($D40,'Senior Lien DS - First'!$A$11:$O$81,COLUMNS('Senior Lien DS - First'!$A$11:$O$11),0)),0,VLOOKUP($D40,'Senior Lien DS - First'!$A$11:$O$81,COLUMNS('Senior Lien DS - First'!$A$11:$O$11),0)))</f>
        <v>470067.36527054396</v>
      </c>
      <c r="BR40" s="4">
        <f>IF(ISERROR(VLOOKUP($D40,'Senior Lien DS - Refunding'!$A$11:$O$81,COLUMNS('Senior Lien DS - Refunding'!$A$11:$O$11),0)),0,VLOOKUP($D40,'Senior Lien DS - Refunding'!$A$11:$O$81,COLUMNS('Senior Lien DS - Refunding'!$A$11:$O$11),0))</f>
        <v>0</v>
      </c>
      <c r="BS40" s="4">
        <f t="shared" ca="1" si="33"/>
        <v>470067.36527054396</v>
      </c>
      <c r="BT40" s="84">
        <f t="shared" ca="1" si="34"/>
        <v>1.312140723891404</v>
      </c>
      <c r="BU40" s="4">
        <f t="shared" ca="1" si="49"/>
        <v>146727.16767327266</v>
      </c>
      <c r="BV40" s="4">
        <f t="shared" si="66"/>
        <v>0</v>
      </c>
      <c r="BW40" s="4">
        <f t="shared" ca="1" si="67"/>
        <v>0</v>
      </c>
      <c r="BX40" s="4">
        <f t="shared" ca="1" si="50"/>
        <v>146727.16767327266</v>
      </c>
      <c r="BY40" s="4">
        <f t="shared" ca="1" si="51"/>
        <v>146727.16767327266</v>
      </c>
      <c r="BZ40" s="4">
        <f t="shared" ca="1" si="52"/>
        <v>0</v>
      </c>
      <c r="CA40" s="4">
        <f t="shared" ca="1" si="35"/>
        <v>0</v>
      </c>
      <c r="CB40" s="14">
        <f ca="1">IF(ISERROR((VLOOKUP($D40,'Senior Lien DS - First'!$A$11:$P$71,COLUMNS('Senior Lien DS - First'!$A$11:$P$11)))/Summary!$AG41),"",(IF(REFUND_FINANCING="Yes",0,VLOOKUP($D40,'Senior Lien DS - First'!$A$11:$P$71,COLUMNS('Senior Lien DS - First'!$A$11:$P$11))))/Summary!$AG41)</f>
        <v>5.6955741198190029E-3</v>
      </c>
      <c r="CC40" s="10">
        <f ca="1">IF(ISERROR((VLOOKUP($C40,'Senior Lien DS - First'!$A$11:$P$71,COLUMNS('Senior Lien DS - First'!$A$11:$P$11)))/Summary!$M41),"",(VLOOKUP($C40,'Senior Lien DS - First'!$A$11:$P$71,COLUMNS('Senior Lien DS - First'!$A$11:$P$11)))/Summary!$M41)</f>
        <v>3.9920422937287344E-3</v>
      </c>
      <c r="CD40" s="9">
        <f t="shared" ca="1" si="36"/>
        <v>1.312140723891404</v>
      </c>
      <c r="CE40" s="9">
        <f t="shared" ca="1" si="53"/>
        <v>1.312140723891404</v>
      </c>
      <c r="CH40" s="4">
        <f t="shared" ca="1" si="73"/>
        <v>143727.16767327266</v>
      </c>
      <c r="CI40" s="309">
        <v>0</v>
      </c>
      <c r="CJ40" s="4">
        <f t="shared" ca="1" si="72"/>
        <v>143727.16767327266</v>
      </c>
      <c r="CK40" s="4">
        <f>IF(ISNA(VLOOKUP(DATE(YEAR($D40),PRIN_MATURITY,PRIN_MATURITY_DAY_SUB),'Sub Lien DS - First (Annual)'!$A$12:$H$96,COLUMNS('Sub Lien DS - First (Annual)'!$A$12:$H$12),0)),0,VLOOKUP(DATE(YEAR($D40),PRIN_MATURITY,PRIN_MATURITY_DAY_SUB),'Sub Lien DS - First (Annual)'!$A$12:$H$96,COLUMNS('Sub Lien DS - First (Annual)'!$A$12:$H$12),0))</f>
        <v>0</v>
      </c>
      <c r="CL40" s="4">
        <f t="shared" ca="1" si="55"/>
        <v>0</v>
      </c>
      <c r="CM40" s="4">
        <f t="shared" ca="1" si="37"/>
        <v>0</v>
      </c>
      <c r="CN40" s="4">
        <f t="shared" ca="1" si="56"/>
        <v>0</v>
      </c>
      <c r="CO40" s="4">
        <f t="shared" ca="1" si="68"/>
        <v>0</v>
      </c>
      <c r="CP40" s="4"/>
      <c r="CQ40" s="4">
        <f>IF(YEAR(DELIVERY)=YEAR($D40),'Sources and Uses - First'!$D$12,0)</f>
        <v>0</v>
      </c>
      <c r="CR40" s="4">
        <f>IF(ISNA(VLOOKUP(DATE(YEAR($D40),PRIN_MATURITY, PRIN_MATURITY_DAY_SUB),'Sub Lien DS - First (Annual)'!$A$12:$G$41,COLUMNS('Sub Lien DS - First (Annual)'!$A$12:$G$12),0)),0,VLOOKUP(DATE(YEAR($D40),PRIN_MATURITY, PRIN_MATURITY_DAY_SUB),'Sub Lien DS - First (Annual)'!$A$12:$G$41,COLUMNS('Sub Lien DS - First (Annual)'!$A$12:$G$12),0))</f>
        <v>0</v>
      </c>
      <c r="CS40" s="4">
        <f ca="1">SUM($CQ$14:CQ40)-SUM($CR$14:CR40)</f>
        <v>-1000000</v>
      </c>
      <c r="CT40" s="4">
        <f ca="1">SUM($CQ$14:CQ40)-SUM($CR$14:CR40)</f>
        <v>-1000000</v>
      </c>
      <c r="CU40" s="4">
        <f t="shared" ca="1" si="57"/>
        <v>0</v>
      </c>
      <c r="CV40" s="4">
        <f t="shared" ca="1" si="58"/>
        <v>0</v>
      </c>
      <c r="CW40" s="4">
        <f t="shared" ca="1" si="59"/>
        <v>143727.16767327266</v>
      </c>
      <c r="CX40" s="4">
        <f t="shared" ca="1" si="69"/>
        <v>143727.16767327266</v>
      </c>
      <c r="CY40" s="4">
        <f ca="1">SUM($CW$14:CW40)-SUM($CX$14:CX40)</f>
        <v>0</v>
      </c>
    </row>
    <row r="41" spans="1:103" x14ac:dyDescent="0.25">
      <c r="A41">
        <f t="shared" si="22"/>
        <v>29</v>
      </c>
      <c r="B41" s="3"/>
      <c r="C41" s="75">
        <f t="shared" si="38"/>
        <v>55579</v>
      </c>
      <c r="D41" s="75">
        <f t="shared" si="38"/>
        <v>55944</v>
      </c>
      <c r="E41" s="3">
        <f t="shared" si="39"/>
        <v>0</v>
      </c>
      <c r="F41" s="3">
        <f>VLOOKUP($C41,'Residential Development'!$DW$14:$EL$33,COLUMNS('Residential Development'!$DW$14:$DX$14))+F40+E41</f>
        <v>0</v>
      </c>
      <c r="G41" s="4">
        <f t="shared" si="23"/>
        <v>0</v>
      </c>
      <c r="H41" s="3">
        <f>VLOOKUP($C41,'Residential Development'!$D$14:$Q$33,COLUMNS('Residential Development'!$D$14:$Q$14))</f>
        <v>0</v>
      </c>
      <c r="I41" s="3">
        <f ca="1">VLOOKUP($C41,'Residential Development'!$AW$33:$BK42,COLUMNS('Residential Development'!$AW$13:$BK$33))</f>
        <v>0</v>
      </c>
      <c r="J41" s="4">
        <f t="shared" ca="1" si="24"/>
        <v>0</v>
      </c>
      <c r="K41" s="4">
        <f>VLOOKUP($C41,'Residential Development'!$CD$14:$CQ$33,COLUMNS('Residential Development'!$CD$14:$CQ$14))</f>
        <v>0</v>
      </c>
      <c r="L41" s="3">
        <f t="shared" ca="1" si="60"/>
        <v>4377520.6370446198</v>
      </c>
      <c r="M41" s="3">
        <f ca="1">VLOOKUP($C41,'Residential Development'!$EN$14:$FC$33,COLUMNS('Residential Development'!$EN$14:$FC$14))+M40+L41</f>
        <v>442129584.3415066</v>
      </c>
      <c r="N41" s="3">
        <f t="shared" ca="1" si="41"/>
        <v>243171271.38782865</v>
      </c>
      <c r="O41" s="322"/>
      <c r="P41" s="4">
        <f>VLOOKUP($C41,'Residential Development'!$AH$14:$AI$38,2)</f>
        <v>0</v>
      </c>
      <c r="Q41" s="4">
        <f t="shared" ca="1" si="8"/>
        <v>243171271.38782865</v>
      </c>
      <c r="R41" s="4"/>
      <c r="S41" s="4">
        <f t="shared" si="25"/>
        <v>0</v>
      </c>
      <c r="T41" s="4">
        <f>VLOOKUP($C41,'Comm Development'!$CG$14:$CR$33,COLUMNS('Comm Development'!$CG$14:$CR$14))+T40+S41</f>
        <v>0</v>
      </c>
      <c r="U41" s="3"/>
      <c r="V41" s="3">
        <f>VLOOKUP($C41,'Comm Development'!$BG$14:$BR$33,COLUMNS('Comm Development'!$BG$14:$BR$14))</f>
        <v>0</v>
      </c>
      <c r="W41" s="4">
        <f t="shared" si="26"/>
        <v>0</v>
      </c>
      <c r="X41" s="4">
        <f>VLOOKUP($C41,'Comm Development'!$CG$14:$CR$33,COLUMNS('Comm Development'!$CG$14:$CR$14))+X40+W41</f>
        <v>0</v>
      </c>
      <c r="Y41" s="3">
        <f t="shared" si="42"/>
        <v>0</v>
      </c>
      <c r="Z41" s="3">
        <f t="shared" si="61"/>
        <v>0</v>
      </c>
      <c r="AA41" s="322">
        <f t="shared" si="43"/>
        <v>0</v>
      </c>
      <c r="AB41" s="297"/>
      <c r="AC41" s="4"/>
      <c r="AD41" s="4">
        <f t="shared" si="44"/>
        <v>0</v>
      </c>
      <c r="AE41" s="4">
        <f t="shared" si="45"/>
        <v>0</v>
      </c>
      <c r="AG41" s="4">
        <f t="shared" ca="1" si="9"/>
        <v>243171271.38782865</v>
      </c>
      <c r="AH41" s="18">
        <f t="shared" si="27"/>
        <v>3</v>
      </c>
      <c r="AI41" s="4">
        <f t="shared" ca="1" si="28"/>
        <v>714923.53788021626</v>
      </c>
      <c r="AJ41" s="4">
        <f t="shared" ca="1" si="11"/>
        <v>0</v>
      </c>
      <c r="AK41" s="3">
        <f t="shared" si="12"/>
        <v>0</v>
      </c>
      <c r="AL41" s="194">
        <f t="shared" si="13"/>
        <v>0</v>
      </c>
      <c r="AM41" s="4">
        <f t="shared" si="62"/>
        <v>0</v>
      </c>
      <c r="AN41" s="4">
        <f t="shared" si="63"/>
        <v>0</v>
      </c>
      <c r="AO41" s="97"/>
      <c r="AP41" s="4">
        <f t="shared" si="64"/>
        <v>0</v>
      </c>
      <c r="AQ41" s="4">
        <f t="shared" si="3"/>
        <v>0</v>
      </c>
      <c r="AR41" s="364">
        <f t="shared" ca="1" si="14"/>
        <v>714923.53788021626</v>
      </c>
      <c r="AT41" s="213">
        <f t="shared" ca="1" si="46"/>
        <v>0</v>
      </c>
      <c r="AU41" s="213">
        <f t="shared" ca="1" si="65"/>
        <v>-4000</v>
      </c>
      <c r="AV41" s="312">
        <f t="shared" si="70"/>
        <v>-88791.56514762454</v>
      </c>
      <c r="AX41" s="4">
        <f t="shared" ca="1" si="32"/>
        <v>622131.97273259168</v>
      </c>
      <c r="AZ41" s="4">
        <f t="shared" ca="1" si="15"/>
        <v>243171271.38782865</v>
      </c>
      <c r="BA41" s="18">
        <f t="shared" si="47"/>
        <v>3</v>
      </c>
      <c r="BB41" s="4">
        <f t="shared" ca="1" si="16"/>
        <v>714923.53788021626</v>
      </c>
      <c r="BC41" s="4">
        <f t="shared" ca="1" si="17"/>
        <v>0</v>
      </c>
      <c r="BD41" s="3">
        <f t="shared" si="18"/>
        <v>0</v>
      </c>
      <c r="BE41" s="194">
        <f t="shared" si="19"/>
        <v>0</v>
      </c>
      <c r="BF41" s="4">
        <f t="shared" si="4"/>
        <v>0</v>
      </c>
      <c r="BG41" s="4">
        <f t="shared" si="5"/>
        <v>0</v>
      </c>
      <c r="BH41" s="97"/>
      <c r="BI41" s="4">
        <f t="shared" si="6"/>
        <v>0</v>
      </c>
      <c r="BJ41" s="4">
        <f t="shared" si="7"/>
        <v>0</v>
      </c>
      <c r="BK41" s="96">
        <f t="shared" ca="1" si="71"/>
        <v>714923.53788021626</v>
      </c>
      <c r="BM41" s="213">
        <f t="shared" si="48"/>
        <v>-3000</v>
      </c>
      <c r="BO41" s="4">
        <f t="shared" ca="1" si="21"/>
        <v>711923.53788021626</v>
      </c>
      <c r="BQ41" s="4">
        <f ca="1">IF(AND(REFUND_FINANCING="Yes",$D41&gt;PREMIUM_CALL_FIRST),0, IF(ISERROR(VLOOKUP($D41,'Senior Lien DS - First'!$A$11:$O$81,COLUMNS('Senior Lien DS - First'!$A$11:$O$11),0)),0,VLOOKUP($D41,'Senior Lien DS - First'!$A$11:$O$81,COLUMNS('Senior Lien DS - First'!$A$11:$O$11),0)))</f>
        <v>472742.36527054396</v>
      </c>
      <c r="BR41" s="4">
        <f>IF(ISERROR(VLOOKUP($D41,'Senior Lien DS - Refunding'!$A$11:$O$81,COLUMNS('Senior Lien DS - Refunding'!$A$11:$O$11),0)),0,VLOOKUP($D41,'Senior Lien DS - Refunding'!$A$11:$O$81,COLUMNS('Senior Lien DS - Refunding'!$A$11:$O$11),0))</f>
        <v>0</v>
      </c>
      <c r="BS41" s="4">
        <f t="shared" ca="1" si="33"/>
        <v>472742.36527054396</v>
      </c>
      <c r="BT41" s="84">
        <f t="shared" ca="1" si="34"/>
        <v>1.3160063883349107</v>
      </c>
      <c r="BU41" s="4">
        <f t="shared" ca="1" si="49"/>
        <v>149389.60746204772</v>
      </c>
      <c r="BV41" s="4">
        <f t="shared" si="66"/>
        <v>0</v>
      </c>
      <c r="BW41" s="4">
        <f t="shared" ca="1" si="67"/>
        <v>0</v>
      </c>
      <c r="BX41" s="4">
        <f t="shared" ref="BX41:BX48" ca="1" si="74">AX41-BS41-BW41</f>
        <v>149389.60746204772</v>
      </c>
      <c r="BY41" s="4">
        <f t="shared" ca="1" si="51"/>
        <v>149389.60746204772</v>
      </c>
      <c r="BZ41" s="4">
        <f t="shared" ca="1" si="52"/>
        <v>0</v>
      </c>
      <c r="CA41" s="4">
        <f t="shared" ca="1" si="35"/>
        <v>0</v>
      </c>
      <c r="CB41" s="14">
        <f ca="1">IF(ISERROR((VLOOKUP($D41,'Senior Lien DS - First'!$A$11:$P$71,COLUMNS('Senior Lien DS - First'!$A$11:$P$11)))/Summary!$AG42),"",(IF(REFUND_FINANCING="Yes",0,VLOOKUP($D41,'Senior Lien DS - First'!$A$11:$P$71,COLUMNS('Senior Lien DS - First'!$A$11:$P$11))))/Summary!$AG42)</f>
        <v>3.990179531345478E-3</v>
      </c>
      <c r="CC41" s="10">
        <f ca="1">IF(ISERROR((VLOOKUP($C41,'Senior Lien DS - First'!$A$11:$P$71,COLUMNS('Senior Lien DS - First'!$A$11:$P$11)))/Summary!$M42),"",(VLOOKUP($C41,'Senior Lien DS - First'!$A$11:$P$71,COLUMNS('Senior Lien DS - First'!$A$11:$P$11)))/Summary!$M42)</f>
        <v>3.1015502632677737E-3</v>
      </c>
      <c r="CD41" s="9">
        <f t="shared" ca="1" si="36"/>
        <v>1.3160063883349107</v>
      </c>
      <c r="CE41" s="9">
        <f t="shared" ca="1" si="53"/>
        <v>1.3160063883349107</v>
      </c>
      <c r="CH41" s="4">
        <f t="shared" ca="1" si="73"/>
        <v>146389.60746204772</v>
      </c>
      <c r="CI41" s="309">
        <v>0</v>
      </c>
      <c r="CJ41" s="4">
        <f t="shared" ca="1" si="72"/>
        <v>146389.60746204772</v>
      </c>
      <c r="CK41" s="4">
        <f>IF(ISNA(VLOOKUP(DATE(YEAR($D41),PRIN_MATURITY,PRIN_MATURITY_DAY_SUB),'Sub Lien DS - First (Annual)'!$A$12:$H$96,COLUMNS('Sub Lien DS - First (Annual)'!$A$12:$H$12),0)),0,VLOOKUP(DATE(YEAR($D41),PRIN_MATURITY,PRIN_MATURITY_DAY_SUB),'Sub Lien DS - First (Annual)'!$A$12:$H$96,COLUMNS('Sub Lien DS - First (Annual)'!$A$12:$H$12),0))</f>
        <v>0</v>
      </c>
      <c r="CL41" s="4">
        <f t="shared" ca="1" si="55"/>
        <v>0</v>
      </c>
      <c r="CM41" s="4">
        <f t="shared" ca="1" si="37"/>
        <v>0</v>
      </c>
      <c r="CN41" s="4">
        <f t="shared" ca="1" si="56"/>
        <v>0</v>
      </c>
      <c r="CO41" s="4">
        <f t="shared" ca="1" si="68"/>
        <v>0</v>
      </c>
      <c r="CP41" s="4"/>
      <c r="CQ41" s="4">
        <f>IF(YEAR(DELIVERY)=YEAR($D41),'Sources and Uses - First'!$D$12,0)</f>
        <v>0</v>
      </c>
      <c r="CR41" s="4">
        <f>IF(ISNA(VLOOKUP(DATE(YEAR($D41),PRIN_MATURITY, PRIN_MATURITY_DAY_SUB),'Sub Lien DS - First (Annual)'!$A$12:$G$41,COLUMNS('Sub Lien DS - First (Annual)'!$A$12:$G$12),0)),0,VLOOKUP(DATE(YEAR($D41),PRIN_MATURITY, PRIN_MATURITY_DAY_SUB),'Sub Lien DS - First (Annual)'!$A$12:$G$41,COLUMNS('Sub Lien DS - First (Annual)'!$A$12:$G$12),0))</f>
        <v>0</v>
      </c>
      <c r="CS41" s="4">
        <f ca="1">SUM($CQ$14:CQ41)-SUM($CR$14:CR41)</f>
        <v>-1000000</v>
      </c>
      <c r="CT41" s="4">
        <f ca="1">SUM($CQ$14:CQ41)-SUM($CR$14:CR41)</f>
        <v>-1000000</v>
      </c>
      <c r="CU41" s="4">
        <f t="shared" ca="1" si="57"/>
        <v>0</v>
      </c>
      <c r="CV41" s="4">
        <f t="shared" ca="1" si="58"/>
        <v>0</v>
      </c>
      <c r="CW41" s="4">
        <f t="shared" ca="1" si="59"/>
        <v>146389.60746204772</v>
      </c>
      <c r="CX41" s="4">
        <f t="shared" ca="1" si="69"/>
        <v>146389.60746204772</v>
      </c>
      <c r="CY41" s="4">
        <f ca="1">SUM($CW$14:CW41)-SUM($CX$14:CX41)</f>
        <v>0</v>
      </c>
    </row>
    <row r="42" spans="1:103" x14ac:dyDescent="0.25">
      <c r="A42">
        <f t="shared" si="22"/>
        <v>30</v>
      </c>
      <c r="B42" s="3"/>
      <c r="C42" s="75">
        <f t="shared" si="38"/>
        <v>55944</v>
      </c>
      <c r="D42" s="75">
        <f t="shared" si="38"/>
        <v>56309</v>
      </c>
      <c r="E42" s="3">
        <f t="shared" si="39"/>
        <v>0</v>
      </c>
      <c r="F42" s="3">
        <f>VLOOKUP($C42,'Residential Development'!$DW$14:$EL$33,COLUMNS('Residential Development'!$DW$14:$DX$14))+F41+E42</f>
        <v>0</v>
      </c>
      <c r="G42" s="4">
        <f t="shared" si="23"/>
        <v>0</v>
      </c>
      <c r="H42" s="3">
        <f>VLOOKUP($C42,'Residential Development'!$D$14:$Q$33,COLUMNS('Residential Development'!$D$14:$Q$14))</f>
        <v>0</v>
      </c>
      <c r="I42" s="3">
        <f ca="1">VLOOKUP($C42,'Residential Development'!$AW$33:$BK43,COLUMNS('Residential Development'!$AW$13:$BK$33))</f>
        <v>0</v>
      </c>
      <c r="J42" s="4">
        <f t="shared" ca="1" si="24"/>
        <v>0</v>
      </c>
      <c r="K42" s="4">
        <f>VLOOKUP($C42,'Residential Development'!$CD$14:$CQ$33,COLUMNS('Residential Development'!$CD$14:$CQ$14))</f>
        <v>0</v>
      </c>
      <c r="L42" s="3">
        <f t="shared" ca="1" si="60"/>
        <v>4421295.8434150657</v>
      </c>
      <c r="M42" s="3">
        <f ca="1">VLOOKUP($C42,'Residential Development'!$EN$14:$FC$33,COLUMNS('Residential Development'!$EN$14:$FC$14))+M41+L42</f>
        <v>446550880.18492168</v>
      </c>
      <c r="N42" s="3">
        <f t="shared" ca="1" si="41"/>
        <v>245602984.10170695</v>
      </c>
      <c r="O42" s="322"/>
      <c r="P42" s="4">
        <f>VLOOKUP($C42,'Residential Development'!$AH$14:$AI$38,2)</f>
        <v>0</v>
      </c>
      <c r="Q42" s="4">
        <f t="shared" ca="1" si="8"/>
        <v>245602984.10170695</v>
      </c>
      <c r="R42" s="4"/>
      <c r="S42" s="4">
        <f t="shared" si="25"/>
        <v>0</v>
      </c>
      <c r="T42" s="4">
        <f>VLOOKUP($C42,'Comm Development'!$CG$14:$CR$33,COLUMNS('Comm Development'!$CG$14:$CR$14))+T41+S42</f>
        <v>0</v>
      </c>
      <c r="U42" s="3"/>
      <c r="V42" s="3">
        <f>VLOOKUP($C42,'Comm Development'!$BG$14:$BR$33,COLUMNS('Comm Development'!$BG$14:$BR$14))</f>
        <v>0</v>
      </c>
      <c r="W42" s="4">
        <f t="shared" si="26"/>
        <v>0</v>
      </c>
      <c r="X42" s="4">
        <f>VLOOKUP($C42,'Comm Development'!$CG$14:$CR$33,COLUMNS('Comm Development'!$CG$14:$CR$14))+X41+W42</f>
        <v>0</v>
      </c>
      <c r="Y42" s="3">
        <f t="shared" si="42"/>
        <v>0</v>
      </c>
      <c r="Z42" s="3">
        <f t="shared" si="61"/>
        <v>0</v>
      </c>
      <c r="AA42" s="322">
        <f t="shared" si="43"/>
        <v>0</v>
      </c>
      <c r="AB42" s="297"/>
      <c r="AC42" s="4"/>
      <c r="AD42" s="4">
        <f t="shared" si="44"/>
        <v>0</v>
      </c>
      <c r="AE42" s="4">
        <f t="shared" si="45"/>
        <v>0</v>
      </c>
      <c r="AG42" s="4">
        <f t="shared" ca="1" si="9"/>
        <v>245602984.10170695</v>
      </c>
      <c r="AH42" s="18">
        <f t="shared" si="27"/>
        <v>3</v>
      </c>
      <c r="AI42" s="4">
        <f t="shared" ca="1" si="28"/>
        <v>722072.77325901843</v>
      </c>
      <c r="AJ42" s="4">
        <f t="shared" ca="1" si="11"/>
        <v>0</v>
      </c>
      <c r="AK42" s="3">
        <f t="shared" si="12"/>
        <v>0</v>
      </c>
      <c r="AL42" s="194">
        <f t="shared" si="13"/>
        <v>0</v>
      </c>
      <c r="AM42" s="4">
        <f t="shared" si="62"/>
        <v>0</v>
      </c>
      <c r="AN42" s="4">
        <f t="shared" si="63"/>
        <v>0</v>
      </c>
      <c r="AO42" s="97"/>
      <c r="AP42" s="4">
        <f t="shared" si="64"/>
        <v>0</v>
      </c>
      <c r="AQ42" s="4">
        <f t="shared" si="3"/>
        <v>0</v>
      </c>
      <c r="AR42" s="364">
        <f t="shared" ca="1" si="14"/>
        <v>722072.77325901843</v>
      </c>
      <c r="AT42" s="213">
        <f t="shared" ca="1" si="46"/>
        <v>0</v>
      </c>
      <c r="AU42" s="213">
        <f t="shared" ca="1" si="65"/>
        <v>-4000</v>
      </c>
      <c r="AV42" s="312">
        <f t="shared" si="70"/>
        <v>-90567.396450577027</v>
      </c>
      <c r="AX42" s="4">
        <f t="shared" ca="1" si="32"/>
        <v>627505.37680844136</v>
      </c>
      <c r="AZ42" s="4">
        <f t="shared" ca="1" si="15"/>
        <v>245602984.10170695</v>
      </c>
      <c r="BA42" s="18">
        <f t="shared" si="47"/>
        <v>3</v>
      </c>
      <c r="BB42" s="4">
        <f t="shared" ca="1" si="16"/>
        <v>722072.77325901843</v>
      </c>
      <c r="BC42" s="4">
        <f t="shared" ca="1" si="17"/>
        <v>0</v>
      </c>
      <c r="BD42" s="3">
        <f t="shared" si="18"/>
        <v>0</v>
      </c>
      <c r="BE42" s="194">
        <f t="shared" si="19"/>
        <v>0</v>
      </c>
      <c r="BF42" s="4">
        <f t="shared" si="4"/>
        <v>0</v>
      </c>
      <c r="BG42" s="4">
        <f t="shared" si="5"/>
        <v>0</v>
      </c>
      <c r="BH42" s="97"/>
      <c r="BI42" s="4">
        <f t="shared" si="6"/>
        <v>0</v>
      </c>
      <c r="BJ42" s="4">
        <f t="shared" si="7"/>
        <v>0</v>
      </c>
      <c r="BK42" s="96">
        <f t="shared" ca="1" si="71"/>
        <v>722072.77325901843</v>
      </c>
      <c r="BM42" s="213">
        <f t="shared" si="48"/>
        <v>-3000</v>
      </c>
      <c r="BO42" s="4">
        <f t="shared" ca="1" si="21"/>
        <v>719072.77325901843</v>
      </c>
      <c r="BQ42" s="4">
        <f ca="1">IF(AND(REFUND_FINANCING="Yes",$D42&gt;PREMIUM_CALL_FIRST),0, IF(ISERROR(VLOOKUP($D42,'Senior Lien DS - First'!$A$11:$O$81,COLUMNS('Senior Lien DS - First'!$A$11:$O$11),0)),0,VLOOKUP($D42,'Senior Lien DS - First'!$A$11:$O$81,COLUMNS('Senior Lien DS - First'!$A$11:$O$11),0)))</f>
        <v>478893.2260923034</v>
      </c>
      <c r="BR42" s="4">
        <f>IF(ISERROR(VLOOKUP($D42,'Senior Lien DS - Refunding'!$A$11:$O$81,COLUMNS('Senior Lien DS - Refunding'!$A$11:$O$11),0)),0,VLOOKUP($D42,'Senior Lien DS - Refunding'!$A$11:$O$81,COLUMNS('Senior Lien DS - Refunding'!$A$11:$O$11),0))</f>
        <v>0</v>
      </c>
      <c r="BS42" s="4">
        <f t="shared" ca="1" si="33"/>
        <v>478893.2260923034</v>
      </c>
      <c r="BT42" s="84">
        <f t="shared" ca="1" si="34"/>
        <v>1.3103241863093174</v>
      </c>
      <c r="BU42" s="4">
        <f t="shared" ca="1" si="49"/>
        <v>148612.15071613796</v>
      </c>
      <c r="BV42" s="4">
        <f t="shared" si="66"/>
        <v>0</v>
      </c>
      <c r="BW42" s="4">
        <f t="shared" ca="1" si="67"/>
        <v>0</v>
      </c>
      <c r="BX42" s="4">
        <f t="shared" ca="1" si="74"/>
        <v>148612.15071613796</v>
      </c>
      <c r="BY42" s="4">
        <f t="shared" ca="1" si="51"/>
        <v>148612.15071613796</v>
      </c>
      <c r="BZ42" s="4">
        <f t="shared" ca="1" si="52"/>
        <v>0</v>
      </c>
      <c r="CA42" s="4">
        <f t="shared" ca="1" si="35"/>
        <v>0</v>
      </c>
      <c r="CB42" s="14">
        <f ca="1">IF(ISERROR((VLOOKUP($D42,'Senior Lien DS - First'!$A$11:$P$71,COLUMNS('Senior Lien DS - First'!$A$11:$P$11)))/Summary!$AG43),"",(IF(REFUND_FINANCING="Yes",0,VLOOKUP($D42,'Senior Lien DS - First'!$A$11:$P$71,COLUMNS('Senior Lien DS - First'!$A$11:$P$11))))/Summary!$AG43)</f>
        <v>0</v>
      </c>
      <c r="CC42" s="10">
        <f ca="1">IF(ISERROR((VLOOKUP($C42,'Senior Lien DS - First'!$A$11:$P$71,COLUMNS('Senior Lien DS - First'!$A$11:$P$11)))/Summary!$M43),"",(VLOOKUP($C42,'Senior Lien DS - First'!$A$11:$P$71,COLUMNS('Senior Lien DS - First'!$A$11:$P$11)))/Summary!$M43)</f>
        <v>2.1728700418217951E-3</v>
      </c>
      <c r="CD42" s="9">
        <f t="shared" ca="1" si="36"/>
        <v>1.3103241863093174</v>
      </c>
      <c r="CE42" s="9">
        <f t="shared" ca="1" si="53"/>
        <v>1.3103241863093174</v>
      </c>
      <c r="CH42" s="4">
        <f t="shared" ca="1" si="73"/>
        <v>145612.15071613796</v>
      </c>
      <c r="CI42" s="309">
        <v>0</v>
      </c>
      <c r="CJ42" s="4">
        <f t="shared" ca="1" si="72"/>
        <v>145612.15071613796</v>
      </c>
      <c r="CK42" s="4">
        <f>IF(ISNA(VLOOKUP(DATE(YEAR($D42),PRIN_MATURITY,PRIN_MATURITY_DAY_SUB),'Sub Lien DS - First (Annual)'!$A$12:$H$96,COLUMNS('Sub Lien DS - First (Annual)'!$A$12:$H$12),0)),0,VLOOKUP(DATE(YEAR($D42),PRIN_MATURITY,PRIN_MATURITY_DAY_SUB),'Sub Lien DS - First (Annual)'!$A$12:$H$96,COLUMNS('Sub Lien DS - First (Annual)'!$A$12:$H$12),0))</f>
        <v>0</v>
      </c>
      <c r="CL42" s="4">
        <f t="shared" ca="1" si="55"/>
        <v>0</v>
      </c>
      <c r="CM42" s="4">
        <f t="shared" ca="1" si="37"/>
        <v>0</v>
      </c>
      <c r="CN42" s="4">
        <f t="shared" ca="1" si="56"/>
        <v>0</v>
      </c>
      <c r="CO42" s="4">
        <f t="shared" ca="1" si="68"/>
        <v>0</v>
      </c>
      <c r="CP42" s="4"/>
      <c r="CQ42" s="4">
        <f>IF(YEAR(DELIVERY)=YEAR($D42),'Sources and Uses - First'!$D$12,0)</f>
        <v>0</v>
      </c>
      <c r="CR42" s="4">
        <f>IF(ISNA(VLOOKUP(DATE(YEAR($D42),PRIN_MATURITY, PRIN_MATURITY_DAY_SUB),'Sub Lien DS - First (Annual)'!$A$12:$G$41,COLUMNS('Sub Lien DS - First (Annual)'!$A$12:$G$12),0)),0,VLOOKUP(DATE(YEAR($D42),PRIN_MATURITY, PRIN_MATURITY_DAY_SUB),'Sub Lien DS - First (Annual)'!$A$12:$G$41,COLUMNS('Sub Lien DS - First (Annual)'!$A$12:$G$12),0))</f>
        <v>0</v>
      </c>
      <c r="CS42" s="4">
        <f ca="1">SUM($CQ$14:CQ42)-SUM($CR$14:CR42)</f>
        <v>-1000000</v>
      </c>
      <c r="CT42" s="4">
        <f ca="1">SUM($CQ$14:CQ42)-SUM($CR$14:CR42)</f>
        <v>-1000000</v>
      </c>
      <c r="CU42" s="4">
        <f t="shared" ca="1" si="57"/>
        <v>0</v>
      </c>
      <c r="CV42" s="4">
        <f t="shared" ca="1" si="58"/>
        <v>0</v>
      </c>
      <c r="CW42" s="4">
        <f t="shared" ca="1" si="59"/>
        <v>145612.15071613796</v>
      </c>
      <c r="CX42" s="4">
        <f t="shared" ca="1" si="69"/>
        <v>145612.15071613796</v>
      </c>
      <c r="CY42" s="4">
        <f ca="1">SUM($CW$14:CW42)-SUM($CX$14:CX42)</f>
        <v>0</v>
      </c>
    </row>
    <row r="43" spans="1:103" x14ac:dyDescent="0.25">
      <c r="A43">
        <f t="shared" si="22"/>
        <v>31</v>
      </c>
      <c r="C43" s="75">
        <f t="shared" si="38"/>
        <v>56309</v>
      </c>
      <c r="D43" s="75">
        <f t="shared" si="38"/>
        <v>56674</v>
      </c>
      <c r="E43" s="3">
        <f t="shared" si="39"/>
        <v>0</v>
      </c>
      <c r="F43" s="3">
        <f>VLOOKUP($C43,'Residential Development'!$DW$14:$EL$33,COLUMNS('Residential Development'!$DW$14:$DX$14))+F42+E43</f>
        <v>0</v>
      </c>
      <c r="G43" s="4">
        <f t="shared" si="23"/>
        <v>0</v>
      </c>
      <c r="H43" s="3">
        <f>VLOOKUP($C43,'Residential Development'!$D$14:$Q$33,COLUMNS('Residential Development'!$D$14:$Q$14))</f>
        <v>0</v>
      </c>
      <c r="I43" s="3">
        <f ca="1">VLOOKUP($C43,'Residential Development'!$AW$33:$BK44,COLUMNS('Residential Development'!$AW$13:$BK$33))</f>
        <v>0</v>
      </c>
      <c r="J43" s="4">
        <f t="shared" ca="1" si="24"/>
        <v>0</v>
      </c>
      <c r="K43" s="4">
        <f>VLOOKUP($C43,'Residential Development'!$CD$14:$CQ$33,COLUMNS('Residential Development'!$CD$14:$CQ$14))</f>
        <v>0</v>
      </c>
      <c r="L43" s="3">
        <f t="shared" ca="1" si="60"/>
        <v>4465508.8018492172</v>
      </c>
      <c r="M43" s="3">
        <f ca="1">VLOOKUP($C43,'Residential Development'!$EN$14:$FC$33,COLUMNS('Residential Development'!$EN$14:$FC$14))+M42+L43</f>
        <v>451016388.98677093</v>
      </c>
      <c r="N43" s="3">
        <f t="shared" ca="1" si="41"/>
        <v>248059013.94272402</v>
      </c>
      <c r="O43" s="322"/>
      <c r="P43" s="4">
        <f>VLOOKUP($C43,'Residential Development'!$AH$14:$AI$38,2)</f>
        <v>0</v>
      </c>
      <c r="Q43" s="4">
        <f t="shared" ca="1" si="8"/>
        <v>248059013.94272402</v>
      </c>
      <c r="R43" s="4"/>
      <c r="S43" s="4">
        <f t="shared" si="25"/>
        <v>0</v>
      </c>
      <c r="T43" s="4">
        <f>VLOOKUP($C43,'Comm Development'!$CG$14:$CR$33,COLUMNS('Comm Development'!$CG$14:$CR$14))+T42+S43</f>
        <v>0</v>
      </c>
      <c r="U43" s="3"/>
      <c r="V43" s="3">
        <f>VLOOKUP($C43,'Comm Development'!$BG$14:$BR$33,COLUMNS('Comm Development'!$BG$14:$BR$14))</f>
        <v>0</v>
      </c>
      <c r="W43" s="4">
        <f t="shared" si="26"/>
        <v>0</v>
      </c>
      <c r="X43" s="4">
        <f>VLOOKUP($C43,'Comm Development'!$CG$14:$CR$33,COLUMNS('Comm Development'!$CG$14:$CR$14))+X42+W43</f>
        <v>0</v>
      </c>
      <c r="Y43" s="3">
        <f t="shared" si="42"/>
        <v>0</v>
      </c>
      <c r="Z43" s="3">
        <f t="shared" si="61"/>
        <v>0</v>
      </c>
      <c r="AA43" s="322">
        <f t="shared" si="43"/>
        <v>0</v>
      </c>
      <c r="AB43" s="297"/>
      <c r="AC43" s="4"/>
      <c r="AD43" s="4">
        <f t="shared" si="44"/>
        <v>0</v>
      </c>
      <c r="AE43" s="4">
        <f t="shared" si="45"/>
        <v>0</v>
      </c>
      <c r="AG43" s="4">
        <f t="shared" ca="1" si="9"/>
        <v>248059013.94272402</v>
      </c>
      <c r="AH43" s="18">
        <f t="shared" si="27"/>
        <v>3</v>
      </c>
      <c r="AI43" s="4">
        <f t="shared" ca="1" si="28"/>
        <v>729293.5009916086</v>
      </c>
      <c r="AJ43" s="4">
        <f t="shared" ca="1" si="11"/>
        <v>0</v>
      </c>
      <c r="AK43" s="3"/>
      <c r="AL43" s="194"/>
      <c r="AM43" s="4"/>
      <c r="AN43" s="4"/>
      <c r="AO43" s="97"/>
      <c r="AP43" s="4"/>
      <c r="AQ43" s="4"/>
      <c r="AR43" s="364">
        <f t="shared" ca="1" si="14"/>
        <v>729293.5009916086</v>
      </c>
      <c r="AT43" s="213">
        <f t="shared" ca="1" si="46"/>
        <v>0</v>
      </c>
      <c r="AU43" s="213">
        <f t="shared" ca="1" si="65"/>
        <v>-4000</v>
      </c>
      <c r="AV43" s="312">
        <f t="shared" si="70"/>
        <v>-92378.744379588563</v>
      </c>
      <c r="AX43" s="4">
        <f t="shared" ca="1" si="32"/>
        <v>632914.75661202008</v>
      </c>
      <c r="AZ43" s="4">
        <f t="shared" ca="1" si="15"/>
        <v>248059013.94272402</v>
      </c>
      <c r="BA43" s="18">
        <f t="shared" si="47"/>
        <v>3</v>
      </c>
      <c r="BB43" s="4">
        <f t="shared" ca="1" si="16"/>
        <v>729293.5009916086</v>
      </c>
      <c r="BC43" s="4">
        <f t="shared" ca="1" si="17"/>
        <v>0</v>
      </c>
      <c r="BD43" s="3">
        <f t="shared" si="18"/>
        <v>0</v>
      </c>
      <c r="BE43" s="194">
        <f t="shared" si="19"/>
        <v>0</v>
      </c>
      <c r="BF43" s="4">
        <f t="shared" si="4"/>
        <v>0</v>
      </c>
      <c r="BG43" s="4">
        <f t="shared" si="5"/>
        <v>0</v>
      </c>
      <c r="BH43" s="97"/>
      <c r="BI43" s="4">
        <f t="shared" si="6"/>
        <v>0</v>
      </c>
      <c r="BJ43" s="4">
        <f t="shared" si="7"/>
        <v>0</v>
      </c>
      <c r="BK43" s="96">
        <f t="shared" ca="1" si="71"/>
        <v>729293.5009916086</v>
      </c>
      <c r="BM43" s="213">
        <f t="shared" si="48"/>
        <v>-3000</v>
      </c>
      <c r="BO43" s="4">
        <f t="shared" ca="1" si="21"/>
        <v>726293.5009916086</v>
      </c>
      <c r="BQ43" s="4">
        <f>IF(AND(REFUND_FINANCING="Yes",$D43&gt;PREMIUM_CALL_FIRST),0, IF(ISERROR(VLOOKUP($D43,'Senior Lien DS - First'!$A$11:$O$81,COLUMNS('Senior Lien DS - First'!$A$11:$O$11),0)),0,VLOOKUP($D43,'Senior Lien DS - First'!$A$11:$O$81,COLUMNS('Senior Lien DS - First'!$A$11:$O$11),0)))</f>
        <v>0</v>
      </c>
      <c r="BR43" s="4">
        <f>IF(ISERROR(VLOOKUP($D43,'Senior Lien DS - Refunding'!$A$11:$O$81,COLUMNS('Senior Lien DS - Refunding'!$A$11:$O$11),0)),0,VLOOKUP($D43,'Senior Lien DS - Refunding'!$A$11:$O$81,COLUMNS('Senior Lien DS - Refunding'!$A$11:$O$11),0))</f>
        <v>0</v>
      </c>
      <c r="BS43" s="4">
        <f t="shared" si="33"/>
        <v>0</v>
      </c>
      <c r="BT43" s="84">
        <f t="shared" ca="1" si="34"/>
        <v>0</v>
      </c>
      <c r="BU43" s="4">
        <f t="shared" ca="1" si="49"/>
        <v>632914.75661202008</v>
      </c>
      <c r="BV43" s="4"/>
      <c r="BW43" s="4"/>
      <c r="BX43" s="4">
        <f t="shared" ca="1" si="74"/>
        <v>632914.75661202008</v>
      </c>
      <c r="BY43" s="4">
        <f t="shared" ca="1" si="51"/>
        <v>632914.75661202008</v>
      </c>
      <c r="BZ43" s="4">
        <f t="shared" si="52"/>
        <v>0</v>
      </c>
      <c r="CA43" s="4">
        <f t="shared" si="35"/>
        <v>0</v>
      </c>
      <c r="CB43" s="14">
        <f ca="1">IF(ISERROR((VLOOKUP($D43,'Senior Lien DS - First'!$A$11:$P$71,COLUMNS('Senior Lien DS - First'!$A$11:$P$11)))/Summary!$AG44),"",(IF(REFUND_FINANCING="Yes",0,VLOOKUP($D43,'Senior Lien DS - First'!$A$11:$P$71,COLUMNS('Senior Lien DS - First'!$A$11:$P$11))))/Summary!$AG44)</f>
        <v>0</v>
      </c>
      <c r="CC43" s="10">
        <f ca="1">IF(ISERROR((VLOOKUP($C43,'Senior Lien DS - First'!$A$11:$P$71,COLUMNS('Senior Lien DS - First'!$A$11:$P$11)))/Summary!$M44),"",(VLOOKUP($C43,'Senior Lien DS - First'!$A$11:$P$71,COLUMNS('Senior Lien DS - First'!$A$11:$P$11)))/Summary!$M44)</f>
        <v>0</v>
      </c>
      <c r="CD43" s="9" t="str">
        <f t="shared" ref="CD43:CD56" ca="1" si="75">IF(ISERROR(AX43/BS43),"",AX43/BS43)</f>
        <v/>
      </c>
      <c r="CE43" s="9" t="str">
        <f t="shared" ca="1" si="53"/>
        <v/>
      </c>
      <c r="CH43" s="4">
        <f t="shared" ca="1" si="73"/>
        <v>629914.75661202008</v>
      </c>
      <c r="CI43" s="309">
        <v>1</v>
      </c>
      <c r="CJ43" s="4">
        <f t="shared" ref="CJ43:CJ49" ca="1" si="76">(CH43+CI43)/DSC_SUB_LIEN_BONDS</f>
        <v>629915.75661202008</v>
      </c>
      <c r="CK43" s="4">
        <f>IF(ISNA(VLOOKUP(DATE(YEAR($D43),PRIN_MATURITY,PRIN_MATURITY_DAY_SUB),'Sub Lien DS - First (Annual)'!$A$12:$H$96,COLUMNS('Sub Lien DS - First (Annual)'!$A$12:$H$12),0)),0,VLOOKUP(DATE(YEAR($D43),PRIN_MATURITY,PRIN_MATURITY_DAY_SUB),'Sub Lien DS - First (Annual)'!$A$12:$H$96,COLUMNS('Sub Lien DS - First (Annual)'!$A$12:$H$12),0))</f>
        <v>0</v>
      </c>
      <c r="CL43" s="4">
        <f t="shared" ca="1" si="55"/>
        <v>0</v>
      </c>
      <c r="CM43" s="4">
        <f t="shared" ca="1" si="37"/>
        <v>0</v>
      </c>
      <c r="CN43" s="4">
        <f t="shared" ca="1" si="56"/>
        <v>0</v>
      </c>
      <c r="CO43" s="4">
        <f t="shared" ca="1" si="68"/>
        <v>0</v>
      </c>
      <c r="CP43" s="4"/>
      <c r="CQ43" s="4">
        <f>IF(YEAR(DELIVERY)=YEAR($D43),'Sources and Uses - First'!$D$12,0)</f>
        <v>0</v>
      </c>
      <c r="CR43" s="4">
        <f>IF(ISNA(VLOOKUP(DATE(YEAR($D43),PRIN_MATURITY, PRIN_MATURITY_DAY_SUB),'Sub Lien DS - First (Annual)'!$A$12:$G$41,COLUMNS('Sub Lien DS - First (Annual)'!$A$12:$G$12),0)),0,VLOOKUP(DATE(YEAR($D43),PRIN_MATURITY, PRIN_MATURITY_DAY_SUB),'Sub Lien DS - First (Annual)'!$A$12:$G$41,COLUMNS('Sub Lien DS - First (Annual)'!$A$12:$G$12),0))</f>
        <v>0</v>
      </c>
      <c r="CS43" s="4">
        <f ca="1">SUM($CQ$14:CQ43)-SUM($CR$14:CR43)</f>
        <v>-1000000</v>
      </c>
      <c r="CT43" s="4">
        <f ca="1">SUM($CQ$14:CQ43)-SUM($CR$14:CR43)</f>
        <v>-1000000</v>
      </c>
      <c r="CU43" s="4">
        <f t="shared" ca="1" si="57"/>
        <v>0</v>
      </c>
      <c r="CV43" s="4">
        <f t="shared" ca="1" si="58"/>
        <v>0</v>
      </c>
      <c r="CW43" s="4">
        <f t="shared" ca="1" si="59"/>
        <v>629915.75661202008</v>
      </c>
      <c r="CX43" s="4">
        <f t="shared" ca="1" si="69"/>
        <v>629915.75661202008</v>
      </c>
      <c r="CY43" s="4">
        <f ca="1">SUM($CW$14:CW43)-SUM($CX$14:CX43)</f>
        <v>0</v>
      </c>
    </row>
    <row r="44" spans="1:103" x14ac:dyDescent="0.25">
      <c r="A44">
        <f t="shared" si="22"/>
        <v>32</v>
      </c>
      <c r="C44" s="75">
        <f t="shared" si="38"/>
        <v>56674</v>
      </c>
      <c r="D44" s="75">
        <f t="shared" si="38"/>
        <v>57040</v>
      </c>
      <c r="E44" s="3">
        <f t="shared" si="39"/>
        <v>0</v>
      </c>
      <c r="F44" s="3">
        <f>VLOOKUP($C44,'Residential Development'!$DW$14:$EL$33,COLUMNS('Residential Development'!$DW$14:$DX$14))+F43+E44</f>
        <v>0</v>
      </c>
      <c r="G44" s="4">
        <f t="shared" si="23"/>
        <v>0</v>
      </c>
      <c r="H44" s="3">
        <f>VLOOKUP($C44,'Residential Development'!$D$14:$Q$33,COLUMNS('Residential Development'!$D$14:$Q$14))</f>
        <v>0</v>
      </c>
      <c r="I44" s="3">
        <f ca="1">VLOOKUP($C44,'Residential Development'!$AW$33:$BK45,COLUMNS('Residential Development'!$AW$13:$BK$33))</f>
        <v>0</v>
      </c>
      <c r="J44" s="4">
        <f t="shared" ca="1" si="24"/>
        <v>0</v>
      </c>
      <c r="K44" s="4">
        <f>VLOOKUP($C44,'Residential Development'!$CD$14:$CQ$33,COLUMNS('Residential Development'!$CD$14:$CQ$14))</f>
        <v>0</v>
      </c>
      <c r="L44" s="3">
        <f t="shared" ca="1" si="60"/>
        <v>4510163.889867709</v>
      </c>
      <c r="M44" s="3">
        <f ca="1">VLOOKUP($C44,'Residential Development'!$EN$14:$FC$33,COLUMNS('Residential Development'!$EN$14:$FC$14))+M43+L44</f>
        <v>455526552.87663865</v>
      </c>
      <c r="N44" s="3">
        <f t="shared" ca="1" si="41"/>
        <v>250539604.08215126</v>
      </c>
      <c r="O44" s="322"/>
      <c r="P44" s="4">
        <f>VLOOKUP($C44,'Residential Development'!$AH$14:$AI$38,2)</f>
        <v>0</v>
      </c>
      <c r="Q44" s="4">
        <f t="shared" ca="1" si="8"/>
        <v>250539604.08215126</v>
      </c>
      <c r="R44" s="4"/>
      <c r="S44" s="4">
        <f t="shared" si="25"/>
        <v>0</v>
      </c>
      <c r="T44" s="4">
        <f>VLOOKUP($C44,'Comm Development'!$CG$14:$CR$33,COLUMNS('Comm Development'!$CG$14:$CR$14))+T43+S44</f>
        <v>0</v>
      </c>
      <c r="U44" s="3"/>
      <c r="V44" s="3">
        <f>VLOOKUP($C44,'Comm Development'!$BG$14:$BR$33,COLUMNS('Comm Development'!$BG$14:$BR$14))</f>
        <v>0</v>
      </c>
      <c r="W44" s="4">
        <f t="shared" si="26"/>
        <v>0</v>
      </c>
      <c r="X44" s="4">
        <f>VLOOKUP($C44,'Comm Development'!$CG$14:$CR$33,COLUMNS('Comm Development'!$CG$14:$CR$14))+X43+W44</f>
        <v>0</v>
      </c>
      <c r="Y44" s="3">
        <f t="shared" si="42"/>
        <v>0</v>
      </c>
      <c r="Z44" s="3">
        <f t="shared" si="61"/>
        <v>0</v>
      </c>
      <c r="AA44" s="322">
        <f t="shared" si="43"/>
        <v>0</v>
      </c>
      <c r="AB44" s="297"/>
      <c r="AC44" s="4"/>
      <c r="AD44" s="4">
        <f t="shared" si="44"/>
        <v>0</v>
      </c>
      <c r="AE44" s="4">
        <f t="shared" si="45"/>
        <v>0</v>
      </c>
      <c r="AG44" s="4">
        <f t="shared" ca="1" si="9"/>
        <v>250539604.08215126</v>
      </c>
      <c r="AH44" s="18">
        <f t="shared" si="27"/>
        <v>3</v>
      </c>
      <c r="AI44" s="4">
        <f t="shared" ca="1" si="28"/>
        <v>736586.43600152468</v>
      </c>
      <c r="AJ44" s="4">
        <f t="shared" ca="1" si="11"/>
        <v>0</v>
      </c>
      <c r="AK44" s="3">
        <f t="shared" si="12"/>
        <v>0</v>
      </c>
      <c r="AL44" s="194">
        <f t="shared" si="13"/>
        <v>0</v>
      </c>
      <c r="AM44" s="4">
        <f t="shared" si="62"/>
        <v>0</v>
      </c>
      <c r="AN44" s="4">
        <f t="shared" si="63"/>
        <v>0</v>
      </c>
      <c r="AO44" s="97"/>
      <c r="AP44" s="4">
        <f t="shared" si="64"/>
        <v>0</v>
      </c>
      <c r="AQ44" s="4">
        <f t="shared" si="3"/>
        <v>0</v>
      </c>
      <c r="AR44" s="364">
        <f t="shared" ca="1" si="14"/>
        <v>736586.43600152468</v>
      </c>
      <c r="AT44" s="213">
        <f t="shared" ca="1" si="46"/>
        <v>0</v>
      </c>
      <c r="AU44" s="213">
        <f t="shared" ca="1" si="65"/>
        <v>-4000</v>
      </c>
      <c r="AV44" s="312">
        <f t="shared" si="70"/>
        <v>-94226.319267180341</v>
      </c>
      <c r="AX44" s="4">
        <f t="shared" ca="1" si="32"/>
        <v>638360.11673434428</v>
      </c>
      <c r="AZ44" s="4">
        <f t="shared" ca="1" si="15"/>
        <v>250539604.08215126</v>
      </c>
      <c r="BA44" s="18">
        <f t="shared" si="47"/>
        <v>3</v>
      </c>
      <c r="BB44" s="4">
        <f t="shared" ca="1" si="16"/>
        <v>736586.43600152468</v>
      </c>
      <c r="BC44" s="4">
        <f t="shared" ca="1" si="17"/>
        <v>0</v>
      </c>
      <c r="BD44" s="3">
        <f t="shared" si="18"/>
        <v>0</v>
      </c>
      <c r="BE44" s="194">
        <f t="shared" si="19"/>
        <v>0</v>
      </c>
      <c r="BF44" s="4">
        <f t="shared" si="4"/>
        <v>0</v>
      </c>
      <c r="BG44" s="4">
        <f t="shared" si="5"/>
        <v>0</v>
      </c>
      <c r="BH44" s="97"/>
      <c r="BI44" s="4">
        <f t="shared" si="6"/>
        <v>0</v>
      </c>
      <c r="BJ44" s="4">
        <f t="shared" si="7"/>
        <v>0</v>
      </c>
      <c r="BK44" s="96">
        <f t="shared" ca="1" si="71"/>
        <v>736586.43600152468</v>
      </c>
      <c r="BM44" s="213">
        <f t="shared" si="48"/>
        <v>-3000</v>
      </c>
      <c r="BO44" s="4">
        <f t="shared" ca="1" si="21"/>
        <v>733586.43600152468</v>
      </c>
      <c r="BQ44" s="4">
        <f>IF(AND(REFUND_FINANCING="Yes",$D44&gt;PREMIUM_CALL_FIRST),0, IF(ISERROR(VLOOKUP($D44,'Senior Lien DS - First'!$A$11:$O$81,COLUMNS('Senior Lien DS - First'!$A$11:$O$11),0)),0,VLOOKUP($D44,'Senior Lien DS - First'!$A$11:$O$81,COLUMNS('Senior Lien DS - First'!$A$11:$O$11),0)))</f>
        <v>0</v>
      </c>
      <c r="BR44" s="4">
        <f>IF(ISERROR(VLOOKUP($D44,'Senior Lien DS - Refunding'!$A$11:$O$81,COLUMNS('Senior Lien DS - Refunding'!$A$11:$O$11),0)),0,VLOOKUP($D44,'Senior Lien DS - Refunding'!$A$11:$O$81,COLUMNS('Senior Lien DS - Refunding'!$A$11:$O$11),0))</f>
        <v>0</v>
      </c>
      <c r="BS44" s="4">
        <f t="shared" si="33"/>
        <v>0</v>
      </c>
      <c r="BT44" s="84">
        <f t="shared" ca="1" si="34"/>
        <v>0</v>
      </c>
      <c r="BU44" s="4">
        <f t="shared" ca="1" si="49"/>
        <v>638360.11673434428</v>
      </c>
      <c r="BV44" s="4">
        <f t="shared" si="66"/>
        <v>0</v>
      </c>
      <c r="BW44" s="4">
        <f t="shared" ca="1" si="67"/>
        <v>0</v>
      </c>
      <c r="BX44" s="4">
        <f t="shared" ca="1" si="74"/>
        <v>638360.11673434428</v>
      </c>
      <c r="BY44" s="4">
        <f t="shared" ca="1" si="51"/>
        <v>638360.11673434428</v>
      </c>
      <c r="BZ44" s="4">
        <f t="shared" si="52"/>
        <v>0</v>
      </c>
      <c r="CA44" s="4">
        <f t="shared" si="35"/>
        <v>0</v>
      </c>
      <c r="CB44" s="14">
        <f ca="1">IF(ISERROR((VLOOKUP($D44,'Senior Lien DS - First'!$A$11:$P$71,COLUMNS('Senior Lien DS - First'!$A$11:$P$11)))/Summary!$AG45),"",(IF(REFUND_FINANCING="Yes",0,VLOOKUP($D44,'Senior Lien DS - First'!$A$11:$P$71,COLUMNS('Senior Lien DS - First'!$A$11:$P$11))))/Summary!$AG45)</f>
        <v>0</v>
      </c>
      <c r="CC44" s="10">
        <f ca="1">IF(ISERROR((VLOOKUP($C44,'Senior Lien DS - First'!$A$11:$P$71,COLUMNS('Senior Lien DS - First'!$A$11:$P$11)))/Summary!$M45),"",(VLOOKUP($C44,'Senior Lien DS - First'!$A$11:$P$71,COLUMNS('Senior Lien DS - First'!$A$11:$P$11)))/Summary!$M45)</f>
        <v>0</v>
      </c>
      <c r="CD44" s="9" t="str">
        <f t="shared" ca="1" si="75"/>
        <v/>
      </c>
      <c r="CE44" s="9" t="str">
        <f t="shared" ca="1" si="53"/>
        <v/>
      </c>
      <c r="CH44" s="4">
        <f t="shared" ca="1" si="73"/>
        <v>635360.11673434428</v>
      </c>
      <c r="CI44" s="309">
        <v>2</v>
      </c>
      <c r="CJ44" s="4">
        <f t="shared" ca="1" si="76"/>
        <v>635362.11673434428</v>
      </c>
      <c r="CK44" s="4">
        <f>IF(ISNA(VLOOKUP(DATE(YEAR($D44),PRIN_MATURITY,PRIN_MATURITY_DAY_SUB),'Sub Lien DS - First (Annual)'!$A$12:$H$96,COLUMNS('Sub Lien DS - First (Annual)'!$A$12:$H$12),0)),0,VLOOKUP(DATE(YEAR($D44),PRIN_MATURITY,PRIN_MATURITY_DAY_SUB),'Sub Lien DS - First (Annual)'!$A$12:$H$96,COLUMNS('Sub Lien DS - First (Annual)'!$A$12:$H$12),0))</f>
        <v>0</v>
      </c>
      <c r="CL44" s="4">
        <f t="shared" ca="1" si="55"/>
        <v>0</v>
      </c>
      <c r="CM44" s="4">
        <f t="shared" si="37"/>
        <v>0</v>
      </c>
      <c r="CN44" s="4">
        <f t="shared" si="56"/>
        <v>0</v>
      </c>
      <c r="CO44" s="4">
        <f t="shared" ref="CO44:CO56" ca="1" si="77">CK44+CO43-$CL44+$CM44-$CN44</f>
        <v>0</v>
      </c>
      <c r="CP44" s="4"/>
      <c r="CQ44" s="4">
        <f>IF(YEAR(DELIVERY)=YEAR($D44),'Sources and Uses - First'!$D$12,0)</f>
        <v>0</v>
      </c>
      <c r="CR44" s="4">
        <f>IF(ISNA(VLOOKUP(DATE(YEAR($D44),PRIN_MATURITY, PRIN_MATURITY_DAY_SUB),'Sub Lien DS - First (Annual)'!$A$12:$G$41,COLUMNS('Sub Lien DS - First (Annual)'!$A$12:$G$12),0)),0,VLOOKUP(DATE(YEAR($D44),PRIN_MATURITY, PRIN_MATURITY_DAY_SUB),'Sub Lien DS - First (Annual)'!$A$12:$G$41,COLUMNS('Sub Lien DS - First (Annual)'!$A$12:$G$12),0))</f>
        <v>0</v>
      </c>
      <c r="CS44" s="4">
        <f ca="1">SUM($CQ$14:CQ44)-SUM($CR$14:CR44)</f>
        <v>-1000000</v>
      </c>
      <c r="CT44" s="4">
        <f ca="1">SUM($CQ$14:CQ44)-SUM($CR$14:CR44)</f>
        <v>-1000000</v>
      </c>
      <c r="CU44" s="4">
        <f t="shared" ca="1" si="57"/>
        <v>0</v>
      </c>
      <c r="CV44" s="4">
        <f t="shared" ca="1" si="58"/>
        <v>0</v>
      </c>
      <c r="CW44" s="4">
        <f t="shared" ca="1" si="59"/>
        <v>635362.11673434428</v>
      </c>
      <c r="CX44" s="4">
        <f t="shared" ca="1" si="69"/>
        <v>635362.11673434428</v>
      </c>
      <c r="CY44" s="4">
        <f ca="1">SUM($CW$14:CW44)-SUM($CX$14:CX44)</f>
        <v>0</v>
      </c>
    </row>
    <row r="45" spans="1:103" x14ac:dyDescent="0.25">
      <c r="A45">
        <f t="shared" si="22"/>
        <v>33</v>
      </c>
      <c r="C45" s="75">
        <f t="shared" si="38"/>
        <v>57040</v>
      </c>
      <c r="D45" s="75">
        <f t="shared" si="38"/>
        <v>57405</v>
      </c>
      <c r="E45" s="3">
        <f t="shared" si="39"/>
        <v>0</v>
      </c>
      <c r="F45" s="3">
        <f>VLOOKUP($C45,'Residential Development'!$DW$14:$EL$33,COLUMNS('Residential Development'!$DW$14:$DX$14))+F44+E45</f>
        <v>0</v>
      </c>
      <c r="G45" s="4">
        <f t="shared" si="23"/>
        <v>0</v>
      </c>
      <c r="H45" s="3">
        <f>VLOOKUP($C45,'Residential Development'!$D$14:$Q$33,COLUMNS('Residential Development'!$D$14:$Q$14))</f>
        <v>0</v>
      </c>
      <c r="I45" s="3">
        <f ca="1">VLOOKUP($C45,'Residential Development'!$AW$33:$BK46,COLUMNS('Residential Development'!$AW$13:$BK$33))</f>
        <v>0</v>
      </c>
      <c r="J45" s="4">
        <f t="shared" ca="1" si="24"/>
        <v>0</v>
      </c>
      <c r="K45" s="4">
        <f>VLOOKUP($C45,'Residential Development'!$CD$14:$CQ$33,COLUMNS('Residential Development'!$CD$14:$CQ$14))</f>
        <v>0</v>
      </c>
      <c r="L45" s="3">
        <f t="shared" ca="1" si="60"/>
        <v>4555265.5287663862</v>
      </c>
      <c r="M45" s="3">
        <f ca="1">VLOOKUP($C45,'Residential Development'!$EN$14:$FC$33,COLUMNS('Residential Development'!$EN$14:$FC$14))+M44+L45</f>
        <v>460081818.40540504</v>
      </c>
      <c r="N45" s="3">
        <f t="shared" ca="1" si="41"/>
        <v>253045000.12297279</v>
      </c>
      <c r="O45" s="322"/>
      <c r="P45" s="4">
        <f>VLOOKUP($C45,'Residential Development'!$AH$14:$AI$38,2)</f>
        <v>0</v>
      </c>
      <c r="Q45" s="4">
        <f t="shared" ca="1" si="8"/>
        <v>253045000.12297279</v>
      </c>
      <c r="R45" s="4"/>
      <c r="S45" s="4">
        <f t="shared" si="25"/>
        <v>0</v>
      </c>
      <c r="T45" s="4">
        <f>VLOOKUP($C45,'Comm Development'!$CG$14:$CR$33,COLUMNS('Comm Development'!$CG$14:$CR$14))+T44+S45</f>
        <v>0</v>
      </c>
      <c r="U45" s="3"/>
      <c r="V45" s="3">
        <f>VLOOKUP($C45,'Comm Development'!$BG$14:$BR$33,COLUMNS('Comm Development'!$BG$14:$BR$14))</f>
        <v>0</v>
      </c>
      <c r="W45" s="4">
        <f t="shared" si="26"/>
        <v>0</v>
      </c>
      <c r="X45" s="4">
        <f>VLOOKUP($C45,'Comm Development'!$CG$14:$CR$33,COLUMNS('Comm Development'!$CG$14:$CR$14))+X44+W45</f>
        <v>0</v>
      </c>
      <c r="Y45" s="3">
        <f t="shared" si="42"/>
        <v>0</v>
      </c>
      <c r="Z45" s="3">
        <f t="shared" si="61"/>
        <v>0</v>
      </c>
      <c r="AA45" s="322">
        <f t="shared" si="43"/>
        <v>0</v>
      </c>
      <c r="AB45" s="297"/>
      <c r="AC45" s="4"/>
      <c r="AD45" s="4">
        <f t="shared" si="44"/>
        <v>0</v>
      </c>
      <c r="AE45" s="4">
        <f t="shared" si="45"/>
        <v>0</v>
      </c>
      <c r="AG45" s="4">
        <f t="shared" ca="1" si="9"/>
        <v>253045000.12297279</v>
      </c>
      <c r="AH45" s="18">
        <f t="shared" si="27"/>
        <v>3</v>
      </c>
      <c r="AI45" s="4">
        <f t="shared" ca="1" si="28"/>
        <v>743952.30036154005</v>
      </c>
      <c r="AJ45" s="4">
        <f t="shared" ca="1" si="11"/>
        <v>0</v>
      </c>
      <c r="AK45" s="3">
        <f t="shared" si="12"/>
        <v>0</v>
      </c>
      <c r="AL45" s="194">
        <f t="shared" si="13"/>
        <v>0</v>
      </c>
      <c r="AM45" s="4">
        <f t="shared" si="62"/>
        <v>0</v>
      </c>
      <c r="AN45" s="4">
        <f t="shared" si="63"/>
        <v>0</v>
      </c>
      <c r="AO45" s="97"/>
      <c r="AP45" s="4">
        <f t="shared" si="64"/>
        <v>0</v>
      </c>
      <c r="AQ45" s="4">
        <f t="shared" si="3"/>
        <v>0</v>
      </c>
      <c r="AR45" s="364">
        <f t="shared" ca="1" si="14"/>
        <v>743952.30036154005</v>
      </c>
      <c r="AT45" s="213">
        <f t="shared" ca="1" si="46"/>
        <v>0</v>
      </c>
      <c r="AU45" s="213">
        <f t="shared" ca="1" si="65"/>
        <v>-4000</v>
      </c>
      <c r="AV45" s="312">
        <f t="shared" si="70"/>
        <v>-96110.845652523945</v>
      </c>
      <c r="AX45" s="4">
        <f t="shared" ca="1" si="32"/>
        <v>643841.45470901614</v>
      </c>
      <c r="AZ45" s="4">
        <f t="shared" ca="1" si="15"/>
        <v>253045000.12297279</v>
      </c>
      <c r="BA45" s="18">
        <f t="shared" si="47"/>
        <v>3</v>
      </c>
      <c r="BB45" s="4">
        <f t="shared" ca="1" si="16"/>
        <v>743952.30036154005</v>
      </c>
      <c r="BC45" s="4">
        <f t="shared" ca="1" si="17"/>
        <v>0</v>
      </c>
      <c r="BD45" s="3">
        <f t="shared" si="18"/>
        <v>0</v>
      </c>
      <c r="BE45" s="194">
        <f t="shared" si="19"/>
        <v>0</v>
      </c>
      <c r="BF45" s="4">
        <f t="shared" si="4"/>
        <v>0</v>
      </c>
      <c r="BG45" s="4">
        <f t="shared" si="5"/>
        <v>0</v>
      </c>
      <c r="BH45" s="97"/>
      <c r="BI45" s="4">
        <f t="shared" si="6"/>
        <v>0</v>
      </c>
      <c r="BJ45" s="4">
        <f t="shared" si="7"/>
        <v>0</v>
      </c>
      <c r="BK45" s="96">
        <f t="shared" ca="1" si="71"/>
        <v>743952.30036154005</v>
      </c>
      <c r="BM45" s="213">
        <f t="shared" si="48"/>
        <v>-3000</v>
      </c>
      <c r="BO45" s="4">
        <f t="shared" ca="1" si="21"/>
        <v>740952.30036154005</v>
      </c>
      <c r="BQ45" s="4">
        <f>IF(AND(REFUND_FINANCING="Yes",$D45&gt;PREMIUM_CALL_FIRST),0, IF(ISERROR(VLOOKUP($D45,'Senior Lien DS - First'!$A$11:$O$81,COLUMNS('Senior Lien DS - First'!$A$11:$O$11),0)),0,VLOOKUP($D45,'Senior Lien DS - First'!$A$11:$O$81,COLUMNS('Senior Lien DS - First'!$A$11:$O$11),0)))</f>
        <v>0</v>
      </c>
      <c r="BR45" s="4">
        <f>IF(ISERROR(VLOOKUP($D45,'Senior Lien DS - Refunding'!$A$11:$O$81,COLUMNS('Senior Lien DS - Refunding'!$A$11:$O$11),0)),0,VLOOKUP($D45,'Senior Lien DS - Refunding'!$A$11:$O$81,COLUMNS('Senior Lien DS - Refunding'!$A$11:$O$11),0))</f>
        <v>0</v>
      </c>
      <c r="BS45" s="4">
        <f t="shared" si="33"/>
        <v>0</v>
      </c>
      <c r="BT45" s="84">
        <f t="shared" ca="1" si="34"/>
        <v>0</v>
      </c>
      <c r="BU45" s="4">
        <f t="shared" ca="1" si="49"/>
        <v>643841.45470901614</v>
      </c>
      <c r="BV45" s="4">
        <f t="shared" si="66"/>
        <v>0</v>
      </c>
      <c r="BW45" s="4">
        <f t="shared" ca="1" si="67"/>
        <v>0</v>
      </c>
      <c r="BX45" s="4">
        <f t="shared" ca="1" si="74"/>
        <v>643841.45470901614</v>
      </c>
      <c r="BY45" s="4">
        <f t="shared" ca="1" si="51"/>
        <v>643841.45470901614</v>
      </c>
      <c r="BZ45" s="4">
        <f t="shared" si="52"/>
        <v>0</v>
      </c>
      <c r="CA45" s="4">
        <f t="shared" si="35"/>
        <v>0</v>
      </c>
      <c r="CB45" s="14">
        <f ca="1">IF(ISERROR((VLOOKUP($D45,'Senior Lien DS - First'!$A$11:$P$71,COLUMNS('Senior Lien DS - First'!$A$11:$P$11)))/Summary!$AG46),"",(IF(REFUND_FINANCING="Yes",0,VLOOKUP($D45,'Senior Lien DS - First'!$A$11:$P$71,COLUMNS('Senior Lien DS - First'!$A$11:$P$11))))/Summary!$AG46)</f>
        <v>0</v>
      </c>
      <c r="CC45" s="10">
        <f ca="1">IF(ISERROR((VLOOKUP($C45,'Senior Lien DS - First'!$A$11:$P$71,COLUMNS('Senior Lien DS - First'!$A$11:$P$11)))/Summary!$M46),"",(VLOOKUP($C45,'Senior Lien DS - First'!$A$11:$P$71,COLUMNS('Senior Lien DS - First'!$A$11:$P$11)))/Summary!$M46)</f>
        <v>0</v>
      </c>
      <c r="CD45" s="9" t="str">
        <f t="shared" ca="1" si="75"/>
        <v/>
      </c>
      <c r="CE45" s="9" t="str">
        <f t="shared" ca="1" si="53"/>
        <v/>
      </c>
      <c r="CH45" s="4">
        <f t="shared" ca="1" si="73"/>
        <v>640841.45470901614</v>
      </c>
      <c r="CI45" s="309">
        <v>3</v>
      </c>
      <c r="CJ45" s="4">
        <f t="shared" ca="1" si="76"/>
        <v>640844.45470901614</v>
      </c>
      <c r="CK45" s="4">
        <f>IF(ISNA(VLOOKUP(DATE(YEAR($D45),PRIN_MATURITY,PRIN_MATURITY_DAY_SUB),'Sub Lien DS - First (Annual)'!$A$12:$H$96,COLUMNS('Sub Lien DS - First (Annual)'!$A$12:$H$12),0)),0,VLOOKUP(DATE(YEAR($D45),PRIN_MATURITY,PRIN_MATURITY_DAY_SUB),'Sub Lien DS - First (Annual)'!$A$12:$H$96,COLUMNS('Sub Lien DS - First (Annual)'!$A$12:$H$12),0))</f>
        <v>0</v>
      </c>
      <c r="CL45" s="4">
        <f t="shared" ca="1" si="55"/>
        <v>0</v>
      </c>
      <c r="CM45" s="4">
        <f t="shared" si="37"/>
        <v>0</v>
      </c>
      <c r="CN45" s="4">
        <f t="shared" si="56"/>
        <v>0</v>
      </c>
      <c r="CO45" s="4">
        <f t="shared" ca="1" si="77"/>
        <v>0</v>
      </c>
      <c r="CP45" s="4"/>
      <c r="CQ45" s="4">
        <f>IF(YEAR(DELIVERY)=YEAR($D45),'Sources and Uses - First'!$D$12,0)</f>
        <v>0</v>
      </c>
      <c r="CR45" s="4">
        <f>IF(ISNA(VLOOKUP(DATE(YEAR($D45),PRIN_MATURITY, PRIN_MATURITY_DAY_SUB),'Sub Lien DS - First (Annual)'!$A$12:$G$41,COLUMNS('Sub Lien DS - First (Annual)'!$A$12:$G$12),0)),0,VLOOKUP(DATE(YEAR($D45),PRIN_MATURITY, PRIN_MATURITY_DAY_SUB),'Sub Lien DS - First (Annual)'!$A$12:$G$41,COLUMNS('Sub Lien DS - First (Annual)'!$A$12:$G$12),0))</f>
        <v>0</v>
      </c>
      <c r="CS45" s="4">
        <f ca="1">SUM($CQ$14:CQ45)-SUM($CR$14:CR45)</f>
        <v>-1000000</v>
      </c>
      <c r="CT45" s="4">
        <f ca="1">SUM($CQ$14:CQ45)-SUM($CR$14:CR45)</f>
        <v>-1000000</v>
      </c>
      <c r="CU45" s="4">
        <f t="shared" ca="1" si="57"/>
        <v>0</v>
      </c>
      <c r="CV45" s="4">
        <f t="shared" ca="1" si="58"/>
        <v>0</v>
      </c>
      <c r="CW45" s="4">
        <f t="shared" ca="1" si="59"/>
        <v>640844.45470901614</v>
      </c>
      <c r="CX45" s="4">
        <f t="shared" ref="CX45:CX54" ca="1" si="78">CW45</f>
        <v>640844.45470901614</v>
      </c>
      <c r="CY45" s="4">
        <f ca="1">SUM($CW$14:CW45)-SUM($CX$14:CX45)</f>
        <v>0</v>
      </c>
    </row>
    <row r="46" spans="1:103" x14ac:dyDescent="0.25">
      <c r="A46">
        <f t="shared" si="22"/>
        <v>34</v>
      </c>
      <c r="C46" s="75">
        <f t="shared" si="38"/>
        <v>57405</v>
      </c>
      <c r="D46" s="75">
        <f t="shared" si="38"/>
        <v>57770</v>
      </c>
      <c r="E46" s="3">
        <f t="shared" si="39"/>
        <v>0</v>
      </c>
      <c r="F46" s="3">
        <f>VLOOKUP($C46,'Residential Development'!$DW$14:$EL$33,COLUMNS('Residential Development'!$DW$14:$DX$14))+F45+E46</f>
        <v>0</v>
      </c>
      <c r="G46" s="4">
        <f t="shared" si="23"/>
        <v>0</v>
      </c>
      <c r="H46" s="3">
        <f>VLOOKUP($C46,'Residential Development'!$D$14:$Q$33,COLUMNS('Residential Development'!$D$14:$Q$14))</f>
        <v>0</v>
      </c>
      <c r="I46" s="3">
        <f ca="1">VLOOKUP($C46,'Residential Development'!$AW$33:$BK47,COLUMNS('Residential Development'!$AW$13:$BK$33))</f>
        <v>0</v>
      </c>
      <c r="J46" s="4">
        <f t="shared" ca="1" si="24"/>
        <v>0</v>
      </c>
      <c r="K46" s="4">
        <f>VLOOKUP($C46,'Residential Development'!$CD$14:$CQ$33,COLUMNS('Residential Development'!$CD$14:$CQ$14))</f>
        <v>0</v>
      </c>
      <c r="L46" s="3">
        <f t="shared" ca="1" si="60"/>
        <v>4600818.1840540506</v>
      </c>
      <c r="M46" s="3">
        <f ca="1">VLOOKUP($C46,'Residential Development'!$EN$14:$FC$33,COLUMNS('Residential Development'!$EN$14:$FC$14))+M45+L46</f>
        <v>464682636.58945912</v>
      </c>
      <c r="N46" s="3">
        <f t="shared" ca="1" si="41"/>
        <v>255575450.12420255</v>
      </c>
      <c r="O46" s="322"/>
      <c r="P46" s="4">
        <f>VLOOKUP($C46,'Residential Development'!$AH$14:$AI$38,2)</f>
        <v>0</v>
      </c>
      <c r="Q46" s="4">
        <f t="shared" ca="1" si="8"/>
        <v>255575450.12420255</v>
      </c>
      <c r="R46" s="4"/>
      <c r="S46" s="4">
        <f t="shared" si="25"/>
        <v>0</v>
      </c>
      <c r="T46" s="4">
        <f>VLOOKUP($C46,'Comm Development'!$CG$14:$CR$33,COLUMNS('Comm Development'!$CG$14:$CR$14))+T45+S46</f>
        <v>0</v>
      </c>
      <c r="U46" s="3"/>
      <c r="V46" s="3">
        <f>VLOOKUP($C46,'Comm Development'!$BG$14:$BR$33,COLUMNS('Comm Development'!$BG$14:$BR$14))</f>
        <v>0</v>
      </c>
      <c r="W46" s="4">
        <f t="shared" si="26"/>
        <v>0</v>
      </c>
      <c r="X46" s="4">
        <f>VLOOKUP($C46,'Comm Development'!$CG$14:$CR$33,COLUMNS('Comm Development'!$CG$14:$CR$14))+X45+W46</f>
        <v>0</v>
      </c>
      <c r="Y46" s="3">
        <f t="shared" si="42"/>
        <v>0</v>
      </c>
      <c r="Z46" s="3">
        <f t="shared" si="61"/>
        <v>0</v>
      </c>
      <c r="AA46" s="322">
        <f t="shared" si="43"/>
        <v>0</v>
      </c>
      <c r="AB46" s="297"/>
      <c r="AC46" s="4"/>
      <c r="AD46" s="4">
        <f t="shared" si="44"/>
        <v>0</v>
      </c>
      <c r="AE46" s="4">
        <f t="shared" si="45"/>
        <v>0</v>
      </c>
      <c r="AG46" s="4">
        <f t="shared" ca="1" si="9"/>
        <v>255575450.12420255</v>
      </c>
      <c r="AH46" s="18">
        <f t="shared" si="27"/>
        <v>3</v>
      </c>
      <c r="AI46" s="4">
        <f t="shared" ca="1" si="28"/>
        <v>751391.82336515549</v>
      </c>
      <c r="AJ46" s="4">
        <f t="shared" ca="1" si="11"/>
        <v>0</v>
      </c>
      <c r="AK46" s="3">
        <f t="shared" si="12"/>
        <v>0</v>
      </c>
      <c r="AL46" s="194">
        <f t="shared" si="13"/>
        <v>0</v>
      </c>
      <c r="AM46" s="4">
        <f t="shared" si="62"/>
        <v>0</v>
      </c>
      <c r="AN46" s="4">
        <f t="shared" si="63"/>
        <v>0</v>
      </c>
      <c r="AO46" s="97"/>
      <c r="AP46" s="4">
        <f t="shared" si="64"/>
        <v>0</v>
      </c>
      <c r="AQ46" s="4">
        <f t="shared" si="3"/>
        <v>0</v>
      </c>
      <c r="AR46" s="364">
        <f t="shared" ca="1" si="14"/>
        <v>751391.82336515549</v>
      </c>
      <c r="AT46" s="213">
        <f t="shared" ca="1" si="46"/>
        <v>0</v>
      </c>
      <c r="AU46" s="213">
        <f t="shared" ca="1" si="65"/>
        <v>-4000</v>
      </c>
      <c r="AV46" s="312">
        <f t="shared" si="70"/>
        <v>-98033.062565574422</v>
      </c>
      <c r="AX46" s="4">
        <f t="shared" ca="1" si="32"/>
        <v>649358.76079958107</v>
      </c>
      <c r="AZ46" s="4">
        <f t="shared" ca="1" si="15"/>
        <v>255575450.12420255</v>
      </c>
      <c r="BA46" s="18">
        <f t="shared" si="47"/>
        <v>3</v>
      </c>
      <c r="BB46" s="4">
        <f t="shared" ca="1" si="16"/>
        <v>751391.82336515549</v>
      </c>
      <c r="BC46" s="4">
        <f t="shared" ca="1" si="17"/>
        <v>0</v>
      </c>
      <c r="BD46" s="3">
        <f t="shared" si="18"/>
        <v>0</v>
      </c>
      <c r="BE46" s="194">
        <f t="shared" si="19"/>
        <v>0</v>
      </c>
      <c r="BF46" s="4">
        <f t="shared" si="4"/>
        <v>0</v>
      </c>
      <c r="BG46" s="4">
        <f t="shared" si="5"/>
        <v>0</v>
      </c>
      <c r="BH46" s="97"/>
      <c r="BI46" s="4">
        <f t="shared" si="6"/>
        <v>0</v>
      </c>
      <c r="BJ46" s="4">
        <f t="shared" si="7"/>
        <v>0</v>
      </c>
      <c r="BK46" s="96">
        <f ca="1">+BB46+BC46+BF46+BG46+BI46+BJ46</f>
        <v>751391.82336515549</v>
      </c>
      <c r="BM46" s="213">
        <f t="shared" si="48"/>
        <v>-3000</v>
      </c>
      <c r="BO46" s="4">
        <f t="shared" ca="1" si="21"/>
        <v>748391.82336515549</v>
      </c>
      <c r="BQ46" s="4">
        <f>IF(AND(REFUND_FINANCING="Yes",$D46&gt;PREMIUM_CALL_FIRST),0, IF(ISERROR(VLOOKUP($D46,'Senior Lien DS - First'!$A$11:$O$81,COLUMNS('Senior Lien DS - First'!$A$11:$O$11),0)),0,VLOOKUP($D46,'Senior Lien DS - First'!$A$11:$O$81,COLUMNS('Senior Lien DS - First'!$A$11:$O$11),0)))</f>
        <v>0</v>
      </c>
      <c r="BR46" s="4">
        <f>IF(ISERROR(VLOOKUP($D46,'Senior Lien DS - Refunding'!$A$11:$O$81,COLUMNS('Senior Lien DS - Refunding'!$A$11:$O$11),0)),0,VLOOKUP($D46,'Senior Lien DS - Refunding'!$A$11:$O$81,COLUMNS('Senior Lien DS - Refunding'!$A$11:$O$11),0))</f>
        <v>0</v>
      </c>
      <c r="BS46" s="4">
        <f t="shared" si="33"/>
        <v>0</v>
      </c>
      <c r="BT46" s="84">
        <f t="shared" ca="1" si="34"/>
        <v>0</v>
      </c>
      <c r="BU46" s="4">
        <f t="shared" ca="1" si="49"/>
        <v>649358.76079958107</v>
      </c>
      <c r="BV46" s="4">
        <f t="shared" si="66"/>
        <v>0</v>
      </c>
      <c r="BW46" s="4">
        <f t="shared" ca="1" si="67"/>
        <v>0</v>
      </c>
      <c r="BX46" s="4">
        <f t="shared" ca="1" si="74"/>
        <v>649358.76079958107</v>
      </c>
      <c r="BY46" s="4">
        <f t="shared" ca="1" si="51"/>
        <v>649358.76079958107</v>
      </c>
      <c r="BZ46" s="4">
        <f t="shared" si="52"/>
        <v>0</v>
      </c>
      <c r="CA46" s="4">
        <f t="shared" si="35"/>
        <v>0</v>
      </c>
      <c r="CB46" s="14">
        <f ca="1">IF(ISERROR((VLOOKUP($D46,'Senior Lien DS - First'!$A$11:$P$71,COLUMNS('Senior Lien DS - First'!$A$11:$P$11)))/Summary!$AG47),"",(IF(REFUND_FINANCING="Yes",0,VLOOKUP($D46,'Senior Lien DS - First'!$A$11:$P$71,COLUMNS('Senior Lien DS - First'!$A$11:$P$11))))/Summary!$AG47)</f>
        <v>0</v>
      </c>
      <c r="CC46" s="10">
        <f ca="1">IF(ISERROR((VLOOKUP($C46,'Senior Lien DS - First'!$A$11:$P$71,COLUMNS('Senior Lien DS - First'!$A$11:$P$11)))/Summary!$M47),"",(VLOOKUP($C46,'Senior Lien DS - First'!$A$11:$P$71,COLUMNS('Senior Lien DS - First'!$A$11:$P$11)))/Summary!$M47)</f>
        <v>0</v>
      </c>
      <c r="CD46" s="9" t="str">
        <f t="shared" ca="1" si="75"/>
        <v/>
      </c>
      <c r="CE46" s="9" t="str">
        <f t="shared" ca="1" si="53"/>
        <v/>
      </c>
      <c r="CH46" s="4">
        <f t="shared" ca="1" si="73"/>
        <v>646358.76079958107</v>
      </c>
      <c r="CI46" s="309">
        <v>4</v>
      </c>
      <c r="CJ46" s="4">
        <f t="shared" ca="1" si="76"/>
        <v>646362.76079958107</v>
      </c>
      <c r="CK46" s="4">
        <f>IF(ISNA(VLOOKUP(DATE(YEAR($D46),PRIN_MATURITY,PRIN_MATURITY_DAY_SUB),'Sub Lien DS - First (Annual)'!$A$12:$H$96,COLUMNS('Sub Lien DS - First (Annual)'!$A$12:$H$12),0)),0,VLOOKUP(DATE(YEAR($D46),PRIN_MATURITY,PRIN_MATURITY_DAY_SUB),'Sub Lien DS - First (Annual)'!$A$12:$H$96,COLUMNS('Sub Lien DS - First (Annual)'!$A$12:$H$12),0))</f>
        <v>0</v>
      </c>
      <c r="CL46" s="4">
        <f t="shared" ca="1" si="55"/>
        <v>0</v>
      </c>
      <c r="CM46" s="4">
        <f t="shared" si="37"/>
        <v>0</v>
      </c>
      <c r="CN46" s="4">
        <f t="shared" si="56"/>
        <v>0</v>
      </c>
      <c r="CO46" s="4">
        <f t="shared" ca="1" si="77"/>
        <v>0</v>
      </c>
      <c r="CP46" s="4"/>
      <c r="CQ46" s="4">
        <f>IF(YEAR(DELIVERY)=YEAR($D46),'Sources and Uses - First'!$D$12,0)</f>
        <v>0</v>
      </c>
      <c r="CR46" s="4">
        <f>IF(ISNA(VLOOKUP(DATE(YEAR($D46),PRIN_MATURITY, PRIN_MATURITY_DAY_SUB),'Sub Lien DS - First (Annual)'!$A$12:$G$41,COLUMNS('Sub Lien DS - First (Annual)'!$A$12:$G$12),0)),0,VLOOKUP(DATE(YEAR($D46),PRIN_MATURITY, PRIN_MATURITY_DAY_SUB),'Sub Lien DS - First (Annual)'!$A$12:$G$41,COLUMNS('Sub Lien DS - First (Annual)'!$A$12:$G$12),0))</f>
        <v>0</v>
      </c>
      <c r="CS46" s="4">
        <f ca="1">SUM($CQ$14:CQ46)-SUM($CR$14:CR46)</f>
        <v>-1000000</v>
      </c>
      <c r="CT46" s="4">
        <f ca="1">SUM($CQ$14:CQ46)-SUM($CR$14:CR46)</f>
        <v>-1000000</v>
      </c>
      <c r="CU46" s="4">
        <f t="shared" ca="1" si="57"/>
        <v>0</v>
      </c>
      <c r="CV46" s="4">
        <f t="shared" ca="1" si="58"/>
        <v>0</v>
      </c>
      <c r="CW46" s="4">
        <f t="shared" ca="1" si="59"/>
        <v>646362.76079958107</v>
      </c>
      <c r="CX46" s="4">
        <f t="shared" ca="1" si="78"/>
        <v>646362.76079958107</v>
      </c>
      <c r="CY46" s="4">
        <f ca="1">SUM($CW$14:CW46)-SUM($CX$14:CX46)</f>
        <v>0</v>
      </c>
    </row>
    <row r="47" spans="1:103" x14ac:dyDescent="0.25">
      <c r="A47">
        <f t="shared" si="22"/>
        <v>35</v>
      </c>
      <c r="C47" s="75">
        <f t="shared" si="38"/>
        <v>57770</v>
      </c>
      <c r="D47" s="75">
        <f t="shared" si="38"/>
        <v>58135</v>
      </c>
      <c r="E47" s="3">
        <f t="shared" si="39"/>
        <v>0</v>
      </c>
      <c r="F47" s="3">
        <f>VLOOKUP($C47,'Residential Development'!$DW$14:$EL$33,COLUMNS('Residential Development'!$DW$14:$DX$14))+F46+E47</f>
        <v>0</v>
      </c>
      <c r="G47" s="4">
        <f t="shared" si="23"/>
        <v>0</v>
      </c>
      <c r="H47" s="3">
        <f>VLOOKUP($C47,'Residential Development'!$D$14:$Q$33,COLUMNS('Residential Development'!$D$14:$Q$14))</f>
        <v>0</v>
      </c>
      <c r="I47" s="3">
        <f ca="1">VLOOKUP($C47,'Residential Development'!$AW$33:$BK48,COLUMNS('Residential Development'!$AW$13:$BK$33))</f>
        <v>0</v>
      </c>
      <c r="J47" s="4">
        <f t="shared" ca="1" si="24"/>
        <v>0</v>
      </c>
      <c r="K47" s="4">
        <f>VLOOKUP($C47,'Residential Development'!$CD$14:$CQ$33,COLUMNS('Residential Development'!$CD$14:$CQ$14))</f>
        <v>0</v>
      </c>
      <c r="L47" s="3">
        <f t="shared" ca="1" si="60"/>
        <v>4646826.3658945914</v>
      </c>
      <c r="M47" s="3">
        <f ca="1">VLOOKUP($C47,'Residential Development'!$EN$14:$FC$33,COLUMNS('Residential Development'!$EN$14:$FC$14))+M46+L47</f>
        <v>469329462.95535374</v>
      </c>
      <c r="N47" s="3">
        <f t="shared" ca="1" si="41"/>
        <v>258131204.62544456</v>
      </c>
      <c r="O47" s="322"/>
      <c r="P47" s="4">
        <f>VLOOKUP($C47,'Residential Development'!$AH$14:$AI$38,2)</f>
        <v>0</v>
      </c>
      <c r="Q47" s="4">
        <f t="shared" ca="1" si="8"/>
        <v>258131204.62544456</v>
      </c>
      <c r="R47" s="4"/>
      <c r="S47" s="4">
        <f t="shared" si="25"/>
        <v>0</v>
      </c>
      <c r="T47" s="4">
        <f>VLOOKUP($C47,'Comm Development'!$CG$14:$CR$33,COLUMNS('Comm Development'!$CG$14:$CR$14))+T46+S47</f>
        <v>0</v>
      </c>
      <c r="U47" s="3"/>
      <c r="V47" s="3">
        <f>VLOOKUP($C47,'Comm Development'!$BG$14:$BR$33,COLUMNS('Comm Development'!$BG$14:$BR$14))</f>
        <v>0</v>
      </c>
      <c r="W47" s="4">
        <f t="shared" si="26"/>
        <v>0</v>
      </c>
      <c r="X47" s="4">
        <f>VLOOKUP($C47,'Comm Development'!$CG$14:$CR$33,COLUMNS('Comm Development'!$CG$14:$CR$14))+X46+W47</f>
        <v>0</v>
      </c>
      <c r="Y47" s="3">
        <f t="shared" si="42"/>
        <v>0</v>
      </c>
      <c r="Z47" s="3">
        <f t="shared" si="61"/>
        <v>0</v>
      </c>
      <c r="AA47" s="322">
        <f t="shared" si="43"/>
        <v>0</v>
      </c>
      <c r="AB47" s="297"/>
      <c r="AC47" s="4"/>
      <c r="AD47" s="4">
        <f t="shared" ref="AD47:AD56" si="79">AD46*(1+AC47)</f>
        <v>0</v>
      </c>
      <c r="AE47" s="4">
        <f t="shared" si="45"/>
        <v>0</v>
      </c>
      <c r="AG47" s="4">
        <f t="shared" ca="1" si="9"/>
        <v>258131204.62544456</v>
      </c>
      <c r="AH47" s="18">
        <f t="shared" si="27"/>
        <v>3</v>
      </c>
      <c r="AI47" s="4">
        <f t="shared" ca="1" si="28"/>
        <v>758905.74159880704</v>
      </c>
      <c r="AJ47" s="4">
        <f t="shared" ca="1" si="11"/>
        <v>0</v>
      </c>
      <c r="AK47" s="3">
        <f t="shared" si="12"/>
        <v>0</v>
      </c>
      <c r="AL47" s="194">
        <f t="shared" si="13"/>
        <v>0</v>
      </c>
      <c r="AM47" s="4">
        <f t="shared" si="62"/>
        <v>0</v>
      </c>
      <c r="AN47" s="4">
        <f t="shared" si="63"/>
        <v>0</v>
      </c>
      <c r="AO47" s="97"/>
      <c r="AP47" s="4">
        <f t="shared" si="64"/>
        <v>0</v>
      </c>
      <c r="AQ47" s="4">
        <f t="shared" si="3"/>
        <v>0</v>
      </c>
      <c r="AR47" s="364">
        <f t="shared" ca="1" si="14"/>
        <v>758905.74159880704</v>
      </c>
      <c r="AT47" s="213">
        <f t="shared" ca="1" si="46"/>
        <v>0</v>
      </c>
      <c r="AU47" s="213">
        <f t="shared" ca="1" si="65"/>
        <v>-4000</v>
      </c>
      <c r="AV47" s="312">
        <f t="shared" si="70"/>
        <v>-99993.723816885918</v>
      </c>
      <c r="AX47" s="4">
        <f t="shared" ca="1" si="32"/>
        <v>654912.01778192108</v>
      </c>
      <c r="AZ47" s="4">
        <f t="shared" ca="1" si="15"/>
        <v>258131204.62544456</v>
      </c>
      <c r="BA47" s="18">
        <f t="shared" si="47"/>
        <v>3</v>
      </c>
      <c r="BB47" s="4">
        <f t="shared" ca="1" si="16"/>
        <v>758905.74159880704</v>
      </c>
      <c r="BC47" s="4">
        <f t="shared" ca="1" si="17"/>
        <v>0</v>
      </c>
      <c r="BD47" s="3">
        <f t="shared" si="18"/>
        <v>0</v>
      </c>
      <c r="BE47" s="194">
        <f t="shared" si="19"/>
        <v>0</v>
      </c>
      <c r="BF47" s="4">
        <f t="shared" si="4"/>
        <v>0</v>
      </c>
      <c r="BG47" s="4">
        <f t="shared" si="5"/>
        <v>0</v>
      </c>
      <c r="BH47" s="97"/>
      <c r="BI47" s="4">
        <f t="shared" si="6"/>
        <v>0</v>
      </c>
      <c r="BJ47" s="4">
        <f t="shared" si="7"/>
        <v>0</v>
      </c>
      <c r="BK47" s="96">
        <f t="shared" ca="1" si="71"/>
        <v>758905.74159880704</v>
      </c>
      <c r="BM47" s="213">
        <f t="shared" si="48"/>
        <v>-3000</v>
      </c>
      <c r="BO47" s="4">
        <f t="shared" ca="1" si="21"/>
        <v>755905.74159880704</v>
      </c>
      <c r="BQ47" s="4">
        <f>IF(AND(REFUND_FINANCING="Yes",$D47&gt;PREMIUM_CALL_FIRST),0, IF(ISERROR(VLOOKUP($D47,'Senior Lien DS - First'!$A$11:$O$81,COLUMNS('Senior Lien DS - First'!$A$11:$O$11),0)),0,VLOOKUP($D47,'Senior Lien DS - First'!$A$11:$O$81,COLUMNS('Senior Lien DS - First'!$A$11:$O$11),0)))</f>
        <v>0</v>
      </c>
      <c r="BR47" s="4">
        <f>IF(ISERROR(VLOOKUP($D47,'Senior Lien DS - Refunding'!$A$11:$O$81,COLUMNS('Senior Lien DS - Refunding'!$A$11:$O$11),0)),0,VLOOKUP($D47,'Senior Lien DS - Refunding'!$A$11:$O$81,COLUMNS('Senior Lien DS - Refunding'!$A$11:$O$11),0))</f>
        <v>0</v>
      </c>
      <c r="BS47" s="4">
        <f t="shared" si="33"/>
        <v>0</v>
      </c>
      <c r="BT47" s="84">
        <f t="shared" ca="1" si="34"/>
        <v>0</v>
      </c>
      <c r="BU47" s="4">
        <f t="shared" ca="1" si="49"/>
        <v>654912.01778192108</v>
      </c>
      <c r="BV47" s="4">
        <f t="shared" si="66"/>
        <v>0</v>
      </c>
      <c r="BW47" s="4">
        <f t="shared" ca="1" si="67"/>
        <v>0</v>
      </c>
      <c r="BX47" s="4">
        <f t="shared" ca="1" si="74"/>
        <v>654912.01778192108</v>
      </c>
      <c r="BY47" s="4">
        <f t="shared" ca="1" si="51"/>
        <v>654912.01778192108</v>
      </c>
      <c r="BZ47" s="4">
        <f t="shared" si="52"/>
        <v>0</v>
      </c>
      <c r="CA47" s="4">
        <f t="shared" si="35"/>
        <v>0</v>
      </c>
      <c r="CB47" s="14">
        <f ca="1">IF(ISERROR((VLOOKUP($D47,'Senior Lien DS - First'!$A$11:$P$71,COLUMNS('Senior Lien DS - First'!$A$11:$P$11)))/Summary!$AG48),"",(IF(REFUND_FINANCING="Yes",0,VLOOKUP($D47,'Senior Lien DS - First'!$A$11:$P$71,COLUMNS('Senior Lien DS - First'!$A$11:$P$11))))/Summary!$AG48)</f>
        <v>0</v>
      </c>
      <c r="CC47" s="10">
        <f ca="1">IF(ISERROR((VLOOKUP($C47,'Senior Lien DS - First'!$A$11:$P$71,COLUMNS('Senior Lien DS - First'!$A$11:$P$11)))/Summary!$M48),"",(VLOOKUP($C47,'Senior Lien DS - First'!$A$11:$P$71,COLUMNS('Senior Lien DS - First'!$A$11:$P$11)))/Summary!$M48)</f>
        <v>0</v>
      </c>
      <c r="CD47" s="9" t="str">
        <f t="shared" ca="1" si="75"/>
        <v/>
      </c>
      <c r="CE47" s="9" t="str">
        <f t="shared" ca="1" si="53"/>
        <v/>
      </c>
      <c r="CH47" s="4">
        <f t="shared" ca="1" si="73"/>
        <v>651912.01778192108</v>
      </c>
      <c r="CI47" s="309">
        <v>5</v>
      </c>
      <c r="CJ47" s="4">
        <f t="shared" ca="1" si="76"/>
        <v>651917.01778192108</v>
      </c>
      <c r="CK47" s="4">
        <f>IF(ISNA(VLOOKUP(DATE(YEAR($D47),PRIN_MATURITY,PRIN_MATURITY_DAY_SUB),'Sub Lien DS - First (Annual)'!$A$12:$H$96,COLUMNS('Sub Lien DS - First (Annual)'!$A$12:$H$12),0)),0,VLOOKUP(DATE(YEAR($D47),PRIN_MATURITY,PRIN_MATURITY_DAY_SUB),'Sub Lien DS - First (Annual)'!$A$12:$H$96,COLUMNS('Sub Lien DS - First (Annual)'!$A$12:$H$12),0))</f>
        <v>0</v>
      </c>
      <c r="CL47" s="4">
        <f t="shared" ca="1" si="55"/>
        <v>0</v>
      </c>
      <c r="CM47" s="4">
        <f t="shared" si="37"/>
        <v>0</v>
      </c>
      <c r="CN47" s="4">
        <f t="shared" si="56"/>
        <v>0</v>
      </c>
      <c r="CO47" s="4">
        <f t="shared" ca="1" si="77"/>
        <v>0</v>
      </c>
      <c r="CP47" s="4"/>
      <c r="CQ47" s="4">
        <f>IF(YEAR(DELIVERY)=YEAR($D47),'Sources and Uses - First'!$D$12,0)</f>
        <v>0</v>
      </c>
      <c r="CR47" s="4">
        <f>IF(ISNA(VLOOKUP(DATE(YEAR($D47),PRIN_MATURITY, PRIN_MATURITY_DAY_SUB),'Sub Lien DS - First (Annual)'!$A$12:$G$41,COLUMNS('Sub Lien DS - First (Annual)'!$A$12:$G$12),0)),0,VLOOKUP(DATE(YEAR($D47),PRIN_MATURITY, PRIN_MATURITY_DAY_SUB),'Sub Lien DS - First (Annual)'!$A$12:$G$41,COLUMNS('Sub Lien DS - First (Annual)'!$A$12:$G$12),0))</f>
        <v>0</v>
      </c>
      <c r="CS47" s="4">
        <f ca="1">SUM($CQ$14:CQ47)-SUM($CR$14:CR47)</f>
        <v>-1000000</v>
      </c>
      <c r="CT47" s="4">
        <f ca="1">SUM($CQ$14:CQ47)-SUM($CR$14:CR47)</f>
        <v>-1000000</v>
      </c>
      <c r="CU47" s="4">
        <f t="shared" ca="1" si="57"/>
        <v>0</v>
      </c>
      <c r="CV47" s="4">
        <f t="shared" ca="1" si="58"/>
        <v>0</v>
      </c>
      <c r="CW47" s="4">
        <f t="shared" ca="1" si="59"/>
        <v>651917.01778192108</v>
      </c>
      <c r="CX47" s="4">
        <f t="shared" ca="1" si="78"/>
        <v>651917.01778192108</v>
      </c>
      <c r="CY47" s="4">
        <f ca="1">SUM($CW$14:CW47)-SUM($CX$14:CX47)</f>
        <v>0</v>
      </c>
    </row>
    <row r="48" spans="1:103" x14ac:dyDescent="0.25">
      <c r="A48">
        <f t="shared" si="22"/>
        <v>36</v>
      </c>
      <c r="C48" s="75">
        <f t="shared" si="38"/>
        <v>58135</v>
      </c>
      <c r="D48" s="75">
        <f t="shared" si="38"/>
        <v>58501</v>
      </c>
      <c r="E48" s="3">
        <f t="shared" si="39"/>
        <v>0</v>
      </c>
      <c r="F48" s="3">
        <f>VLOOKUP($C48,'Residential Development'!$DW$14:$EL$33,COLUMNS('Residential Development'!$DW$14:$DX$14))+F47+E48</f>
        <v>0</v>
      </c>
      <c r="G48" s="4">
        <f t="shared" si="23"/>
        <v>0</v>
      </c>
      <c r="H48" s="3">
        <f>VLOOKUP($C48,'Residential Development'!$D$14:$Q$33,COLUMNS('Residential Development'!$D$14:$Q$14))</f>
        <v>0</v>
      </c>
      <c r="I48" s="3">
        <f ca="1">VLOOKUP($C48,'Residential Development'!$AW$33:$BK49,COLUMNS('Residential Development'!$AW$13:$BK$33))</f>
        <v>0</v>
      </c>
      <c r="J48" s="4">
        <f t="shared" ca="1" si="24"/>
        <v>0</v>
      </c>
      <c r="K48" s="4">
        <f>VLOOKUP($C48,'Residential Development'!$CD$14:$CQ$33,COLUMNS('Residential Development'!$CD$14:$CQ$14))</f>
        <v>0</v>
      </c>
      <c r="L48" s="3">
        <f t="shared" ca="1" si="60"/>
        <v>4693294.6295535378</v>
      </c>
      <c r="M48" s="3">
        <f ca="1">VLOOKUP($C48,'Residential Development'!$EN$14:$FC$33,COLUMNS('Residential Development'!$EN$14:$FC$14))+M47+L48</f>
        <v>474022757.58490729</v>
      </c>
      <c r="N48" s="3">
        <f t="shared" ca="1" si="41"/>
        <v>260712516.67169905</v>
      </c>
      <c r="O48" s="322"/>
      <c r="P48" s="4">
        <f>VLOOKUP($C48,'Residential Development'!$AH$14:$AI$38,2)</f>
        <v>0</v>
      </c>
      <c r="Q48" s="4">
        <f t="shared" ca="1" si="8"/>
        <v>260712516.67169905</v>
      </c>
      <c r="R48" s="4"/>
      <c r="S48" s="4">
        <f t="shared" si="25"/>
        <v>0</v>
      </c>
      <c r="T48" s="4">
        <f>VLOOKUP($C48,'Comm Development'!$CG$14:$CR$33,COLUMNS('Comm Development'!$CG$14:$CR$14))+T47+S48</f>
        <v>0</v>
      </c>
      <c r="U48" s="3"/>
      <c r="V48" s="3">
        <f>VLOOKUP($C48,'Comm Development'!$BG$14:$BR$33,COLUMNS('Comm Development'!$BG$14:$BR$14))</f>
        <v>0</v>
      </c>
      <c r="W48" s="4">
        <f t="shared" si="26"/>
        <v>0</v>
      </c>
      <c r="X48" s="4">
        <f>VLOOKUP($C48,'Comm Development'!$CG$14:$CR$33,COLUMNS('Comm Development'!$CG$14:$CR$14))+X47+W48</f>
        <v>0</v>
      </c>
      <c r="Y48" s="3">
        <f t="shared" si="42"/>
        <v>0</v>
      </c>
      <c r="Z48" s="3">
        <f t="shared" si="61"/>
        <v>0</v>
      </c>
      <c r="AA48" s="322">
        <f t="shared" si="43"/>
        <v>0</v>
      </c>
      <c r="AB48" s="297"/>
      <c r="AC48" s="4"/>
      <c r="AD48" s="4">
        <f t="shared" si="79"/>
        <v>0</v>
      </c>
      <c r="AE48" s="4">
        <f t="shared" si="45"/>
        <v>0</v>
      </c>
      <c r="AG48" s="4">
        <f t="shared" ca="1" si="9"/>
        <v>260712516.67169905</v>
      </c>
      <c r="AH48" s="18">
        <f t="shared" si="27"/>
        <v>3</v>
      </c>
      <c r="AI48" s="4">
        <f t="shared" ca="1" si="28"/>
        <v>766494.79901479522</v>
      </c>
      <c r="AJ48" s="4">
        <f t="shared" ca="1" si="11"/>
        <v>0</v>
      </c>
      <c r="AK48" s="3">
        <f t="shared" si="12"/>
        <v>0</v>
      </c>
      <c r="AL48" s="194">
        <f t="shared" si="13"/>
        <v>0</v>
      </c>
      <c r="AM48" s="4">
        <f t="shared" si="62"/>
        <v>0</v>
      </c>
      <c r="AN48" s="4">
        <f t="shared" si="63"/>
        <v>0</v>
      </c>
      <c r="AO48" s="97"/>
      <c r="AP48" s="4">
        <f t="shared" si="64"/>
        <v>0</v>
      </c>
      <c r="AQ48" s="4">
        <f t="shared" si="3"/>
        <v>0</v>
      </c>
      <c r="AR48" s="364">
        <f t="shared" ca="1" si="14"/>
        <v>766494.79901479522</v>
      </c>
      <c r="AT48" s="213">
        <f t="shared" ca="1" si="46"/>
        <v>0</v>
      </c>
      <c r="AU48" s="213">
        <f t="shared" ca="1" si="65"/>
        <v>-4000</v>
      </c>
      <c r="AV48" s="312">
        <f t="shared" si="70"/>
        <v>-101993.59829322364</v>
      </c>
      <c r="AX48" s="4">
        <f t="shared" ca="1" si="32"/>
        <v>660501.20072157157</v>
      </c>
      <c r="AZ48" s="4">
        <f t="shared" ca="1" si="15"/>
        <v>260712516.67169905</v>
      </c>
      <c r="BA48" s="18">
        <f t="shared" si="47"/>
        <v>3</v>
      </c>
      <c r="BB48" s="4">
        <f t="shared" ca="1" si="16"/>
        <v>766494.79901479522</v>
      </c>
      <c r="BC48" s="4">
        <f t="shared" ca="1" si="17"/>
        <v>0</v>
      </c>
      <c r="BD48" s="3">
        <f t="shared" si="18"/>
        <v>0</v>
      </c>
      <c r="BE48" s="194">
        <f t="shared" si="19"/>
        <v>0</v>
      </c>
      <c r="BF48" s="4">
        <f t="shared" si="4"/>
        <v>0</v>
      </c>
      <c r="BG48" s="4">
        <f t="shared" si="5"/>
        <v>0</v>
      </c>
      <c r="BH48" s="97"/>
      <c r="BI48" s="4">
        <f t="shared" si="6"/>
        <v>0</v>
      </c>
      <c r="BJ48" s="4">
        <f t="shared" si="7"/>
        <v>0</v>
      </c>
      <c r="BK48" s="96">
        <f t="shared" ca="1" si="71"/>
        <v>766494.79901479522</v>
      </c>
      <c r="BM48" s="213">
        <f t="shared" si="48"/>
        <v>-3000</v>
      </c>
      <c r="BO48" s="4">
        <f t="shared" ca="1" si="21"/>
        <v>763494.79901479522</v>
      </c>
      <c r="BQ48" s="4">
        <f>IF(AND(REFUND_FINANCING="Yes",$D48&gt;PREMIUM_CALL_FIRST),0, IF(ISERROR(VLOOKUP($D48,'Senior Lien DS - First'!$A$11:$O$81,COLUMNS('Senior Lien DS - First'!$A$11:$O$11),0)),0,VLOOKUP($D48,'Senior Lien DS - First'!$A$11:$O$81,COLUMNS('Senior Lien DS - First'!$A$11:$O$11),0)))</f>
        <v>0</v>
      </c>
      <c r="BR48" s="4">
        <f>IF(ISERROR(VLOOKUP($D48,'Senior Lien DS - Refunding'!$A$11:$O$81,COLUMNS('Senior Lien DS - Refunding'!$A$11:$O$11),0)),0,VLOOKUP($D48,'Senior Lien DS - Refunding'!$A$11:$O$81,COLUMNS('Senior Lien DS - Refunding'!$A$11:$O$11),0))</f>
        <v>0</v>
      </c>
      <c r="BS48" s="4">
        <f t="shared" si="33"/>
        <v>0</v>
      </c>
      <c r="BT48" s="84">
        <f t="shared" ca="1" si="34"/>
        <v>0</v>
      </c>
      <c r="BU48" s="4">
        <f t="shared" ca="1" si="49"/>
        <v>660501.20072157157</v>
      </c>
      <c r="BV48" s="4">
        <f t="shared" si="66"/>
        <v>0</v>
      </c>
      <c r="BW48" s="4">
        <f t="shared" ca="1" si="67"/>
        <v>0</v>
      </c>
      <c r="BX48" s="4">
        <f t="shared" ca="1" si="74"/>
        <v>660501.20072157157</v>
      </c>
      <c r="BY48" s="4">
        <f t="shared" ca="1" si="51"/>
        <v>660501.20072157157</v>
      </c>
      <c r="BZ48" s="4">
        <f t="shared" si="52"/>
        <v>0</v>
      </c>
      <c r="CA48" s="4">
        <f t="shared" si="35"/>
        <v>0</v>
      </c>
      <c r="CB48" s="14">
        <f ca="1">IF(ISERROR((VLOOKUP($D48,'Senior Lien DS - First'!$A$11:$P$71,COLUMNS('Senior Lien DS - First'!$A$11:$P$11)))/Summary!$AG49),"",(IF(REFUND_FINANCING="Yes",0,VLOOKUP($D48,'Senior Lien DS - First'!$A$11:$P$71,COLUMNS('Senior Lien DS - First'!$A$11:$P$11))))/Summary!$AG49)</f>
        <v>0</v>
      </c>
      <c r="CC48" s="10">
        <f ca="1">IF(ISERROR((VLOOKUP($C48,'Senior Lien DS - First'!$A$11:$P$71,COLUMNS('Senior Lien DS - First'!$A$11:$P$11)))/Summary!$M49),"",(VLOOKUP($C48,'Senior Lien DS - First'!$A$11:$P$71,COLUMNS('Senior Lien DS - First'!$A$11:$P$11)))/Summary!$M49)</f>
        <v>0</v>
      </c>
      <c r="CD48" s="9" t="str">
        <f t="shared" ca="1" si="75"/>
        <v/>
      </c>
      <c r="CE48" s="9" t="str">
        <f t="shared" ca="1" si="53"/>
        <v/>
      </c>
      <c r="CH48" s="4">
        <f t="shared" ca="1" si="73"/>
        <v>657501.20072157157</v>
      </c>
      <c r="CI48" s="309">
        <v>6</v>
      </c>
      <c r="CJ48" s="4">
        <f t="shared" ca="1" si="76"/>
        <v>657507.20072157157</v>
      </c>
      <c r="CK48" s="4">
        <f>IF(ISNA(VLOOKUP(DATE(YEAR($D48),PRIN_MATURITY,PRIN_MATURITY_DAY_SUB),'Sub Lien DS - First (Annual)'!$A$12:$H$96,COLUMNS('Sub Lien DS - First (Annual)'!$A$12:$H$12),0)),0,VLOOKUP(DATE(YEAR($D48),PRIN_MATURITY,PRIN_MATURITY_DAY_SUB),'Sub Lien DS - First (Annual)'!$A$12:$H$96,COLUMNS('Sub Lien DS - First (Annual)'!$A$12:$H$12),0))</f>
        <v>0</v>
      </c>
      <c r="CL48" s="4">
        <f t="shared" ca="1" si="55"/>
        <v>0</v>
      </c>
      <c r="CM48" s="4">
        <f t="shared" si="37"/>
        <v>0</v>
      </c>
      <c r="CN48" s="4">
        <f t="shared" si="56"/>
        <v>0</v>
      </c>
      <c r="CO48" s="4">
        <f t="shared" ca="1" si="77"/>
        <v>0</v>
      </c>
      <c r="CP48" s="4"/>
      <c r="CQ48" s="4">
        <f>IF(YEAR(DELIVERY)=YEAR($D48),'Sources and Uses - First'!$D$12,0)</f>
        <v>0</v>
      </c>
      <c r="CR48" s="4">
        <f>IF(ISNA(VLOOKUP(DATE(YEAR($D48),PRIN_MATURITY, PRIN_MATURITY_DAY_SUB),'Sub Lien DS - First (Annual)'!$A$12:$G$41,COLUMNS('Sub Lien DS - First (Annual)'!$A$12:$G$12),0)),0,VLOOKUP(DATE(YEAR($D48),PRIN_MATURITY, PRIN_MATURITY_DAY_SUB),'Sub Lien DS - First (Annual)'!$A$12:$G$41,COLUMNS('Sub Lien DS - First (Annual)'!$A$12:$G$12),0))</f>
        <v>0</v>
      </c>
      <c r="CS48" s="4">
        <f ca="1">SUM($CQ$14:CQ48)-SUM($CR$14:CR48)</f>
        <v>-1000000</v>
      </c>
      <c r="CT48" s="4">
        <f ca="1">SUM($CQ$14:CQ48)-SUM($CR$14:CR48)</f>
        <v>-1000000</v>
      </c>
      <c r="CU48" s="4">
        <f t="shared" ca="1" si="57"/>
        <v>0</v>
      </c>
      <c r="CV48" s="4">
        <f t="shared" ca="1" si="58"/>
        <v>0</v>
      </c>
      <c r="CW48" s="4">
        <f t="shared" ca="1" si="59"/>
        <v>657507.20072157157</v>
      </c>
      <c r="CX48" s="4">
        <f t="shared" ca="1" si="78"/>
        <v>657507.20072157157</v>
      </c>
      <c r="CY48" s="4">
        <f ca="1">SUM($CW$14:CW48)-SUM($CX$14:CX48)</f>
        <v>0</v>
      </c>
    </row>
    <row r="49" spans="1:103" x14ac:dyDescent="0.25">
      <c r="A49">
        <f t="shared" si="22"/>
        <v>37</v>
      </c>
      <c r="C49" s="75">
        <f t="shared" si="38"/>
        <v>58501</v>
      </c>
      <c r="D49" s="75">
        <f t="shared" si="38"/>
        <v>58866</v>
      </c>
      <c r="E49" s="3">
        <f t="shared" si="39"/>
        <v>0</v>
      </c>
      <c r="F49" s="3">
        <f>VLOOKUP($C49,'Residential Development'!$DW$14:$EL$33,COLUMNS('Residential Development'!$DW$14:$DX$14))+F48+E49</f>
        <v>0</v>
      </c>
      <c r="G49" s="4">
        <f t="shared" si="23"/>
        <v>0</v>
      </c>
      <c r="H49" s="3">
        <f>VLOOKUP($C49,'Residential Development'!$D$14:$Q$33,COLUMNS('Residential Development'!$D$14:$Q$14))</f>
        <v>0</v>
      </c>
      <c r="I49" s="3">
        <f ca="1">VLOOKUP($C49,'Residential Development'!$AW$33:$BK50,COLUMNS('Residential Development'!$AW$13:$BK$33))</f>
        <v>0</v>
      </c>
      <c r="J49" s="4">
        <f t="shared" ca="1" si="24"/>
        <v>0</v>
      </c>
      <c r="K49" s="4">
        <f>VLOOKUP($C49,'Residential Development'!$CD$14:$CQ$33,COLUMNS('Residential Development'!$CD$14:$CQ$14))</f>
        <v>0</v>
      </c>
      <c r="L49" s="3">
        <f t="shared" ca="1" si="60"/>
        <v>4740227.575849073</v>
      </c>
      <c r="M49" s="3">
        <f ca="1">VLOOKUP($C49,'Residential Development'!$EN$14:$FC$33,COLUMNS('Residential Development'!$EN$14:$FC$14))+M48+L49</f>
        <v>478762985.16075635</v>
      </c>
      <c r="N49" s="3">
        <f t="shared" ca="1" si="41"/>
        <v>263319641.83841601</v>
      </c>
      <c r="O49" s="322"/>
      <c r="P49" s="4">
        <f>VLOOKUP($C49,'Residential Development'!$AH$14:$AI$38,2)</f>
        <v>0</v>
      </c>
      <c r="Q49" s="4">
        <f t="shared" ca="1" si="8"/>
        <v>263319641.83841601</v>
      </c>
      <c r="R49" s="4"/>
      <c r="S49" s="4">
        <f t="shared" si="25"/>
        <v>0</v>
      </c>
      <c r="T49" s="4">
        <f>VLOOKUP($C49,'Comm Development'!$CG$14:$CR$33,COLUMNS('Comm Development'!$CG$14:$CR$14))+T48+S49</f>
        <v>0</v>
      </c>
      <c r="U49" s="3"/>
      <c r="V49" s="3">
        <f>VLOOKUP($C49,'Comm Development'!$BG$14:$BR$33,COLUMNS('Comm Development'!$BG$14:$BR$14))</f>
        <v>0</v>
      </c>
      <c r="W49" s="4">
        <f t="shared" si="26"/>
        <v>0</v>
      </c>
      <c r="X49" s="4">
        <f>VLOOKUP($C49,'Comm Development'!$CG$14:$CR$33,COLUMNS('Comm Development'!$CG$14:$CR$14))+X48+W49</f>
        <v>0</v>
      </c>
      <c r="Y49" s="3">
        <f t="shared" si="42"/>
        <v>0</v>
      </c>
      <c r="Z49" s="3">
        <f t="shared" si="61"/>
        <v>0</v>
      </c>
      <c r="AA49" s="322">
        <f t="shared" si="43"/>
        <v>0</v>
      </c>
      <c r="AB49" s="297"/>
      <c r="AC49" s="4"/>
      <c r="AD49" s="4">
        <f t="shared" si="79"/>
        <v>0</v>
      </c>
      <c r="AE49" s="4">
        <f t="shared" si="45"/>
        <v>0</v>
      </c>
      <c r="AG49" s="4">
        <f t="shared" ca="1" si="9"/>
        <v>263319641.83841601</v>
      </c>
      <c r="AH49" s="18">
        <f t="shared" si="27"/>
        <v>3</v>
      </c>
      <c r="AI49" s="4">
        <f t="shared" ca="1" si="28"/>
        <v>774159.74700494297</v>
      </c>
      <c r="AJ49" s="4">
        <f t="shared" ca="1" si="11"/>
        <v>0</v>
      </c>
      <c r="AK49" s="3">
        <f t="shared" si="12"/>
        <v>0</v>
      </c>
      <c r="AL49" s="194">
        <f t="shared" si="13"/>
        <v>0</v>
      </c>
      <c r="AM49" s="4">
        <f t="shared" si="62"/>
        <v>0</v>
      </c>
      <c r="AN49" s="4">
        <f t="shared" si="63"/>
        <v>0</v>
      </c>
      <c r="AO49" s="97"/>
      <c r="AP49" s="4">
        <f t="shared" si="64"/>
        <v>0</v>
      </c>
      <c r="AQ49" s="4">
        <f t="shared" si="3"/>
        <v>0</v>
      </c>
      <c r="AR49" s="364">
        <f t="shared" ca="1" si="14"/>
        <v>774159.74700494297</v>
      </c>
      <c r="AT49" s="213">
        <f t="shared" ca="1" si="46"/>
        <v>0</v>
      </c>
      <c r="AU49" s="213">
        <f t="shared" ca="1" si="65"/>
        <v>-4000</v>
      </c>
      <c r="AV49" s="312">
        <f t="shared" si="70"/>
        <v>-104033.47025908811</v>
      </c>
      <c r="AX49" s="4">
        <f t="shared" ca="1" si="32"/>
        <v>666126.27674585488</v>
      </c>
      <c r="AZ49" s="4">
        <f t="shared" ca="1" si="15"/>
        <v>263319641.83841601</v>
      </c>
      <c r="BA49" s="18">
        <f t="shared" si="47"/>
        <v>3</v>
      </c>
      <c r="BB49" s="4">
        <f t="shared" ca="1" si="16"/>
        <v>774159.74700494297</v>
      </c>
      <c r="BC49" s="4">
        <f t="shared" ca="1" si="17"/>
        <v>0</v>
      </c>
      <c r="BD49" s="3">
        <f t="shared" si="18"/>
        <v>0</v>
      </c>
      <c r="BE49" s="194">
        <f t="shared" si="19"/>
        <v>0</v>
      </c>
      <c r="BF49" s="4">
        <f t="shared" si="4"/>
        <v>0</v>
      </c>
      <c r="BG49" s="4">
        <f t="shared" si="5"/>
        <v>0</v>
      </c>
      <c r="BH49" s="97"/>
      <c r="BI49" s="4">
        <f t="shared" si="6"/>
        <v>0</v>
      </c>
      <c r="BJ49" s="4">
        <f t="shared" si="7"/>
        <v>0</v>
      </c>
      <c r="BK49" s="96">
        <f t="shared" ca="1" si="71"/>
        <v>774159.74700494297</v>
      </c>
      <c r="BM49" s="213">
        <f t="shared" si="48"/>
        <v>-3000</v>
      </c>
      <c r="BO49" s="4">
        <f t="shared" ca="1" si="21"/>
        <v>771159.74700494297</v>
      </c>
      <c r="BQ49" s="4">
        <f>IF(AND(REFUND_FINANCING="Yes",$D49&gt;PREMIUM_CALL_FIRST),0, IF(ISERROR(VLOOKUP($D49,'Senior Lien DS - First'!$A$11:$O$81,COLUMNS('Senior Lien DS - First'!$A$11:$O$11),0)),0,VLOOKUP($D49,'Senior Lien DS - First'!$A$11:$O$81,COLUMNS('Senior Lien DS - First'!$A$11:$O$11),0)))</f>
        <v>0</v>
      </c>
      <c r="BR49" s="4">
        <f>IF(ISERROR(VLOOKUP($D49,'Senior Lien DS - Refunding'!$A$11:$O$81,COLUMNS('Senior Lien DS - Refunding'!$A$11:$O$11),0)),0,VLOOKUP($D49,'Senior Lien DS - Refunding'!$A$11:$O$81,COLUMNS('Senior Lien DS - Refunding'!$A$11:$O$11),0))</f>
        <v>0</v>
      </c>
      <c r="BS49" s="4">
        <f t="shared" si="33"/>
        <v>0</v>
      </c>
      <c r="BT49" s="84">
        <f t="shared" ca="1" si="34"/>
        <v>0</v>
      </c>
      <c r="BU49" s="4">
        <f t="shared" ca="1" si="49"/>
        <v>666126.27674585488</v>
      </c>
      <c r="BV49" s="4">
        <f t="shared" si="66"/>
        <v>0</v>
      </c>
      <c r="BW49" s="4">
        <f t="shared" ca="1" si="67"/>
        <v>0</v>
      </c>
      <c r="BX49" s="4">
        <f t="shared" ca="1" si="50"/>
        <v>666126.27674585488</v>
      </c>
      <c r="BY49" s="4">
        <f t="shared" ca="1" si="51"/>
        <v>666126.27674585488</v>
      </c>
      <c r="BZ49" s="4">
        <f t="shared" si="52"/>
        <v>0</v>
      </c>
      <c r="CA49" s="4">
        <f t="shared" si="35"/>
        <v>0</v>
      </c>
      <c r="CB49" s="14">
        <f ca="1">IF(ISERROR((VLOOKUP($D49,'Senior Lien DS - First'!$A$11:$P$71,COLUMNS('Senior Lien DS - First'!$A$11:$P$11)))/Summary!$AG50),"",(IF(REFUND_FINANCING="Yes",0,VLOOKUP($D49,'Senior Lien DS - First'!$A$11:$P$71,COLUMNS('Senior Lien DS - First'!$A$11:$P$11))))/Summary!$AG50)</f>
        <v>0</v>
      </c>
      <c r="CC49" s="10">
        <f ca="1">IF(ISERROR((VLOOKUP($C49,'Senior Lien DS - First'!$A$11:$P$71,COLUMNS('Senior Lien DS - First'!$A$11:$P$11)))/Summary!$M50),"",(VLOOKUP($C49,'Senior Lien DS - First'!$A$11:$P$71,COLUMNS('Senior Lien DS - First'!$A$11:$P$11)))/Summary!$M50)</f>
        <v>0</v>
      </c>
      <c r="CD49" s="9" t="str">
        <f t="shared" ca="1" si="75"/>
        <v/>
      </c>
      <c r="CE49" s="9" t="str">
        <f t="shared" ca="1" si="53"/>
        <v/>
      </c>
      <c r="CH49" s="4">
        <f t="shared" ca="1" si="73"/>
        <v>663126.27674585488</v>
      </c>
      <c r="CI49" s="309">
        <v>7</v>
      </c>
      <c r="CJ49" s="4">
        <f t="shared" ca="1" si="76"/>
        <v>663133.27674585488</v>
      </c>
      <c r="CK49" s="4">
        <f>IF(ISNA(VLOOKUP(DATE(YEAR($D49),PRIN_MATURITY,PRIN_MATURITY_DAY_SUB),'Sub Lien DS - First (Annual)'!$A$12:$H$96,COLUMNS('Sub Lien DS - First (Annual)'!$A$12:$H$12),0)),0,VLOOKUP(DATE(YEAR($D49),PRIN_MATURITY,PRIN_MATURITY_DAY_SUB),'Sub Lien DS - First (Annual)'!$A$12:$H$96,COLUMNS('Sub Lien DS - First (Annual)'!$A$12:$H$12),0))</f>
        <v>0</v>
      </c>
      <c r="CL49" s="4">
        <f t="shared" ca="1" si="55"/>
        <v>0</v>
      </c>
      <c r="CM49" s="4">
        <f t="shared" si="37"/>
        <v>0</v>
      </c>
      <c r="CN49" s="4">
        <f t="shared" si="56"/>
        <v>0</v>
      </c>
      <c r="CO49" s="4">
        <f t="shared" ca="1" si="77"/>
        <v>0</v>
      </c>
      <c r="CP49" s="4"/>
      <c r="CQ49" s="4">
        <f>IF(YEAR(DELIVERY)=YEAR($D49),'Sources and Uses - First'!$D$12,0)</f>
        <v>0</v>
      </c>
      <c r="CR49" s="4">
        <f>IF(ISNA(VLOOKUP(DATE(YEAR($D49),PRIN_MATURITY, PRIN_MATURITY_DAY_SUB),'Sub Lien DS - First (Annual)'!$A$12:$G$41,COLUMNS('Sub Lien DS - First (Annual)'!$A$12:$G$12),0)),0,VLOOKUP(DATE(YEAR($D49),PRIN_MATURITY, PRIN_MATURITY_DAY_SUB),'Sub Lien DS - First (Annual)'!$A$12:$G$41,COLUMNS('Sub Lien DS - First (Annual)'!$A$12:$G$12),0))</f>
        <v>0</v>
      </c>
      <c r="CS49" s="4">
        <f ca="1">SUM($CQ$14:CQ49)-SUM($CR$14:CR49)</f>
        <v>-1000000</v>
      </c>
      <c r="CT49" s="4">
        <f ca="1">SUM($CQ$14:CQ49)-SUM($CR$14:CR49)</f>
        <v>-1000000</v>
      </c>
      <c r="CU49" s="4">
        <f t="shared" ca="1" si="57"/>
        <v>0</v>
      </c>
      <c r="CV49" s="4">
        <f t="shared" ca="1" si="58"/>
        <v>0</v>
      </c>
      <c r="CW49" s="4">
        <f t="shared" ca="1" si="59"/>
        <v>663133.27674585488</v>
      </c>
      <c r="CX49" s="4">
        <f t="shared" ca="1" si="78"/>
        <v>663133.27674585488</v>
      </c>
      <c r="CY49" s="4">
        <f ca="1">SUM($CW$14:CW49)-SUM($CX$14:CX49)</f>
        <v>0</v>
      </c>
    </row>
    <row r="50" spans="1:103" x14ac:dyDescent="0.25">
      <c r="A50">
        <f t="shared" si="22"/>
        <v>38</v>
      </c>
      <c r="C50" s="75">
        <f t="shared" si="38"/>
        <v>58866</v>
      </c>
      <c r="D50" s="75">
        <f t="shared" si="38"/>
        <v>59231</v>
      </c>
      <c r="E50" s="3">
        <f t="shared" si="39"/>
        <v>0</v>
      </c>
      <c r="F50" s="3">
        <f>VLOOKUP($C50,'Residential Development'!$DW$14:$EL$33,COLUMNS('Residential Development'!$DW$14:$DX$14))+F49+E50</f>
        <v>0</v>
      </c>
      <c r="G50" s="4">
        <f t="shared" si="23"/>
        <v>0</v>
      </c>
      <c r="H50" s="3">
        <f>VLOOKUP($C50,'Residential Development'!$D$14:$Q$33,COLUMNS('Residential Development'!$D$14:$Q$14))</f>
        <v>0</v>
      </c>
      <c r="I50" s="3">
        <f ca="1">VLOOKUP($C50,'Residential Development'!$AW$33:$BK51,COLUMNS('Residential Development'!$AW$13:$BK$33))</f>
        <v>0</v>
      </c>
      <c r="J50" s="4">
        <f t="shared" ca="1" si="24"/>
        <v>0</v>
      </c>
      <c r="K50" s="4">
        <f>VLOOKUP($C50,'Residential Development'!$CD$14:$CQ$33,COLUMNS('Residential Development'!$CD$14:$CQ$14))</f>
        <v>0</v>
      </c>
      <c r="L50" s="3">
        <f t="shared" ca="1" si="60"/>
        <v>4787629.8516075639</v>
      </c>
      <c r="M50" s="3">
        <f ca="1">VLOOKUP($C50,'Residential Development'!$EN$14:$FC$33,COLUMNS('Residential Development'!$EN$14:$FC$14))+M49+L50</f>
        <v>483550615.01236391</v>
      </c>
      <c r="N50" s="3">
        <f t="shared" ca="1" si="41"/>
        <v>265952838.25680017</v>
      </c>
      <c r="O50" s="322"/>
      <c r="P50" s="4">
        <f>VLOOKUP($C50,'Residential Development'!$AH$14:$AI$38,2)</f>
        <v>0</v>
      </c>
      <c r="Q50" s="4">
        <f t="shared" ca="1" si="8"/>
        <v>265952838.25680017</v>
      </c>
      <c r="R50" s="4"/>
      <c r="S50" s="4">
        <f t="shared" si="25"/>
        <v>0</v>
      </c>
      <c r="T50" s="4">
        <f>VLOOKUP($C50,'Comm Development'!$CG$14:$CR$33,COLUMNS('Comm Development'!$CG$14:$CR$14))+T49+S50</f>
        <v>0</v>
      </c>
      <c r="U50" s="3"/>
      <c r="V50" s="3">
        <f>VLOOKUP($C50,'Comm Development'!$BG$14:$BR$33,COLUMNS('Comm Development'!$BG$14:$BR$14))</f>
        <v>0</v>
      </c>
      <c r="W50" s="4">
        <f t="shared" si="26"/>
        <v>0</v>
      </c>
      <c r="X50" s="4">
        <f>VLOOKUP($C50,'Comm Development'!$CG$14:$CR$33,COLUMNS('Comm Development'!$CG$14:$CR$14))+X49+W50</f>
        <v>0</v>
      </c>
      <c r="Y50" s="3">
        <f t="shared" si="42"/>
        <v>0</v>
      </c>
      <c r="Z50" s="3">
        <f t="shared" si="61"/>
        <v>0</v>
      </c>
      <c r="AA50" s="322">
        <f t="shared" si="43"/>
        <v>0</v>
      </c>
      <c r="AB50" s="297"/>
      <c r="AC50" s="4"/>
      <c r="AD50" s="4">
        <f t="shared" si="79"/>
        <v>0</v>
      </c>
      <c r="AE50" s="4">
        <f t="shared" si="45"/>
        <v>0</v>
      </c>
      <c r="AG50" s="4">
        <f t="shared" ca="1" si="9"/>
        <v>265952838.25680017</v>
      </c>
      <c r="AH50" s="18">
        <f t="shared" si="27"/>
        <v>3</v>
      </c>
      <c r="AI50" s="4">
        <f t="shared" ca="1" si="28"/>
        <v>781901.3444749926</v>
      </c>
      <c r="AJ50" s="4">
        <f t="shared" ca="1" si="11"/>
        <v>0</v>
      </c>
      <c r="AK50" s="3">
        <f t="shared" si="12"/>
        <v>0</v>
      </c>
      <c r="AL50" s="194">
        <f t="shared" si="13"/>
        <v>0</v>
      </c>
      <c r="AM50" s="4">
        <f t="shared" si="62"/>
        <v>0</v>
      </c>
      <c r="AN50" s="4">
        <f t="shared" si="63"/>
        <v>0</v>
      </c>
      <c r="AO50" s="97"/>
      <c r="AP50" s="4">
        <f t="shared" si="64"/>
        <v>0</v>
      </c>
      <c r="AQ50" s="4">
        <f t="shared" si="3"/>
        <v>0</v>
      </c>
      <c r="AR50" s="364">
        <f t="shared" ca="1" si="14"/>
        <v>781901.3444749926</v>
      </c>
      <c r="AT50" s="213">
        <f t="shared" ca="1" si="46"/>
        <v>0</v>
      </c>
      <c r="AU50" s="213">
        <f t="shared" ca="1" si="65"/>
        <v>-4000</v>
      </c>
      <c r="AV50" s="312">
        <f t="shared" si="70"/>
        <v>-106114.13966426987</v>
      </c>
      <c r="AX50" s="4">
        <f t="shared" ca="1" si="32"/>
        <v>671787.20481072273</v>
      </c>
      <c r="AZ50" s="4">
        <f t="shared" ca="1" si="15"/>
        <v>265952838.25680017</v>
      </c>
      <c r="BA50" s="18">
        <f t="shared" si="47"/>
        <v>3</v>
      </c>
      <c r="BB50" s="4">
        <f t="shared" ca="1" si="16"/>
        <v>781901.3444749926</v>
      </c>
      <c r="BC50" s="4">
        <f t="shared" ca="1" si="17"/>
        <v>0</v>
      </c>
      <c r="BD50" s="3">
        <f t="shared" si="18"/>
        <v>0</v>
      </c>
      <c r="BE50" s="194">
        <f t="shared" si="19"/>
        <v>0</v>
      </c>
      <c r="BF50" s="4">
        <f t="shared" si="4"/>
        <v>0</v>
      </c>
      <c r="BG50" s="4">
        <f t="shared" si="5"/>
        <v>0</v>
      </c>
      <c r="BH50" s="97"/>
      <c r="BI50" s="4">
        <f t="shared" si="6"/>
        <v>0</v>
      </c>
      <c r="BJ50" s="4">
        <f t="shared" si="7"/>
        <v>0</v>
      </c>
      <c r="BK50" s="96">
        <f t="shared" ca="1" si="71"/>
        <v>781901.3444749926</v>
      </c>
      <c r="BM50" s="213">
        <f t="shared" si="48"/>
        <v>-3000</v>
      </c>
      <c r="BO50" s="4">
        <f t="shared" ca="1" si="21"/>
        <v>778901.3444749926</v>
      </c>
      <c r="BQ50" s="4">
        <f>IF(AND(REFUND_FINANCING="Yes",$D50&gt;PREMIUM_CALL_FIRST),0, IF(ISERROR(VLOOKUP($D50,'Senior Lien DS - First'!$A$11:$O$81,COLUMNS('Senior Lien DS - First'!$A$11:$O$11),0)),0,VLOOKUP($D50,'Senior Lien DS - First'!$A$11:$O$81,COLUMNS('Senior Lien DS - First'!$A$11:$O$11),0)))</f>
        <v>0</v>
      </c>
      <c r="BR50" s="4">
        <f>IF(ISERROR(VLOOKUP($D50,'Senior Lien DS - Refunding'!$A$11:$O$81,COLUMNS('Senior Lien DS - Refunding'!$A$11:$O$11),0)),0,VLOOKUP($D50,'Senior Lien DS - Refunding'!$A$11:$O$81,COLUMNS('Senior Lien DS - Refunding'!$A$11:$O$11),0))</f>
        <v>0</v>
      </c>
      <c r="BS50" s="4">
        <f t="shared" si="33"/>
        <v>0</v>
      </c>
      <c r="BT50" s="84">
        <f t="shared" ca="1" si="34"/>
        <v>0</v>
      </c>
      <c r="BU50" s="4">
        <f t="shared" ca="1" si="49"/>
        <v>671787.20481072273</v>
      </c>
      <c r="BV50" s="4">
        <f t="shared" si="66"/>
        <v>0</v>
      </c>
      <c r="BW50" s="4">
        <f t="shared" ca="1" si="67"/>
        <v>0</v>
      </c>
      <c r="BX50" s="4">
        <f t="shared" ca="1" si="50"/>
        <v>671787.20481072273</v>
      </c>
      <c r="BY50" s="4">
        <f t="shared" ca="1" si="51"/>
        <v>671787.20481072273</v>
      </c>
      <c r="BZ50" s="4">
        <f t="shared" si="52"/>
        <v>0</v>
      </c>
      <c r="CA50" s="4">
        <f t="shared" si="35"/>
        <v>0</v>
      </c>
      <c r="CB50" s="14">
        <f ca="1">IF(ISERROR((VLOOKUP($D50,'Senior Lien DS - First'!$A$11:$P$71,COLUMNS('Senior Lien DS - First'!$A$11:$P$11)))/Summary!$AG51),"",(IF(REFUND_FINANCING="Yes",0,VLOOKUP($D50,'Senior Lien DS - First'!$A$11:$P$71,COLUMNS('Senior Lien DS - First'!$A$11:$P$11))))/Summary!$AG51)</f>
        <v>0</v>
      </c>
      <c r="CC50" s="10">
        <f ca="1">IF(ISERROR((VLOOKUP($C50,'Senior Lien DS - First'!$A$11:$P$71,COLUMNS('Senior Lien DS - First'!$A$11:$P$11)))/Summary!$M51),"",(VLOOKUP($C50,'Senior Lien DS - First'!$A$11:$P$71,COLUMNS('Senior Lien DS - First'!$A$11:$P$11)))/Summary!$M51)</f>
        <v>0</v>
      </c>
      <c r="CD50" s="9" t="str">
        <f t="shared" ca="1" si="75"/>
        <v/>
      </c>
      <c r="CE50" s="9" t="str">
        <f t="shared" ca="1" si="53"/>
        <v/>
      </c>
      <c r="CH50" s="4">
        <f t="shared" ca="1" si="73"/>
        <v>668787.20481072273</v>
      </c>
      <c r="CI50" s="309">
        <v>0</v>
      </c>
      <c r="CJ50" s="4">
        <f t="shared" ca="1" si="72"/>
        <v>668787.20481072273</v>
      </c>
      <c r="CK50" s="4">
        <f>IF(ISNA(VLOOKUP(DATE(YEAR($D50),PRIN_MATURITY,PRIN_MATURITY_DAY_SUB),'Sub Lien DS - First (Annual)'!$A$12:$H$96,COLUMNS('Sub Lien DS - First (Annual)'!$A$12:$H$12),0)),0,VLOOKUP(DATE(YEAR($D50),PRIN_MATURITY,PRIN_MATURITY_DAY_SUB),'Sub Lien DS - First (Annual)'!$A$12:$H$96,COLUMNS('Sub Lien DS - First (Annual)'!$A$12:$H$12),0))</f>
        <v>0</v>
      </c>
      <c r="CL50" s="4">
        <f t="shared" ca="1" si="55"/>
        <v>0</v>
      </c>
      <c r="CM50" s="4">
        <f t="shared" si="37"/>
        <v>0</v>
      </c>
      <c r="CN50" s="4">
        <f t="shared" si="56"/>
        <v>0</v>
      </c>
      <c r="CO50" s="4">
        <f t="shared" ca="1" si="77"/>
        <v>0</v>
      </c>
      <c r="CP50" s="4"/>
      <c r="CQ50" s="4">
        <f>IF(YEAR(DELIVERY)=YEAR($D50),'Sources and Uses - First'!$D$12,0)</f>
        <v>0</v>
      </c>
      <c r="CR50" s="4">
        <f>IF(ISNA(VLOOKUP(DATE(YEAR($D50),PRIN_MATURITY, PRIN_MATURITY_DAY_SUB),'Sub Lien DS - First (Annual)'!$A$12:$G$41,COLUMNS('Sub Lien DS - First (Annual)'!$A$12:$G$12),0)),0,VLOOKUP(DATE(YEAR($D50),PRIN_MATURITY, PRIN_MATURITY_DAY_SUB),'Sub Lien DS - First (Annual)'!$A$12:$G$41,COLUMNS('Sub Lien DS - First (Annual)'!$A$12:$G$12),0))</f>
        <v>0</v>
      </c>
      <c r="CS50" s="4">
        <f ca="1">SUM($CQ$14:CQ50)-SUM($CR$14:CR50)</f>
        <v>-1000000</v>
      </c>
      <c r="CT50" s="4">
        <f ca="1">SUM($CQ$14:CQ50)-SUM($CR$14:CR50)</f>
        <v>-1000000</v>
      </c>
      <c r="CU50" s="4">
        <f t="shared" ca="1" si="57"/>
        <v>0</v>
      </c>
      <c r="CV50" s="4">
        <f t="shared" ca="1" si="58"/>
        <v>0</v>
      </c>
      <c r="CW50" s="4">
        <f t="shared" ca="1" si="59"/>
        <v>668787.20481072273</v>
      </c>
      <c r="CX50" s="4">
        <f t="shared" ca="1" si="78"/>
        <v>668787.20481072273</v>
      </c>
      <c r="CY50" s="4">
        <f ca="1">SUM($CW$14:CW50)-SUM($CX$14:CX50)</f>
        <v>0</v>
      </c>
    </row>
    <row r="51" spans="1:103" x14ac:dyDescent="0.25">
      <c r="A51">
        <f t="shared" si="22"/>
        <v>39</v>
      </c>
      <c r="C51" s="75">
        <f t="shared" si="38"/>
        <v>59231</v>
      </c>
      <c r="D51" s="75">
        <f t="shared" si="38"/>
        <v>59596</v>
      </c>
      <c r="E51" s="3">
        <f t="shared" si="39"/>
        <v>0</v>
      </c>
      <c r="F51" s="3">
        <f>VLOOKUP($C51,'Residential Development'!$DW$14:$EL$33,COLUMNS('Residential Development'!$DW$14:$DX$14))+F50+E51</f>
        <v>0</v>
      </c>
      <c r="G51" s="4">
        <f t="shared" si="23"/>
        <v>0</v>
      </c>
      <c r="H51" s="3">
        <f>VLOOKUP($C51,'Residential Development'!$D$14:$Q$33,COLUMNS('Residential Development'!$D$14:$Q$14))</f>
        <v>0</v>
      </c>
      <c r="I51" s="3">
        <f ca="1">VLOOKUP($C51,'Residential Development'!$AW$33:$BK52,COLUMNS('Residential Development'!$AW$13:$BK$33))</f>
        <v>0</v>
      </c>
      <c r="J51" s="4">
        <f t="shared" ca="1" si="24"/>
        <v>0</v>
      </c>
      <c r="K51" s="4">
        <f>VLOOKUP($C51,'Residential Development'!$CD$14:$CQ$33,COLUMNS('Residential Development'!$CD$14:$CQ$14))</f>
        <v>0</v>
      </c>
      <c r="L51" s="3">
        <f t="shared" ca="1" si="60"/>
        <v>4835506.150123639</v>
      </c>
      <c r="M51" s="3">
        <f ca="1">VLOOKUP($C51,'Residential Development'!$EN$14:$FC$33,COLUMNS('Residential Development'!$EN$14:$FC$14))+M50+L51</f>
        <v>488386121.16248757</v>
      </c>
      <c r="N51" s="3">
        <f t="shared" ca="1" si="41"/>
        <v>268612366.63936818</v>
      </c>
      <c r="O51" s="322"/>
      <c r="P51" s="4">
        <f>VLOOKUP($C51,'Residential Development'!$AH$14:$AI$38,2)</f>
        <v>0</v>
      </c>
      <c r="Q51" s="4">
        <f t="shared" ca="1" si="8"/>
        <v>268612366.63936818</v>
      </c>
      <c r="R51" s="4"/>
      <c r="S51" s="4">
        <f t="shared" si="25"/>
        <v>0</v>
      </c>
      <c r="T51" s="4">
        <f>VLOOKUP($C51,'Comm Development'!$CG$14:$CR$33,COLUMNS('Comm Development'!$CG$14:$CR$14))+T50+S51</f>
        <v>0</v>
      </c>
      <c r="U51" s="3"/>
      <c r="V51" s="3">
        <f>VLOOKUP($C51,'Comm Development'!$BG$14:$BR$33,COLUMNS('Comm Development'!$BG$14:$BR$14))</f>
        <v>0</v>
      </c>
      <c r="W51" s="4">
        <f t="shared" si="26"/>
        <v>0</v>
      </c>
      <c r="X51" s="4">
        <f>VLOOKUP($C51,'Comm Development'!$CG$14:$CR$33,COLUMNS('Comm Development'!$CG$14:$CR$14))+X50+W51</f>
        <v>0</v>
      </c>
      <c r="Y51" s="3">
        <f t="shared" si="42"/>
        <v>0</v>
      </c>
      <c r="Z51" s="3">
        <f t="shared" si="61"/>
        <v>0</v>
      </c>
      <c r="AA51" s="322">
        <f t="shared" si="43"/>
        <v>0</v>
      </c>
      <c r="AB51" s="297"/>
      <c r="AC51" s="4"/>
      <c r="AD51" s="4">
        <f t="shared" si="79"/>
        <v>0</v>
      </c>
      <c r="AE51" s="4">
        <f t="shared" si="45"/>
        <v>0</v>
      </c>
      <c r="AG51" s="4">
        <f t="shared" ca="1" si="9"/>
        <v>268612366.63936818</v>
      </c>
      <c r="AH51" s="18">
        <f t="shared" si="27"/>
        <v>3</v>
      </c>
      <c r="AI51" s="4">
        <f t="shared" ca="1" si="28"/>
        <v>789720.35791974235</v>
      </c>
      <c r="AJ51" s="4">
        <f t="shared" ca="1" si="11"/>
        <v>0</v>
      </c>
      <c r="AK51" s="3">
        <f t="shared" si="12"/>
        <v>0</v>
      </c>
      <c r="AL51" s="194">
        <f t="shared" si="13"/>
        <v>0</v>
      </c>
      <c r="AM51" s="4">
        <f t="shared" si="62"/>
        <v>0</v>
      </c>
      <c r="AN51" s="4">
        <f t="shared" si="63"/>
        <v>0</v>
      </c>
      <c r="AO51" s="97"/>
      <c r="AP51" s="4">
        <f t="shared" si="64"/>
        <v>0</v>
      </c>
      <c r="AQ51" s="4">
        <f t="shared" si="3"/>
        <v>0</v>
      </c>
      <c r="AR51" s="364">
        <f t="shared" ca="1" si="14"/>
        <v>789720.35791974235</v>
      </c>
      <c r="AT51" s="213">
        <f t="shared" ca="1" si="46"/>
        <v>0</v>
      </c>
      <c r="AU51" s="213">
        <f t="shared" ca="1" si="65"/>
        <v>-4000</v>
      </c>
      <c r="AV51" s="312">
        <f t="shared" si="70"/>
        <v>-108236.42245755527</v>
      </c>
      <c r="AX51" s="4">
        <f t="shared" ca="1" si="32"/>
        <v>677483.93546218704</v>
      </c>
      <c r="AZ51" s="4">
        <f t="shared" ca="1" si="15"/>
        <v>268612366.63936818</v>
      </c>
      <c r="BA51" s="18">
        <f t="shared" si="47"/>
        <v>3</v>
      </c>
      <c r="BB51" s="4">
        <f t="shared" ca="1" si="16"/>
        <v>789720.35791974235</v>
      </c>
      <c r="BC51" s="4">
        <f t="shared" ca="1" si="17"/>
        <v>0</v>
      </c>
      <c r="BD51" s="3">
        <f t="shared" si="18"/>
        <v>0</v>
      </c>
      <c r="BE51" s="194">
        <f t="shared" si="19"/>
        <v>0</v>
      </c>
      <c r="BF51" s="4">
        <f t="shared" si="4"/>
        <v>0</v>
      </c>
      <c r="BG51" s="4">
        <f t="shared" si="5"/>
        <v>0</v>
      </c>
      <c r="BH51" s="97"/>
      <c r="BI51" s="4">
        <f t="shared" si="6"/>
        <v>0</v>
      </c>
      <c r="BJ51" s="4">
        <f t="shared" si="7"/>
        <v>0</v>
      </c>
      <c r="BK51" s="96">
        <f t="shared" ca="1" si="71"/>
        <v>789720.35791974235</v>
      </c>
      <c r="BM51" s="213">
        <f t="shared" si="48"/>
        <v>-3000</v>
      </c>
      <c r="BO51" s="4">
        <f t="shared" ca="1" si="21"/>
        <v>786720.35791974235</v>
      </c>
      <c r="BQ51" s="4">
        <f>IF(AND(REFUND_FINANCING="Yes",$D51&gt;PREMIUM_CALL_FIRST),0, IF(ISERROR(VLOOKUP($D51,'Senior Lien DS - First'!$A$11:$O$81,COLUMNS('Senior Lien DS - First'!$A$11:$O$11),0)),0,VLOOKUP($D51,'Senior Lien DS - First'!$A$11:$O$81,COLUMNS('Senior Lien DS - First'!$A$11:$O$11),0)))</f>
        <v>0</v>
      </c>
      <c r="BR51" s="4">
        <f>IF(ISERROR(VLOOKUP($D51,'Senior Lien DS - Refunding'!$A$11:$O$81,COLUMNS('Senior Lien DS - Refunding'!$A$11:$O$11),0)),0,VLOOKUP($D51,'Senior Lien DS - Refunding'!$A$11:$O$81,COLUMNS('Senior Lien DS - Refunding'!$A$11:$O$11),0))</f>
        <v>0</v>
      </c>
      <c r="BS51" s="4">
        <f t="shared" si="33"/>
        <v>0</v>
      </c>
      <c r="BT51" s="84">
        <f t="shared" ca="1" si="34"/>
        <v>0</v>
      </c>
      <c r="BU51" s="4">
        <f t="shared" ca="1" si="49"/>
        <v>677483.93546218704</v>
      </c>
      <c r="BV51" s="4">
        <f t="shared" si="66"/>
        <v>0</v>
      </c>
      <c r="BW51" s="4">
        <f t="shared" ca="1" si="67"/>
        <v>0</v>
      </c>
      <c r="BX51" s="4">
        <f t="shared" ca="1" si="50"/>
        <v>677483.93546218704</v>
      </c>
      <c r="BY51" s="4">
        <f t="shared" ca="1" si="51"/>
        <v>677483.93546218704</v>
      </c>
      <c r="BZ51" s="4">
        <f t="shared" si="52"/>
        <v>0</v>
      </c>
      <c r="CA51" s="4">
        <f t="shared" si="35"/>
        <v>0</v>
      </c>
      <c r="CB51" s="14">
        <f ca="1">IF(ISERROR((VLOOKUP($D51,'Senior Lien DS - First'!$A$11:$P$71,COLUMNS('Senior Lien DS - First'!$A$11:$P$11)))/Summary!$AG52),"",(IF(REFUND_FINANCING="Yes",0,VLOOKUP($D51,'Senior Lien DS - First'!$A$11:$P$71,COLUMNS('Senior Lien DS - First'!$A$11:$P$11))))/Summary!$AG52)</f>
        <v>0</v>
      </c>
      <c r="CC51" s="10">
        <f ca="1">IF(ISERROR((VLOOKUP($C51,'Senior Lien DS - First'!$A$11:$P$71,COLUMNS('Senior Lien DS - First'!$A$11:$P$11)))/Summary!$M52),"",(VLOOKUP($C51,'Senior Lien DS - First'!$A$11:$P$71,COLUMNS('Senior Lien DS - First'!$A$11:$P$11)))/Summary!$M52)</f>
        <v>0</v>
      </c>
      <c r="CD51" s="9" t="str">
        <f t="shared" ca="1" si="75"/>
        <v/>
      </c>
      <c r="CE51" s="9" t="str">
        <f t="shared" ca="1" si="53"/>
        <v/>
      </c>
      <c r="CH51" s="4">
        <f t="shared" ca="1" si="73"/>
        <v>674483.93546218704</v>
      </c>
      <c r="CI51" s="309">
        <v>0</v>
      </c>
      <c r="CJ51" s="4">
        <f t="shared" ca="1" si="72"/>
        <v>674483.93546218704</v>
      </c>
      <c r="CK51" s="4">
        <f>IF(ISNA(VLOOKUP(DATE(YEAR($D51),PRIN_MATURITY,PRIN_MATURITY_DAY_SUB),'Sub Lien DS - First (Annual)'!$A$12:$H$96,COLUMNS('Sub Lien DS - First (Annual)'!$A$12:$H$12),0)),0,VLOOKUP(DATE(YEAR($D51),PRIN_MATURITY,PRIN_MATURITY_DAY_SUB),'Sub Lien DS - First (Annual)'!$A$12:$H$96,COLUMNS('Sub Lien DS - First (Annual)'!$A$12:$H$12),0))</f>
        <v>0</v>
      </c>
      <c r="CL51" s="4">
        <f t="shared" ca="1" si="55"/>
        <v>0</v>
      </c>
      <c r="CM51" s="4">
        <f t="shared" si="37"/>
        <v>0</v>
      </c>
      <c r="CN51" s="4">
        <f t="shared" si="56"/>
        <v>0</v>
      </c>
      <c r="CO51" s="4">
        <f t="shared" ca="1" si="77"/>
        <v>0</v>
      </c>
      <c r="CP51" s="4"/>
      <c r="CQ51" s="4">
        <f>IF(YEAR(DELIVERY)=YEAR($D51),'Sources and Uses - First'!$D$12,0)</f>
        <v>0</v>
      </c>
      <c r="CR51" s="4">
        <f>IF(ISNA(VLOOKUP(DATE(YEAR($D51),PRIN_MATURITY, PRIN_MATURITY_DAY_SUB),'Sub Lien DS - First (Annual)'!$A$12:$G$41,COLUMNS('Sub Lien DS - First (Annual)'!$A$12:$G$12),0)),0,VLOOKUP(DATE(YEAR($D51),PRIN_MATURITY, PRIN_MATURITY_DAY_SUB),'Sub Lien DS - First (Annual)'!$A$12:$G$41,COLUMNS('Sub Lien DS - First (Annual)'!$A$12:$G$12),0))</f>
        <v>0</v>
      </c>
      <c r="CS51" s="4">
        <f ca="1">SUM($CQ$14:CQ51)-SUM($CR$14:CR51)</f>
        <v>-1000000</v>
      </c>
      <c r="CT51" s="4">
        <f ca="1">SUM($CQ$14:CQ51)-SUM($CR$14:CR51)</f>
        <v>-1000000</v>
      </c>
      <c r="CU51" s="4">
        <f t="shared" ca="1" si="57"/>
        <v>0</v>
      </c>
      <c r="CV51" s="4">
        <f t="shared" ca="1" si="58"/>
        <v>0</v>
      </c>
      <c r="CW51" s="4">
        <f t="shared" ca="1" si="59"/>
        <v>674483.93546218704</v>
      </c>
      <c r="CX51" s="4">
        <f t="shared" ca="1" si="78"/>
        <v>674483.93546218704</v>
      </c>
      <c r="CY51" s="4">
        <f ca="1">SUM($CW$14:CW51)-SUM($CX$14:CX51)</f>
        <v>0</v>
      </c>
    </row>
    <row r="52" spans="1:103" x14ac:dyDescent="0.25">
      <c r="A52">
        <f t="shared" si="22"/>
        <v>40</v>
      </c>
      <c r="C52" s="75">
        <f t="shared" si="38"/>
        <v>59596</v>
      </c>
      <c r="D52" s="75">
        <f t="shared" si="38"/>
        <v>59962</v>
      </c>
      <c r="E52" s="3">
        <f t="shared" si="39"/>
        <v>0</v>
      </c>
      <c r="F52" s="3">
        <f>VLOOKUP($C52,'Residential Development'!$DW$14:$EL$33,COLUMNS('Residential Development'!$DW$14:$DX$14))+F51+E52</f>
        <v>0</v>
      </c>
      <c r="G52" s="4">
        <f t="shared" si="23"/>
        <v>0</v>
      </c>
      <c r="H52" s="3">
        <f>VLOOKUP($C52,'Residential Development'!$D$14:$Q$33,COLUMNS('Residential Development'!$D$14:$Q$14))</f>
        <v>0</v>
      </c>
      <c r="I52" s="3">
        <f ca="1">VLOOKUP($C52,'Residential Development'!$AW$33:$BK53,COLUMNS('Residential Development'!$AW$13:$BK$33))</f>
        <v>0</v>
      </c>
      <c r="J52" s="4">
        <f t="shared" ca="1" si="24"/>
        <v>0</v>
      </c>
      <c r="K52" s="4">
        <f>VLOOKUP($C52,'Residential Development'!$CD$14:$CQ$33,COLUMNS('Residential Development'!$CD$14:$CQ$14))</f>
        <v>0</v>
      </c>
      <c r="L52" s="3">
        <f t="shared" ca="1" si="60"/>
        <v>4883861.2116248757</v>
      </c>
      <c r="M52" s="3">
        <f ca="1">VLOOKUP($C52,'Residential Development'!$EN$14:$FC$33,COLUMNS('Residential Development'!$EN$14:$FC$14))+M51+L52</f>
        <v>493269982.37411243</v>
      </c>
      <c r="N52" s="3">
        <f t="shared" ca="1" si="41"/>
        <v>271298490.30576187</v>
      </c>
      <c r="O52" s="322"/>
      <c r="P52" s="4">
        <f>VLOOKUP($C52,'Residential Development'!$AH$14:$AI$38,2)</f>
        <v>0</v>
      </c>
      <c r="Q52" s="4">
        <f t="shared" ca="1" si="8"/>
        <v>271298490.30576187</v>
      </c>
      <c r="R52" s="4"/>
      <c r="S52" s="4">
        <f t="shared" si="25"/>
        <v>0</v>
      </c>
      <c r="T52" s="4">
        <f>VLOOKUP($C52,'Comm Development'!$CG$14:$CR$33,COLUMNS('Comm Development'!$CG$14:$CR$14))+T51+S52</f>
        <v>0</v>
      </c>
      <c r="U52" s="3"/>
      <c r="V52" s="3">
        <f>VLOOKUP($C52,'Comm Development'!$BG$14:$BR$33,COLUMNS('Comm Development'!$BG$14:$BR$14))</f>
        <v>0</v>
      </c>
      <c r="W52" s="4">
        <f t="shared" si="26"/>
        <v>0</v>
      </c>
      <c r="X52" s="4">
        <f>VLOOKUP($C52,'Comm Development'!$CG$14:$CR$33,COLUMNS('Comm Development'!$CG$14:$CR$14))+X51+W52</f>
        <v>0</v>
      </c>
      <c r="Y52" s="3">
        <f t="shared" si="42"/>
        <v>0</v>
      </c>
      <c r="Z52" s="3">
        <f t="shared" si="61"/>
        <v>0</v>
      </c>
      <c r="AA52" s="322">
        <f t="shared" si="43"/>
        <v>0</v>
      </c>
      <c r="AB52" s="297"/>
      <c r="AC52" s="4"/>
      <c r="AD52" s="4">
        <f t="shared" si="79"/>
        <v>0</v>
      </c>
      <c r="AE52" s="4">
        <f t="shared" si="45"/>
        <v>0</v>
      </c>
      <c r="AG52" s="4">
        <f t="shared" ca="1" si="9"/>
        <v>271298490.30576187</v>
      </c>
      <c r="AH52" s="18">
        <f t="shared" si="27"/>
        <v>3</v>
      </c>
      <c r="AI52" s="4">
        <f t="shared" ca="1" si="28"/>
        <v>797617.56149893987</v>
      </c>
      <c r="AJ52" s="4">
        <f t="shared" ca="1" si="11"/>
        <v>0</v>
      </c>
      <c r="AK52" s="3">
        <f t="shared" si="12"/>
        <v>0</v>
      </c>
      <c r="AL52" s="194">
        <f t="shared" si="13"/>
        <v>0</v>
      </c>
      <c r="AM52" s="4">
        <f t="shared" si="62"/>
        <v>0</v>
      </c>
      <c r="AN52" s="4">
        <f t="shared" si="63"/>
        <v>0</v>
      </c>
      <c r="AO52" s="97"/>
      <c r="AP52" s="4">
        <f t="shared" si="64"/>
        <v>0</v>
      </c>
      <c r="AQ52" s="4">
        <f t="shared" si="3"/>
        <v>0</v>
      </c>
      <c r="AR52" s="364">
        <f t="shared" ca="1" si="14"/>
        <v>797617.56149893987</v>
      </c>
      <c r="AT52" s="213">
        <f t="shared" ca="1" si="46"/>
        <v>0</v>
      </c>
      <c r="AU52" s="213">
        <f t="shared" ca="1" si="65"/>
        <v>-4000</v>
      </c>
      <c r="AV52" s="312">
        <f t="shared" si="70"/>
        <v>-110401.15090670637</v>
      </c>
      <c r="AX52" s="4">
        <f t="shared" ca="1" si="32"/>
        <v>683216.41059223353</v>
      </c>
      <c r="AZ52" s="4">
        <f t="shared" ca="1" si="15"/>
        <v>271298490.30576187</v>
      </c>
      <c r="BA52" s="18">
        <f t="shared" si="47"/>
        <v>3</v>
      </c>
      <c r="BB52" s="4">
        <f t="shared" ca="1" si="16"/>
        <v>797617.56149893987</v>
      </c>
      <c r="BC52" s="4">
        <f t="shared" ca="1" si="17"/>
        <v>0</v>
      </c>
      <c r="BD52" s="3">
        <f t="shared" si="18"/>
        <v>0</v>
      </c>
      <c r="BE52" s="194">
        <f t="shared" si="19"/>
        <v>0</v>
      </c>
      <c r="BF52" s="4">
        <f t="shared" si="4"/>
        <v>0</v>
      </c>
      <c r="BG52" s="4">
        <f t="shared" si="5"/>
        <v>0</v>
      </c>
      <c r="BH52" s="97"/>
      <c r="BI52" s="4">
        <f t="shared" si="6"/>
        <v>0</v>
      </c>
      <c r="BJ52" s="4">
        <f t="shared" si="7"/>
        <v>0</v>
      </c>
      <c r="BK52" s="96">
        <f t="shared" ca="1" si="71"/>
        <v>797617.56149893987</v>
      </c>
      <c r="BM52" s="213">
        <f t="shared" si="48"/>
        <v>-3000</v>
      </c>
      <c r="BO52" s="4">
        <f t="shared" ca="1" si="21"/>
        <v>794617.56149893987</v>
      </c>
      <c r="BQ52" s="4">
        <f>IF(AND(REFUND_FINANCING="Yes",$D52&gt;PREMIUM_CALL_FIRST),0, IF(ISERROR(VLOOKUP($D52,'Senior Lien DS - First'!$A$11:$O$81,COLUMNS('Senior Lien DS - First'!$A$11:$O$11),0)),0,VLOOKUP($D52,'Senior Lien DS - First'!$A$11:$O$81,COLUMNS('Senior Lien DS - First'!$A$11:$O$11),0)))</f>
        <v>0</v>
      </c>
      <c r="BR52" s="4">
        <f>IF(ISERROR(VLOOKUP($D52,'Senior Lien DS - Refunding'!$A$11:$O$81,COLUMNS('Senior Lien DS - Refunding'!$A$11:$O$11),0)),0,VLOOKUP($D52,'Senior Lien DS - Refunding'!$A$11:$O$81,COLUMNS('Senior Lien DS - Refunding'!$A$11:$O$11),0))</f>
        <v>0</v>
      </c>
      <c r="BS52" s="4">
        <f t="shared" si="33"/>
        <v>0</v>
      </c>
      <c r="BT52" s="84">
        <f t="shared" ca="1" si="34"/>
        <v>0</v>
      </c>
      <c r="BU52" s="4">
        <f t="shared" ca="1" si="49"/>
        <v>683216.41059223353</v>
      </c>
      <c r="BV52" s="4">
        <f t="shared" si="66"/>
        <v>0</v>
      </c>
      <c r="BW52" s="4">
        <f t="shared" ca="1" si="67"/>
        <v>0</v>
      </c>
      <c r="BX52" s="4">
        <f t="shared" ca="1" si="50"/>
        <v>683216.41059223353</v>
      </c>
      <c r="BY52" s="4">
        <f t="shared" ca="1" si="51"/>
        <v>683216.41059223353</v>
      </c>
      <c r="BZ52" s="4">
        <f t="shared" si="52"/>
        <v>0</v>
      </c>
      <c r="CA52" s="4">
        <f t="shared" si="35"/>
        <v>0</v>
      </c>
      <c r="CB52" s="14">
        <f ca="1">IF(ISERROR((VLOOKUP($D52,'Senior Lien DS - First'!$A$11:$P$71,COLUMNS('Senior Lien DS - First'!$A$11:$P$11)))/Summary!$AG53),"",(IF(REFUND_FINANCING="Yes",0,VLOOKUP($D52,'Senior Lien DS - First'!$A$11:$P$71,COLUMNS('Senior Lien DS - First'!$A$11:$P$11))))/Summary!$AG53)</f>
        <v>0</v>
      </c>
      <c r="CC52" s="10">
        <f ca="1">IF(ISERROR((VLOOKUP($C52,'Senior Lien DS - First'!$A$11:$P$71,COLUMNS('Senior Lien DS - First'!$A$11:$P$11)))/Summary!$M53),"",(VLOOKUP($C52,'Senior Lien DS - First'!$A$11:$P$71,COLUMNS('Senior Lien DS - First'!$A$11:$P$11)))/Summary!$M53)</f>
        <v>0</v>
      </c>
      <c r="CD52" s="9" t="str">
        <f t="shared" ca="1" si="75"/>
        <v/>
      </c>
      <c r="CE52" s="9" t="str">
        <f t="shared" ca="1" si="53"/>
        <v/>
      </c>
      <c r="CH52" s="4">
        <f t="shared" ca="1" si="73"/>
        <v>680216.41059223353</v>
      </c>
      <c r="CI52" s="309">
        <v>0</v>
      </c>
      <c r="CJ52" s="4">
        <f t="shared" ca="1" si="72"/>
        <v>680216.41059223353</v>
      </c>
      <c r="CK52" s="4">
        <f>IF(ISNA(VLOOKUP(DATE(YEAR($D52),PRIN_MATURITY,PRIN_MATURITY_DAY_SUB),'Sub Lien DS - First (Annual)'!$A$12:$H$96,COLUMNS('Sub Lien DS - First (Annual)'!$A$12:$H$12),0)),0,VLOOKUP(DATE(YEAR($D52),PRIN_MATURITY,PRIN_MATURITY_DAY_SUB),'Sub Lien DS - First (Annual)'!$A$12:$H$96,COLUMNS('Sub Lien DS - First (Annual)'!$A$12:$H$12),0))</f>
        <v>0</v>
      </c>
      <c r="CL52" s="4">
        <f t="shared" ca="1" si="55"/>
        <v>0</v>
      </c>
      <c r="CM52" s="4">
        <f t="shared" si="37"/>
        <v>0</v>
      </c>
      <c r="CN52" s="4">
        <f t="shared" si="56"/>
        <v>0</v>
      </c>
      <c r="CO52" s="4">
        <f t="shared" ca="1" si="77"/>
        <v>0</v>
      </c>
      <c r="CP52" s="4"/>
      <c r="CQ52" s="4">
        <f>IF(YEAR(DELIVERY)=YEAR($D52),'Sources and Uses - First'!$D$12,0)</f>
        <v>0</v>
      </c>
      <c r="CR52" s="4">
        <f>IF(ISNA(VLOOKUP(DATE(YEAR($D52),PRIN_MATURITY, PRIN_MATURITY_DAY_SUB),'Sub Lien DS - First (Annual)'!$A$12:$G$41,COLUMNS('Sub Lien DS - First (Annual)'!$A$12:$G$12),0)),0,VLOOKUP(DATE(YEAR($D52),PRIN_MATURITY, PRIN_MATURITY_DAY_SUB),'Sub Lien DS - First (Annual)'!$A$12:$G$41,COLUMNS('Sub Lien DS - First (Annual)'!$A$12:$G$12),0))</f>
        <v>0</v>
      </c>
      <c r="CS52" s="4">
        <f ca="1">SUM($CQ$14:CQ52)-SUM($CR$14:CR52)</f>
        <v>-1000000</v>
      </c>
      <c r="CT52" s="4">
        <f ca="1">SUM($CQ$14:CQ52)-SUM($CR$14:CR52)</f>
        <v>-1000000</v>
      </c>
      <c r="CU52" s="4">
        <f t="shared" ca="1" si="57"/>
        <v>0</v>
      </c>
      <c r="CV52" s="4">
        <f t="shared" ca="1" si="58"/>
        <v>0</v>
      </c>
      <c r="CW52" s="4">
        <f t="shared" ca="1" si="59"/>
        <v>680216.41059223353</v>
      </c>
      <c r="CX52" s="4">
        <f t="shared" ca="1" si="78"/>
        <v>680216.41059223353</v>
      </c>
      <c r="CY52" s="4">
        <f ca="1">SUM($CW$14:CW52)-SUM($CX$14:CX52)</f>
        <v>0</v>
      </c>
    </row>
    <row r="53" spans="1:103" x14ac:dyDescent="0.25">
      <c r="A53">
        <f t="shared" si="22"/>
        <v>41</v>
      </c>
      <c r="C53" s="75">
        <f t="shared" si="38"/>
        <v>59962</v>
      </c>
      <c r="D53" s="75">
        <f t="shared" si="38"/>
        <v>60327</v>
      </c>
      <c r="E53" s="3">
        <f t="shared" si="39"/>
        <v>0</v>
      </c>
      <c r="F53" s="3">
        <f>VLOOKUP($C53,'Residential Development'!$DW$14:$EL$33,COLUMNS('Residential Development'!$DW$14:$DX$14))+F52+E53</f>
        <v>0</v>
      </c>
      <c r="G53" s="4">
        <f t="shared" si="23"/>
        <v>0</v>
      </c>
      <c r="H53" s="3">
        <f>VLOOKUP($C53,'Residential Development'!$D$14:$Q$33,COLUMNS('Residential Development'!$D$14:$Q$14))</f>
        <v>0</v>
      </c>
      <c r="I53" s="3">
        <f ca="1">VLOOKUP($C53,'Residential Development'!$AW$33:$BK54,COLUMNS('Residential Development'!$AW$13:$BK$33))</f>
        <v>0</v>
      </c>
      <c r="J53" s="4">
        <f t="shared" ca="1" si="24"/>
        <v>0</v>
      </c>
      <c r="K53" s="4">
        <f>VLOOKUP($C53,'Residential Development'!$CD$14:$CQ$33,COLUMNS('Residential Development'!$CD$14:$CQ$14))</f>
        <v>0</v>
      </c>
      <c r="L53" s="3">
        <f t="shared" ca="1" si="60"/>
        <v>4932699.823741124</v>
      </c>
      <c r="M53" s="3">
        <f ca="1">VLOOKUP($C53,'Residential Development'!$EN$14:$FC$33,COLUMNS('Residential Development'!$EN$14:$FC$14))+M52+L53</f>
        <v>498202682.19785357</v>
      </c>
      <c r="N53" s="3">
        <f t="shared" ca="1" si="41"/>
        <v>274011475.20881951</v>
      </c>
      <c r="O53" s="322"/>
      <c r="P53" s="4">
        <f>VLOOKUP($C53,'Residential Development'!$AH$14:$AI$38,2)</f>
        <v>0</v>
      </c>
      <c r="Q53" s="4">
        <f t="shared" ca="1" si="8"/>
        <v>274011475.20881951</v>
      </c>
      <c r="R53" s="4"/>
      <c r="S53" s="4">
        <f t="shared" si="25"/>
        <v>0</v>
      </c>
      <c r="T53" s="4">
        <f>VLOOKUP($C53,'Comm Development'!$CG$14:$CR$33,COLUMNS('Comm Development'!$CG$14:$CR$14))+T52+S53</f>
        <v>0</v>
      </c>
      <c r="U53" s="3"/>
      <c r="V53" s="3">
        <f>VLOOKUP($C53,'Comm Development'!$BG$14:$BR$33,COLUMNS('Comm Development'!$BG$14:$BR$14))</f>
        <v>0</v>
      </c>
      <c r="W53" s="4">
        <f t="shared" si="26"/>
        <v>0</v>
      </c>
      <c r="X53" s="4">
        <f>VLOOKUP($C53,'Comm Development'!$CG$14:$CR$33,COLUMNS('Comm Development'!$CG$14:$CR$14))+X52+W53</f>
        <v>0</v>
      </c>
      <c r="Y53" s="3">
        <f t="shared" si="42"/>
        <v>0</v>
      </c>
      <c r="Z53" s="3">
        <f t="shared" si="61"/>
        <v>0</v>
      </c>
      <c r="AA53" s="322">
        <f t="shared" si="43"/>
        <v>0</v>
      </c>
      <c r="AB53" s="297"/>
      <c r="AC53" s="4"/>
      <c r="AD53" s="4">
        <f t="shared" si="79"/>
        <v>0</v>
      </c>
      <c r="AE53" s="4">
        <f t="shared" si="45"/>
        <v>0</v>
      </c>
      <c r="AG53" s="4">
        <f t="shared" ca="1" si="9"/>
        <v>274011475.20881951</v>
      </c>
      <c r="AH53" s="18">
        <f t="shared" si="27"/>
        <v>3</v>
      </c>
      <c r="AI53" s="4">
        <f t="shared" ca="1" si="28"/>
        <v>805593.73711392935</v>
      </c>
      <c r="AJ53" s="4">
        <f t="shared" ca="1" si="11"/>
        <v>0</v>
      </c>
      <c r="AK53" s="3">
        <f t="shared" si="12"/>
        <v>0</v>
      </c>
      <c r="AL53" s="194">
        <f t="shared" si="13"/>
        <v>0</v>
      </c>
      <c r="AM53" s="4">
        <f t="shared" si="62"/>
        <v>0</v>
      </c>
      <c r="AN53" s="4">
        <f t="shared" si="63"/>
        <v>0</v>
      </c>
      <c r="AO53" s="97"/>
      <c r="AP53" s="4">
        <f t="shared" si="64"/>
        <v>0</v>
      </c>
      <c r="AQ53" s="4">
        <f t="shared" si="3"/>
        <v>0</v>
      </c>
      <c r="AR53" s="364">
        <f t="shared" ca="1" si="14"/>
        <v>805593.73711392935</v>
      </c>
      <c r="AT53" s="213">
        <f t="shared" ca="1" si="46"/>
        <v>0</v>
      </c>
      <c r="AU53" s="213">
        <f t="shared" ca="1" si="65"/>
        <v>-4000</v>
      </c>
      <c r="AV53" s="312">
        <f t="shared" si="70"/>
        <v>-112609.17392484051</v>
      </c>
      <c r="AX53" s="4">
        <f t="shared" ca="1" si="32"/>
        <v>688984.56318908883</v>
      </c>
      <c r="AZ53" s="4">
        <f t="shared" ca="1" si="15"/>
        <v>274011475.20881951</v>
      </c>
      <c r="BA53" s="18">
        <f t="shared" si="47"/>
        <v>3</v>
      </c>
      <c r="BB53" s="4">
        <f t="shared" ca="1" si="16"/>
        <v>805593.73711392935</v>
      </c>
      <c r="BC53" s="4">
        <f t="shared" ca="1" si="17"/>
        <v>0</v>
      </c>
      <c r="BD53" s="3">
        <f t="shared" si="18"/>
        <v>0</v>
      </c>
      <c r="BE53" s="194">
        <f t="shared" si="19"/>
        <v>0</v>
      </c>
      <c r="BF53" s="4">
        <f t="shared" si="4"/>
        <v>0</v>
      </c>
      <c r="BG53" s="4">
        <f t="shared" si="5"/>
        <v>0</v>
      </c>
      <c r="BH53" s="97"/>
      <c r="BI53" s="4">
        <f t="shared" si="6"/>
        <v>0</v>
      </c>
      <c r="BJ53" s="4">
        <f t="shared" si="7"/>
        <v>0</v>
      </c>
      <c r="BK53" s="96">
        <f t="shared" ca="1" si="71"/>
        <v>805593.73711392935</v>
      </c>
      <c r="BM53" s="213">
        <f t="shared" si="48"/>
        <v>-3000</v>
      </c>
      <c r="BO53" s="4">
        <f t="shared" ca="1" si="21"/>
        <v>802593.73711392935</v>
      </c>
      <c r="BQ53" s="4">
        <f>IF(AND(REFUND_FINANCING="Yes",$D53&gt;PREMIUM_CALL_FIRST),0, IF(ISERROR(VLOOKUP($D53,'Senior Lien DS - First'!$A$11:$O$81,COLUMNS('Senior Lien DS - First'!$A$11:$O$11),0)),0,VLOOKUP($D53,'Senior Lien DS - First'!$A$11:$O$81,COLUMNS('Senior Lien DS - First'!$A$11:$O$11),0)))</f>
        <v>0</v>
      </c>
      <c r="BR53" s="4">
        <f>IF(ISERROR(VLOOKUP($D53,'Senior Lien DS - Refunding'!$A$11:$O$81,COLUMNS('Senior Lien DS - Refunding'!$A$11:$O$11),0)),0,VLOOKUP($D53,'Senior Lien DS - Refunding'!$A$11:$O$81,COLUMNS('Senior Lien DS - Refunding'!$A$11:$O$11),0))</f>
        <v>0</v>
      </c>
      <c r="BS53" s="4">
        <f t="shared" si="33"/>
        <v>0</v>
      </c>
      <c r="BT53" s="84">
        <f t="shared" ca="1" si="34"/>
        <v>0</v>
      </c>
      <c r="BU53" s="4">
        <f t="shared" ca="1" si="49"/>
        <v>688984.56318908883</v>
      </c>
      <c r="BV53" s="4">
        <f t="shared" si="66"/>
        <v>0</v>
      </c>
      <c r="BW53" s="4">
        <f t="shared" ca="1" si="67"/>
        <v>0</v>
      </c>
      <c r="BX53" s="4">
        <f t="shared" ca="1" si="50"/>
        <v>688984.56318908883</v>
      </c>
      <c r="BY53" s="4">
        <f t="shared" ca="1" si="51"/>
        <v>688984.56318908883</v>
      </c>
      <c r="BZ53" s="4">
        <f t="shared" si="52"/>
        <v>0</v>
      </c>
      <c r="CA53" s="4">
        <f t="shared" si="35"/>
        <v>0</v>
      </c>
      <c r="CB53" s="14">
        <f ca="1">IF(ISERROR((VLOOKUP($D53,'Senior Lien DS - First'!$A$11:$P$71,COLUMNS('Senior Lien DS - First'!$A$11:$P$11)))/Summary!$AG54),"",(IF(REFUND_FINANCING="Yes",0,VLOOKUP($D53,'Senior Lien DS - First'!$A$11:$P$71,COLUMNS('Senior Lien DS - First'!$A$11:$P$11))))/Summary!$AG54)</f>
        <v>0</v>
      </c>
      <c r="CC53" s="10">
        <f ca="1">IF(ISERROR((VLOOKUP($C53,'Senior Lien DS - First'!$A$11:$P$71,COLUMNS('Senior Lien DS - First'!$A$11:$P$11)))/Summary!$M54),"",(VLOOKUP($C53,'Senior Lien DS - First'!$A$11:$P$71,COLUMNS('Senior Lien DS - First'!$A$11:$P$11)))/Summary!$M54)</f>
        <v>0</v>
      </c>
      <c r="CD53" s="9" t="str">
        <f t="shared" ca="1" si="75"/>
        <v/>
      </c>
      <c r="CE53" s="9" t="str">
        <f t="shared" ca="1" si="53"/>
        <v/>
      </c>
      <c r="CH53" s="4">
        <f t="shared" ca="1" si="73"/>
        <v>685984.56318908883</v>
      </c>
      <c r="CI53" s="309">
        <v>0</v>
      </c>
      <c r="CJ53" s="4">
        <f t="shared" ca="1" si="72"/>
        <v>685984.56318908883</v>
      </c>
      <c r="CK53" s="4">
        <f>IF(ISNA(VLOOKUP(DATE(YEAR($D53),PRIN_MATURITY,PRIN_MATURITY_DAY_SUB),'Sub Lien DS - First (Annual)'!$A$12:$H$96,COLUMNS('Sub Lien DS - First (Annual)'!$A$12:$H$12),0)),0,VLOOKUP(DATE(YEAR($D53),PRIN_MATURITY,PRIN_MATURITY_DAY_SUB),'Sub Lien DS - First (Annual)'!$A$12:$H$96,COLUMNS('Sub Lien DS - First (Annual)'!$A$12:$H$12),0))</f>
        <v>0</v>
      </c>
      <c r="CL53" s="4">
        <f t="shared" ca="1" si="55"/>
        <v>0</v>
      </c>
      <c r="CM53" s="4">
        <f t="shared" si="37"/>
        <v>0</v>
      </c>
      <c r="CN53" s="4">
        <f t="shared" si="56"/>
        <v>0</v>
      </c>
      <c r="CO53" s="4">
        <f t="shared" ca="1" si="77"/>
        <v>0</v>
      </c>
      <c r="CP53" s="4"/>
      <c r="CQ53" s="4">
        <f>IF(YEAR(DELIVERY)=YEAR($D53),'Sources and Uses - First'!$D$12,0)</f>
        <v>0</v>
      </c>
      <c r="CR53" s="4">
        <f>IF(ISNA(VLOOKUP(DATE(YEAR($D53),PRIN_MATURITY, PRIN_MATURITY_DAY_SUB),'Sub Lien DS - First (Annual)'!$A$12:$G$41,COLUMNS('Sub Lien DS - First (Annual)'!$A$12:$G$12),0)),0,VLOOKUP(DATE(YEAR($D53),PRIN_MATURITY, PRIN_MATURITY_DAY_SUB),'Sub Lien DS - First (Annual)'!$A$12:$G$41,COLUMNS('Sub Lien DS - First (Annual)'!$A$12:$G$12),0))</f>
        <v>0</v>
      </c>
      <c r="CS53" s="4">
        <f ca="1">SUM($CQ$14:CQ53)-SUM($CR$14:CR53)</f>
        <v>-1000000</v>
      </c>
      <c r="CT53" s="4">
        <f ca="1">SUM($CQ$14:CQ53)-SUM($CR$14:CR53)</f>
        <v>-1000000</v>
      </c>
      <c r="CU53" s="4">
        <f t="shared" ca="1" si="57"/>
        <v>0</v>
      </c>
      <c r="CV53" s="4">
        <f t="shared" ca="1" si="58"/>
        <v>0</v>
      </c>
      <c r="CW53" s="4">
        <f t="shared" ca="1" si="59"/>
        <v>685984.56318908883</v>
      </c>
      <c r="CX53" s="4">
        <f t="shared" ca="1" si="78"/>
        <v>685984.56318908883</v>
      </c>
      <c r="CY53" s="4">
        <f ca="1">SUM($CW$14:CW53)-SUM($CX$14:CX53)</f>
        <v>0</v>
      </c>
    </row>
    <row r="54" spans="1:103" x14ac:dyDescent="0.25">
      <c r="A54">
        <f t="shared" si="22"/>
        <v>42</v>
      </c>
      <c r="C54" s="75">
        <f t="shared" si="38"/>
        <v>60327</v>
      </c>
      <c r="D54" s="75">
        <f t="shared" si="38"/>
        <v>60692</v>
      </c>
      <c r="E54" s="3">
        <f t="shared" si="39"/>
        <v>0</v>
      </c>
      <c r="F54" s="3">
        <f>VLOOKUP($C54,'Residential Development'!$DW$14:$EL$33,COLUMNS('Residential Development'!$DW$14:$DX$14))+F53+E54</f>
        <v>0</v>
      </c>
      <c r="G54" s="4">
        <f t="shared" si="23"/>
        <v>0</v>
      </c>
      <c r="H54" s="3">
        <f>VLOOKUP($C54,'Residential Development'!$D$14:$Q$33,COLUMNS('Residential Development'!$D$14:$Q$14))</f>
        <v>0</v>
      </c>
      <c r="I54" s="3">
        <f ca="1">VLOOKUP($C54,'Residential Development'!$AW$33:$BK55,COLUMNS('Residential Development'!$AW$13:$BK$33))</f>
        <v>0</v>
      </c>
      <c r="J54" s="4">
        <f t="shared" ca="1" si="24"/>
        <v>0</v>
      </c>
      <c r="K54" s="4">
        <f>VLOOKUP($C54,'Residential Development'!$CD$14:$CQ$33,COLUMNS('Residential Development'!$CD$14:$CQ$14))</f>
        <v>0</v>
      </c>
      <c r="L54" s="3">
        <f t="shared" ca="1" si="60"/>
        <v>4982026.8219785355</v>
      </c>
      <c r="M54" s="3">
        <f ca="1">VLOOKUP($C54,'Residential Development'!$EN$14:$FC$33,COLUMNS('Residential Development'!$EN$14:$FC$14))+M53+L54</f>
        <v>503184709.01983207</v>
      </c>
      <c r="N54" s="3">
        <f t="shared" ca="1" si="41"/>
        <v>276751589.96090764</v>
      </c>
      <c r="O54" s="322"/>
      <c r="P54" s="4">
        <f>VLOOKUP($C54,'Residential Development'!$AH$14:$AI$38,2)</f>
        <v>0</v>
      </c>
      <c r="Q54" s="4">
        <f t="shared" ca="1" si="8"/>
        <v>276751589.96090764</v>
      </c>
      <c r="R54" s="4"/>
      <c r="S54" s="4">
        <f t="shared" si="25"/>
        <v>0</v>
      </c>
      <c r="T54" s="4">
        <f>VLOOKUP($C54,'Comm Development'!$CG$14:$CR$33,COLUMNS('Comm Development'!$CG$14:$CR$14))+T53+S54</f>
        <v>0</v>
      </c>
      <c r="U54" s="3"/>
      <c r="V54" s="3">
        <f>VLOOKUP($C54,'Comm Development'!$BG$14:$BR$33,COLUMNS('Comm Development'!$BG$14:$BR$14))</f>
        <v>0</v>
      </c>
      <c r="W54" s="4">
        <f t="shared" si="26"/>
        <v>0</v>
      </c>
      <c r="X54" s="4">
        <f>VLOOKUP($C54,'Comm Development'!$CG$14:$CR$33,COLUMNS('Comm Development'!$CG$14:$CR$14))+X53+W54</f>
        <v>0</v>
      </c>
      <c r="Y54" s="3">
        <f t="shared" si="42"/>
        <v>0</v>
      </c>
      <c r="Z54" s="3">
        <f t="shared" si="61"/>
        <v>0</v>
      </c>
      <c r="AA54" s="322">
        <f t="shared" si="43"/>
        <v>0</v>
      </c>
      <c r="AB54" s="297"/>
      <c r="AC54" s="4"/>
      <c r="AD54" s="4">
        <f t="shared" si="79"/>
        <v>0</v>
      </c>
      <c r="AE54" s="4">
        <f t="shared" si="45"/>
        <v>0</v>
      </c>
      <c r="AG54" s="4">
        <f t="shared" ca="1" si="9"/>
        <v>276751589.96090764</v>
      </c>
      <c r="AH54" s="18">
        <f t="shared" si="27"/>
        <v>3</v>
      </c>
      <c r="AI54" s="4">
        <f t="shared" ca="1" si="28"/>
        <v>813649.67448506854</v>
      </c>
      <c r="AJ54" s="4">
        <f t="shared" ca="1" si="11"/>
        <v>0</v>
      </c>
      <c r="AK54" s="3">
        <f t="shared" si="12"/>
        <v>0</v>
      </c>
      <c r="AL54" s="194">
        <f t="shared" si="13"/>
        <v>0</v>
      </c>
      <c r="AM54" s="4">
        <f t="shared" si="62"/>
        <v>0</v>
      </c>
      <c r="AN54" s="4">
        <f t="shared" si="63"/>
        <v>0</v>
      </c>
      <c r="AO54" s="97"/>
      <c r="AP54" s="4">
        <f t="shared" si="64"/>
        <v>0</v>
      </c>
      <c r="AQ54" s="4"/>
      <c r="AR54" s="364">
        <f ca="1">+AI54+AJ54+AM54+AN54+AP54+AQ54</f>
        <v>813649.67448506854</v>
      </c>
      <c r="AT54" s="213">
        <f t="shared" ca="1" si="46"/>
        <v>0</v>
      </c>
      <c r="AU54" s="213">
        <f t="shared" ca="1" si="65"/>
        <v>-4000</v>
      </c>
      <c r="AV54" s="312">
        <f t="shared" si="70"/>
        <v>-114861.35740333732</v>
      </c>
      <c r="AX54" s="4">
        <f t="shared" ca="1" si="32"/>
        <v>694788.31708173128</v>
      </c>
      <c r="AZ54" s="4">
        <f t="shared" ca="1" si="15"/>
        <v>276751589.96090764</v>
      </c>
      <c r="BA54" s="18">
        <f t="shared" si="47"/>
        <v>3</v>
      </c>
      <c r="BB54" s="4">
        <f t="shared" ca="1" si="16"/>
        <v>813649.67448506854</v>
      </c>
      <c r="BC54" s="4">
        <f t="shared" ca="1" si="17"/>
        <v>0</v>
      </c>
      <c r="BD54" s="3">
        <f t="shared" si="18"/>
        <v>0</v>
      </c>
      <c r="BE54" s="194">
        <f t="shared" si="19"/>
        <v>0</v>
      </c>
      <c r="BF54" s="4">
        <f t="shared" si="4"/>
        <v>0</v>
      </c>
      <c r="BG54" s="4">
        <f t="shared" si="5"/>
        <v>0</v>
      </c>
      <c r="BH54" s="97"/>
      <c r="BI54" s="4">
        <f t="shared" si="6"/>
        <v>0</v>
      </c>
      <c r="BJ54" s="4"/>
      <c r="BK54" s="96">
        <f t="shared" ca="1" si="71"/>
        <v>813649.67448506854</v>
      </c>
      <c r="BM54" s="213">
        <f t="shared" si="48"/>
        <v>-3000</v>
      </c>
      <c r="BO54" s="4">
        <f t="shared" ca="1" si="21"/>
        <v>810649.67448506854</v>
      </c>
      <c r="BQ54" s="4">
        <f>IF(AND(REFUND_FINANCING="Yes",$D54&gt;PREMIUM_CALL_FIRST),0, IF(ISERROR(VLOOKUP($D54,'Senior Lien DS - First'!$A$11:$O$81,COLUMNS('Senior Lien DS - First'!$A$11:$O$11),0)),0,VLOOKUP($D54,'Senior Lien DS - First'!$A$11:$O$81,COLUMNS('Senior Lien DS - First'!$A$11:$O$11),0)))</f>
        <v>0</v>
      </c>
      <c r="BR54" s="4">
        <f>IF(ISERROR(VLOOKUP($D54,'Senior Lien DS - Refunding'!$A$11:$O$81,COLUMNS('Senior Lien DS - Refunding'!$A$11:$O$11),0)),0,VLOOKUP($D54,'Senior Lien DS - Refunding'!$A$11:$O$81,COLUMNS('Senior Lien DS - Refunding'!$A$11:$O$11),0))</f>
        <v>0</v>
      </c>
      <c r="BS54" s="4">
        <f t="shared" si="33"/>
        <v>0</v>
      </c>
      <c r="BT54" s="84">
        <f t="shared" ca="1" si="34"/>
        <v>0</v>
      </c>
      <c r="BU54" s="4">
        <f t="shared" ca="1" si="49"/>
        <v>694788.31708173128</v>
      </c>
      <c r="BV54" s="4">
        <f t="shared" si="66"/>
        <v>0</v>
      </c>
      <c r="BW54" s="4">
        <f t="shared" ca="1" si="67"/>
        <v>0</v>
      </c>
      <c r="BX54" s="4">
        <f t="shared" ca="1" si="50"/>
        <v>694788.31708173128</v>
      </c>
      <c r="BY54" s="4">
        <f t="shared" ca="1" si="51"/>
        <v>694788.31708173128</v>
      </c>
      <c r="BZ54" s="4">
        <f t="shared" si="52"/>
        <v>0</v>
      </c>
      <c r="CA54" s="4">
        <f t="shared" si="35"/>
        <v>0</v>
      </c>
      <c r="CB54" s="14">
        <f ca="1">IF(ISERROR((VLOOKUP($D54,'Senior Lien DS - First'!$A$11:$P$71,COLUMNS('Senior Lien DS - First'!$A$11:$P$11)))/Summary!$AG55),"",(IF(REFUND_FINANCING="Yes",0,VLOOKUP($D54,'Senior Lien DS - First'!$A$11:$P$71,COLUMNS('Senior Lien DS - First'!$A$11:$P$11))))/Summary!$AG55)</f>
        <v>0</v>
      </c>
      <c r="CC54" s="10">
        <f ca="1">IF(ISERROR((VLOOKUP($C54,'Senior Lien DS - First'!$A$11:$P$71,COLUMNS('Senior Lien DS - First'!$A$11:$P$11)))/Summary!$M55),"",(VLOOKUP($C54,'Senior Lien DS - First'!$A$11:$P$71,COLUMNS('Senior Lien DS - First'!$A$11:$P$11)))/Summary!$M55)</f>
        <v>0</v>
      </c>
      <c r="CD54" s="9" t="str">
        <f t="shared" ca="1" si="75"/>
        <v/>
      </c>
      <c r="CE54" s="9" t="str">
        <f t="shared" ca="1" si="53"/>
        <v/>
      </c>
      <c r="CH54" s="4">
        <f t="shared" ca="1" si="73"/>
        <v>691788.31708173128</v>
      </c>
      <c r="CI54" s="309">
        <v>0</v>
      </c>
      <c r="CJ54" s="4">
        <f t="shared" ca="1" si="72"/>
        <v>691788.31708173128</v>
      </c>
      <c r="CK54" s="4">
        <f>IF(ISNA(VLOOKUP(DATE(YEAR($D54),PRIN_MATURITY,PRIN_MATURITY_DAY_SUB),'Sub Lien DS - First (Annual)'!$A$12:$H$96,COLUMNS('Sub Lien DS - First (Annual)'!$A$12:$H$12),0)),0,VLOOKUP(DATE(YEAR($D54),PRIN_MATURITY,PRIN_MATURITY_DAY_SUB),'Sub Lien DS - First (Annual)'!$A$12:$H$96,COLUMNS('Sub Lien DS - First (Annual)'!$A$12:$H$12),0))</f>
        <v>0</v>
      </c>
      <c r="CL54" s="4">
        <f t="shared" ca="1" si="55"/>
        <v>0</v>
      </c>
      <c r="CM54" s="4">
        <f t="shared" si="37"/>
        <v>0</v>
      </c>
      <c r="CN54" s="4">
        <f t="shared" si="56"/>
        <v>0</v>
      </c>
      <c r="CO54" s="4">
        <f t="shared" ca="1" si="77"/>
        <v>0</v>
      </c>
      <c r="CP54" s="4"/>
      <c r="CQ54" s="4">
        <f>IF(YEAR(DELIVERY)=YEAR($D54),'Sources and Uses - First'!$D$12,0)</f>
        <v>0</v>
      </c>
      <c r="CR54" s="4">
        <f>IF(ISNA(VLOOKUP(DATE(YEAR($D54),PRIN_MATURITY, PRIN_MATURITY_DAY_SUB),'Sub Lien DS - First (Annual)'!$A$12:$G$41,COLUMNS('Sub Lien DS - First (Annual)'!$A$12:$G$12),0)),0,VLOOKUP(DATE(YEAR($D54),PRIN_MATURITY, PRIN_MATURITY_DAY_SUB),'Sub Lien DS - First (Annual)'!$A$12:$G$41,COLUMNS('Sub Lien DS - First (Annual)'!$A$12:$G$12),0))</f>
        <v>0</v>
      </c>
      <c r="CS54" s="4">
        <f ca="1">SUM($CQ$14:CQ54)-SUM($CR$14:CR54)</f>
        <v>-1000000</v>
      </c>
      <c r="CT54" s="4">
        <f ca="1">SUM($CQ$14:CQ54)-SUM($CR$14:CR54)</f>
        <v>-1000000</v>
      </c>
      <c r="CU54" s="4">
        <f t="shared" ca="1" si="57"/>
        <v>0</v>
      </c>
      <c r="CV54" s="4">
        <f t="shared" ca="1" si="58"/>
        <v>0</v>
      </c>
      <c r="CW54" s="4">
        <f t="shared" ca="1" si="59"/>
        <v>691788.31708173128</v>
      </c>
      <c r="CX54" s="4">
        <f t="shared" ca="1" si="78"/>
        <v>691788.31708173128</v>
      </c>
      <c r="CY54" s="4">
        <f ca="1">SUM($CW$14:CW54)-SUM($CX$14:CX54)</f>
        <v>0</v>
      </c>
    </row>
    <row r="55" spans="1:103" x14ac:dyDescent="0.25">
      <c r="A55">
        <f t="shared" si="22"/>
        <v>43</v>
      </c>
      <c r="C55" s="75">
        <f t="shared" si="38"/>
        <v>60692</v>
      </c>
      <c r="D55" s="75">
        <f t="shared" si="38"/>
        <v>61057</v>
      </c>
      <c r="E55" s="3">
        <f t="shared" si="39"/>
        <v>0</v>
      </c>
      <c r="F55" s="3">
        <f>VLOOKUP($C55,'Residential Development'!$DW$14:$EL$33,COLUMNS('Residential Development'!$DW$14:$DX$14))+F54+E55</f>
        <v>0</v>
      </c>
      <c r="G55" s="4">
        <f t="shared" si="23"/>
        <v>0</v>
      </c>
      <c r="H55" s="3">
        <f>VLOOKUP($C55,'Residential Development'!$D$14:$Q$33,COLUMNS('Residential Development'!$D$14:$Q$14))</f>
        <v>0</v>
      </c>
      <c r="I55" s="3">
        <f ca="1">VLOOKUP($C55,'Residential Development'!$AW$33:$BK56,COLUMNS('Residential Development'!$AW$13:$BK$33))</f>
        <v>0</v>
      </c>
      <c r="J55" s="4">
        <f t="shared" ca="1" si="24"/>
        <v>0</v>
      </c>
      <c r="K55" s="4">
        <f>VLOOKUP($C55,'Residential Development'!$CD$14:$CQ$33,COLUMNS('Residential Development'!$CD$14:$CQ$14))</f>
        <v>0</v>
      </c>
      <c r="L55" s="3">
        <f t="shared" ca="1" si="60"/>
        <v>5031847.0901983213</v>
      </c>
      <c r="M55" s="3">
        <f ca="1">VLOOKUP($C55,'Residential Development'!$EN$14:$FC$33,COLUMNS('Residential Development'!$EN$14:$FC$14))+M54+L55</f>
        <v>508216556.11003041</v>
      </c>
      <c r="N55" s="3">
        <f t="shared" ca="1" si="41"/>
        <v>279519105.86051673</v>
      </c>
      <c r="O55" s="322"/>
      <c r="P55" s="4">
        <f>VLOOKUP($C55,'Residential Development'!$AH$14:$AI$38,2)</f>
        <v>0</v>
      </c>
      <c r="Q55" s="4">
        <f t="shared" ca="1" si="8"/>
        <v>279519105.86051673</v>
      </c>
      <c r="R55" s="4"/>
      <c r="S55" s="4">
        <f t="shared" si="25"/>
        <v>0</v>
      </c>
      <c r="T55" s="4">
        <f>VLOOKUP($C55,'Comm Development'!$CG$14:$CR$33,COLUMNS('Comm Development'!$CG$14:$CR$14))+T54+S55</f>
        <v>0</v>
      </c>
      <c r="U55" s="3"/>
      <c r="V55" s="3">
        <f>VLOOKUP($C55,'Comm Development'!$BG$14:$BR$33,COLUMNS('Comm Development'!$BG$14:$BR$14))</f>
        <v>0</v>
      </c>
      <c r="W55" s="4">
        <f t="shared" si="26"/>
        <v>0</v>
      </c>
      <c r="X55" s="4">
        <f>VLOOKUP($C55,'Comm Development'!$CG$14:$CR$33,COLUMNS('Comm Development'!$CG$14:$CR$14))+X54+W55</f>
        <v>0</v>
      </c>
      <c r="Y55" s="3">
        <f t="shared" si="42"/>
        <v>0</v>
      </c>
      <c r="Z55" s="3">
        <f t="shared" si="61"/>
        <v>0</v>
      </c>
      <c r="AA55" s="322">
        <f t="shared" si="43"/>
        <v>0</v>
      </c>
      <c r="AB55" s="297"/>
      <c r="AC55" s="4"/>
      <c r="AD55" s="4">
        <f t="shared" si="79"/>
        <v>0</v>
      </c>
      <c r="AE55" s="4">
        <f t="shared" si="45"/>
        <v>0</v>
      </c>
      <c r="AG55" s="4">
        <f t="shared" ca="1" si="9"/>
        <v>279519105.86051673</v>
      </c>
      <c r="AH55" s="18">
        <f t="shared" si="27"/>
        <v>3</v>
      </c>
      <c r="AI55" s="4">
        <f t="shared" ca="1" si="28"/>
        <v>821786.17122991919</v>
      </c>
      <c r="AJ55" s="4">
        <f t="shared" ca="1" si="11"/>
        <v>0</v>
      </c>
      <c r="AK55" s="3">
        <f t="shared" si="12"/>
        <v>0</v>
      </c>
      <c r="AL55" s="194">
        <f t="shared" si="13"/>
        <v>0</v>
      </c>
      <c r="AM55" s="4">
        <f t="shared" si="62"/>
        <v>0</v>
      </c>
      <c r="AN55" s="4">
        <f t="shared" si="63"/>
        <v>0</v>
      </c>
      <c r="AO55" s="97"/>
      <c r="AP55" s="4">
        <f t="shared" si="64"/>
        <v>0</v>
      </c>
      <c r="AQ55" s="4"/>
      <c r="AR55" s="364">
        <f t="shared" ca="1" si="14"/>
        <v>821786.17122991919</v>
      </c>
      <c r="AT55" s="213">
        <f t="shared" ca="1" si="46"/>
        <v>0</v>
      </c>
      <c r="AU55" s="213">
        <f t="shared" ca="1" si="65"/>
        <v>-4000</v>
      </c>
      <c r="AV55" s="312">
        <f t="shared" si="70"/>
        <v>-117158.58455140407</v>
      </c>
      <c r="AX55" s="4">
        <f t="shared" ca="1" si="32"/>
        <v>700627.58667851507</v>
      </c>
      <c r="AZ55" s="4">
        <f t="shared" ca="1" si="15"/>
        <v>279519105.86051673</v>
      </c>
      <c r="BA55" s="18">
        <f t="shared" si="47"/>
        <v>3</v>
      </c>
      <c r="BB55" s="4">
        <f t="shared" ca="1" si="16"/>
        <v>821786.17122991919</v>
      </c>
      <c r="BC55" s="4">
        <f t="shared" ca="1" si="17"/>
        <v>0</v>
      </c>
      <c r="BD55" s="3">
        <f t="shared" si="18"/>
        <v>0</v>
      </c>
      <c r="BE55" s="194">
        <f t="shared" si="19"/>
        <v>0</v>
      </c>
      <c r="BF55" s="4">
        <f t="shared" si="4"/>
        <v>0</v>
      </c>
      <c r="BG55" s="4">
        <f t="shared" si="5"/>
        <v>0</v>
      </c>
      <c r="BH55" s="97"/>
      <c r="BI55" s="4">
        <f t="shared" si="6"/>
        <v>0</v>
      </c>
      <c r="BJ55" s="4"/>
      <c r="BK55" s="96">
        <f t="shared" ca="1" si="71"/>
        <v>821786.17122991919</v>
      </c>
      <c r="BM55" s="213">
        <f t="shared" si="48"/>
        <v>-3000</v>
      </c>
      <c r="BO55" s="4">
        <f t="shared" ca="1" si="21"/>
        <v>818786.17122991919</v>
      </c>
      <c r="BQ55" s="4">
        <f>IF(AND(REFUND_FINANCING="Yes",$D55&gt;PREMIUM_CALL_FIRST),0, IF(ISERROR(VLOOKUP($D55,'Senior Lien DS - First'!$A$11:$O$81,COLUMNS('Senior Lien DS - First'!$A$11:$O$11),0)),0,VLOOKUP($D55,'Senior Lien DS - First'!$A$11:$O$81,COLUMNS('Senior Lien DS - First'!$A$11:$O$11),0)))</f>
        <v>0</v>
      </c>
      <c r="BR55" s="4">
        <f>IF(ISERROR(VLOOKUP($D55,'Senior Lien DS - Refunding'!$A$11:$O$81,COLUMNS('Senior Lien DS - Refunding'!$A$11:$O$11),0)),0,VLOOKUP($D55,'Senior Lien DS - Refunding'!$A$11:$O$81,COLUMNS('Senior Lien DS - Refunding'!$A$11:$O$11),0))</f>
        <v>0</v>
      </c>
      <c r="BS55" s="4">
        <f t="shared" si="33"/>
        <v>0</v>
      </c>
      <c r="BT55" s="84">
        <f t="shared" ca="1" si="34"/>
        <v>0</v>
      </c>
      <c r="BU55" s="4">
        <f t="shared" ca="1" si="49"/>
        <v>700627.58667851507</v>
      </c>
      <c r="BV55" s="4">
        <f t="shared" si="66"/>
        <v>0</v>
      </c>
      <c r="BW55" s="4">
        <f t="shared" ca="1" si="67"/>
        <v>0</v>
      </c>
      <c r="BX55" s="4">
        <f t="shared" ca="1" si="50"/>
        <v>700627.58667851507</v>
      </c>
      <c r="BY55" s="4">
        <f t="shared" ca="1" si="51"/>
        <v>700627.58667851507</v>
      </c>
      <c r="BZ55" s="4">
        <f t="shared" si="52"/>
        <v>0</v>
      </c>
      <c r="CA55" s="4">
        <f t="shared" si="35"/>
        <v>0</v>
      </c>
      <c r="CB55" s="14">
        <f ca="1">IF(ISERROR((VLOOKUP($D55,'Senior Lien DS - First'!$A$11:$P$71,COLUMNS('Senior Lien DS - First'!$A$11:$P$11)))/Summary!$AG56),"",(IF(REFUND_FINANCING="Yes",0,VLOOKUP($D55,'Senior Lien DS - First'!$A$11:$P$71,COLUMNS('Senior Lien DS - First'!$A$11:$P$11))))/Summary!$AG56)</f>
        <v>0</v>
      </c>
      <c r="CC55" s="10">
        <f ca="1">IF(ISERROR((VLOOKUP($C55,'Senior Lien DS - First'!$A$11:$P$71,COLUMNS('Senior Lien DS - First'!$A$11:$P$11)))/Summary!$M56),"",(VLOOKUP($C55,'Senior Lien DS - First'!$A$11:$P$71,COLUMNS('Senior Lien DS - First'!$A$11:$P$11)))/Summary!$M56)</f>
        <v>0</v>
      </c>
      <c r="CD55" s="9" t="str">
        <f t="shared" ca="1" si="75"/>
        <v/>
      </c>
      <c r="CE55" s="9" t="str">
        <f t="shared" ca="1" si="53"/>
        <v/>
      </c>
      <c r="CH55" s="4">
        <f t="shared" ca="1" si="73"/>
        <v>697627.58667851507</v>
      </c>
      <c r="CI55" s="309">
        <v>0</v>
      </c>
      <c r="CJ55" s="4">
        <f t="shared" ca="1" si="72"/>
        <v>697627.58667851507</v>
      </c>
      <c r="CK55" s="4">
        <f>IF(ISNA(VLOOKUP(DATE(YEAR($D55),PRIN_MATURITY,PRIN_MATURITY_DAY_SUB),'Sub Lien DS - First (Annual)'!$A$12:$H$96,COLUMNS('Sub Lien DS - First (Annual)'!$A$12:$H$12),0)),0,VLOOKUP(DATE(YEAR($D55),PRIN_MATURITY,PRIN_MATURITY_DAY_SUB),'Sub Lien DS - First (Annual)'!$A$12:$H$96,COLUMNS('Sub Lien DS - First (Annual)'!$A$12:$H$12),0))</f>
        <v>0</v>
      </c>
      <c r="CL55" s="4">
        <f t="shared" ca="1" si="55"/>
        <v>0</v>
      </c>
      <c r="CM55" s="4">
        <f t="shared" si="37"/>
        <v>0</v>
      </c>
      <c r="CN55" s="4">
        <f t="shared" si="56"/>
        <v>0</v>
      </c>
      <c r="CO55" s="4">
        <f t="shared" ca="1" si="77"/>
        <v>0</v>
      </c>
      <c r="CP55" s="4"/>
      <c r="CQ55" s="4">
        <f>IF(YEAR(DELIVERY)=YEAR($D55),'Sources and Uses - First'!$D$12,0)</f>
        <v>0</v>
      </c>
      <c r="CR55" s="4">
        <f>IF(ISNA(VLOOKUP(DATE(YEAR($D55),PRIN_MATURITY, PRIN_MATURITY_DAY_SUB),'Sub Lien DS - First (Annual)'!$A$12:$G$41,COLUMNS('Sub Lien DS - First (Annual)'!$A$12:$G$12),0)),0,VLOOKUP(DATE(YEAR($D55),PRIN_MATURITY, PRIN_MATURITY_DAY_SUB),'Sub Lien DS - First (Annual)'!$A$12:$G$41,COLUMNS('Sub Lien DS - First (Annual)'!$A$12:$G$12),0))</f>
        <v>0</v>
      </c>
      <c r="CS55" s="4">
        <f ca="1">SUM($CQ$14:CQ55)-SUM($CR$14:CR55)</f>
        <v>-1000000</v>
      </c>
      <c r="CT55" s="4">
        <f ca="1">SUM($CQ$14:CQ55)-SUM($CR$14:CR55)</f>
        <v>-1000000</v>
      </c>
      <c r="CU55" s="4">
        <f t="shared" ca="1" si="57"/>
        <v>0</v>
      </c>
      <c r="CV55" s="4">
        <f t="shared" ca="1" si="58"/>
        <v>0</v>
      </c>
      <c r="CW55" s="4">
        <f t="shared" ca="1" si="59"/>
        <v>697627.58667851507</v>
      </c>
      <c r="CX55" s="4">
        <f t="shared" ref="CX55:CX56" ca="1" si="80">CW55</f>
        <v>697627.58667851507</v>
      </c>
      <c r="CY55" s="4">
        <f ca="1">SUM($CW$14:CW55)-SUM($CX$14:CX55)</f>
        <v>0</v>
      </c>
    </row>
    <row r="56" spans="1:103" x14ac:dyDescent="0.25">
      <c r="A56">
        <f t="shared" si="22"/>
        <v>44</v>
      </c>
      <c r="C56" s="75">
        <f t="shared" si="38"/>
        <v>61057</v>
      </c>
      <c r="D56" s="75">
        <f t="shared" si="38"/>
        <v>61423</v>
      </c>
      <c r="E56" s="3">
        <f t="shared" si="39"/>
        <v>0</v>
      </c>
      <c r="F56" s="3">
        <f>VLOOKUP($C56,'Residential Development'!$DW$14:$EL$33,COLUMNS('Residential Development'!$DW$14:$DX$14))+F55+E56</f>
        <v>0</v>
      </c>
      <c r="G56" s="4">
        <f t="shared" si="23"/>
        <v>0</v>
      </c>
      <c r="H56" s="3">
        <f>VLOOKUP($C56,'Residential Development'!$D$14:$Q$33,COLUMNS('Residential Development'!$D$14:$Q$14))</f>
        <v>0</v>
      </c>
      <c r="I56" s="3">
        <f ca="1">VLOOKUP($C56,'Residential Development'!$AW$33:$BK57,COLUMNS('Residential Development'!$AW$13:$BK$33))</f>
        <v>0</v>
      </c>
      <c r="J56" s="4">
        <f t="shared" ca="1" si="24"/>
        <v>0</v>
      </c>
      <c r="K56" s="4">
        <f>VLOOKUP($C56,'Residential Development'!$CD$14:$CQ$33,COLUMNS('Residential Development'!$CD$14:$CQ$14))</f>
        <v>0</v>
      </c>
      <c r="L56" s="3">
        <f t="shared" ca="1" si="60"/>
        <v>5082165.5611003041</v>
      </c>
      <c r="M56" s="3">
        <f ca="1">VLOOKUP($C56,'Residential Development'!$EN$14:$FC$33,COLUMNS('Residential Development'!$EN$14:$FC$14))+M55+L56</f>
        <v>513298721.67113072</v>
      </c>
      <c r="N56" s="3">
        <f t="shared" ca="1" si="41"/>
        <v>282314296.91912192</v>
      </c>
      <c r="O56" s="322"/>
      <c r="P56" s="4">
        <f>VLOOKUP($C56,'Residential Development'!$AH$14:$AI$38,2)</f>
        <v>0</v>
      </c>
      <c r="Q56" s="4">
        <f t="shared" ca="1" si="8"/>
        <v>282314296.91912192</v>
      </c>
      <c r="R56" s="4"/>
      <c r="S56" s="4">
        <f t="shared" si="25"/>
        <v>0</v>
      </c>
      <c r="T56" s="4">
        <f>VLOOKUP($C56,'Comm Development'!$CG$14:$CR$33,COLUMNS('Comm Development'!$CG$14:$CR$14))+T55+S56</f>
        <v>0</v>
      </c>
      <c r="U56" s="3"/>
      <c r="V56" s="3">
        <f>VLOOKUP($C56,'Comm Development'!$BG$14:$BR$33,COLUMNS('Comm Development'!$BG$14:$BR$14))</f>
        <v>0</v>
      </c>
      <c r="W56" s="4">
        <f t="shared" si="26"/>
        <v>0</v>
      </c>
      <c r="X56" s="4">
        <f>VLOOKUP($C56,'Comm Development'!$CG$14:$CR$33,COLUMNS('Comm Development'!$CG$14:$CR$14))+X55+W56</f>
        <v>0</v>
      </c>
      <c r="Y56" s="3">
        <f t="shared" si="42"/>
        <v>0</v>
      </c>
      <c r="Z56" s="3">
        <f>U56+Y56</f>
        <v>0</v>
      </c>
      <c r="AA56" s="322">
        <f t="shared" si="43"/>
        <v>0</v>
      </c>
      <c r="AB56" s="297"/>
      <c r="AC56" s="4"/>
      <c r="AD56" s="4">
        <f t="shared" si="79"/>
        <v>0</v>
      </c>
      <c r="AE56" s="4">
        <f t="shared" si="45"/>
        <v>0</v>
      </c>
      <c r="AG56" s="4">
        <f t="shared" ca="1" si="9"/>
        <v>282314296.91912192</v>
      </c>
      <c r="AH56" s="18">
        <f t="shared" si="27"/>
        <v>3</v>
      </c>
      <c r="AI56" s="4">
        <f t="shared" ca="1" si="28"/>
        <v>830004.03294221847</v>
      </c>
      <c r="AJ56" s="4">
        <f t="shared" ca="1" si="11"/>
        <v>0</v>
      </c>
      <c r="AK56" s="3">
        <f t="shared" si="12"/>
        <v>0</v>
      </c>
      <c r="AL56" s="194">
        <f t="shared" si="13"/>
        <v>0</v>
      </c>
      <c r="AM56" s="4">
        <f t="shared" si="62"/>
        <v>0</v>
      </c>
      <c r="AN56" s="4">
        <f t="shared" si="63"/>
        <v>0</v>
      </c>
      <c r="AO56" s="97"/>
      <c r="AP56" s="4">
        <f t="shared" si="64"/>
        <v>0</v>
      </c>
      <c r="AQ56" s="4"/>
      <c r="AR56" s="364">
        <f t="shared" ca="1" si="14"/>
        <v>830004.03294221847</v>
      </c>
      <c r="AT56" s="213">
        <f t="shared" ca="1" si="46"/>
        <v>0</v>
      </c>
      <c r="AU56" s="213">
        <f t="shared" ca="1" si="65"/>
        <v>-4000</v>
      </c>
      <c r="AV56" s="312">
        <f t="shared" si="70"/>
        <v>-119501.75624243215</v>
      </c>
      <c r="AX56" s="4">
        <f t="shared" ca="1" si="32"/>
        <v>706502.27669978631</v>
      </c>
      <c r="AZ56" s="4">
        <f t="shared" ca="1" si="15"/>
        <v>282314296.91912192</v>
      </c>
      <c r="BA56" s="18">
        <f t="shared" si="47"/>
        <v>3</v>
      </c>
      <c r="BB56" s="4">
        <f t="shared" ca="1" si="16"/>
        <v>830004.03294221847</v>
      </c>
      <c r="BC56" s="4">
        <f t="shared" ca="1" si="17"/>
        <v>0</v>
      </c>
      <c r="BD56" s="3">
        <f t="shared" si="18"/>
        <v>0</v>
      </c>
      <c r="BE56" s="194">
        <f t="shared" si="19"/>
        <v>0</v>
      </c>
      <c r="BF56" s="4">
        <f t="shared" si="4"/>
        <v>0</v>
      </c>
      <c r="BG56" s="4">
        <f t="shared" si="5"/>
        <v>0</v>
      </c>
      <c r="BH56" s="97"/>
      <c r="BI56" s="4">
        <f t="shared" si="6"/>
        <v>0</v>
      </c>
      <c r="BJ56" s="4"/>
      <c r="BK56" s="96">
        <f ca="1">+BB56+BC56+BF56+BG56+BI56+BJ56</f>
        <v>830004.03294221847</v>
      </c>
      <c r="BM56" s="213">
        <f t="shared" si="48"/>
        <v>-3000</v>
      </c>
      <c r="BO56" s="4">
        <f t="shared" ca="1" si="21"/>
        <v>827004.03294221847</v>
      </c>
      <c r="BQ56" s="4">
        <f>IF(AND(REFUND_FINANCING="Yes",$D56&gt;PREMIUM_CALL_FIRST),0, IF(ISERROR(VLOOKUP($D56,'Senior Lien DS - First'!$A$11:$O$81,COLUMNS('Senior Lien DS - First'!$A$11:$O$11),0)),0,VLOOKUP($D56,'Senior Lien DS - First'!$A$11:$O$81,COLUMNS('Senior Lien DS - First'!$A$11:$O$11),0)))</f>
        <v>0</v>
      </c>
      <c r="BR56" s="4">
        <f>IF(ISERROR(VLOOKUP($D56,'Senior Lien DS - Refunding'!$A$11:$O$81,COLUMNS('Senior Lien DS - Refunding'!$A$11:$O$11),0)),0,VLOOKUP($D56,'Senior Lien DS - Refunding'!$A$11:$O$81,COLUMNS('Senior Lien DS - Refunding'!$A$11:$O$11),0))</f>
        <v>0</v>
      </c>
      <c r="BS56" s="4">
        <f t="shared" si="33"/>
        <v>0</v>
      </c>
      <c r="BT56" s="84">
        <f t="shared" ca="1" si="34"/>
        <v>0</v>
      </c>
      <c r="BU56" s="4">
        <f t="shared" ca="1" si="49"/>
        <v>706502.27669978631</v>
      </c>
      <c r="BV56" s="4">
        <f t="shared" si="66"/>
        <v>0</v>
      </c>
      <c r="BW56" s="4">
        <f t="shared" ca="1" si="67"/>
        <v>0</v>
      </c>
      <c r="BX56" s="4">
        <f t="shared" ca="1" si="50"/>
        <v>706502.27669978631</v>
      </c>
      <c r="BY56" s="4">
        <f t="shared" ca="1" si="51"/>
        <v>706502.27669978631</v>
      </c>
      <c r="BZ56" s="4">
        <f t="shared" si="52"/>
        <v>0</v>
      </c>
      <c r="CA56" s="4">
        <f t="shared" si="35"/>
        <v>0</v>
      </c>
      <c r="CB56" s="14" t="str">
        <f ca="1">IF(ISERROR((VLOOKUP($D56,'Senior Lien DS - First'!$A$11:$P$71,COLUMNS('Senior Lien DS - First'!$A$11:$P$11)))/Summary!$AG57),"",(IF(REFUND_FINANCING="Yes",0,VLOOKUP($D56,'Senior Lien DS - First'!$A$11:$P$71,COLUMNS('Senior Lien DS - First'!$A$11:$P$11))))/Summary!$AG57)</f>
        <v/>
      </c>
      <c r="CC56" s="10" t="str">
        <f ca="1">IF(ISERROR((VLOOKUP($C56,'Senior Lien DS - First'!$A$11:$P$71,COLUMNS('Senior Lien DS - First'!$A$11:$P$11)))/Summary!$M57),"",(VLOOKUP($C56,'Senior Lien DS - First'!$A$11:$P$71,COLUMNS('Senior Lien DS - First'!$A$11:$P$11)))/Summary!$M57)</f>
        <v/>
      </c>
      <c r="CD56" s="9" t="str">
        <f t="shared" ca="1" si="75"/>
        <v/>
      </c>
      <c r="CE56" s="9" t="str">
        <f t="shared" ca="1" si="53"/>
        <v/>
      </c>
      <c r="CH56" s="4">
        <f t="shared" ca="1" si="73"/>
        <v>703502.27669978631</v>
      </c>
      <c r="CI56" s="309">
        <v>0</v>
      </c>
      <c r="CJ56" s="4">
        <f t="shared" ca="1" si="72"/>
        <v>703502.27669978631</v>
      </c>
      <c r="CK56" s="4">
        <f>IF(ISNA(VLOOKUP(DATE(YEAR($D56),PRIN_MATURITY,PRIN_MATURITY_DAY_SUB),'Sub Lien DS - First (Annual)'!$A$12:$H$96,COLUMNS('Sub Lien DS - First (Annual)'!$A$12:$H$12),0)),0,VLOOKUP(DATE(YEAR($D56),PRIN_MATURITY,PRIN_MATURITY_DAY_SUB),'Sub Lien DS - First (Annual)'!$A$12:$H$96,COLUMNS('Sub Lien DS - First (Annual)'!$A$12:$H$12),0))</f>
        <v>0</v>
      </c>
      <c r="CL56" s="4">
        <f t="shared" ca="1" si="55"/>
        <v>0</v>
      </c>
      <c r="CM56" s="4">
        <f t="shared" si="37"/>
        <v>0</v>
      </c>
      <c r="CN56" s="4">
        <f t="shared" si="56"/>
        <v>0</v>
      </c>
      <c r="CO56" s="4">
        <f t="shared" ca="1" si="77"/>
        <v>0</v>
      </c>
      <c r="CP56" s="4"/>
      <c r="CQ56" s="4">
        <f>IF(YEAR(DELIVERY)=YEAR($D56),'Sources and Uses - First'!$D$12,0)</f>
        <v>0</v>
      </c>
      <c r="CR56" s="4">
        <f>IF(ISNA(VLOOKUP(DATE(YEAR($D56),PRIN_MATURITY, PRIN_MATURITY_DAY_SUB),'Sub Lien DS - First (Annual)'!$A$12:$G$41,COLUMNS('Sub Lien DS - First (Annual)'!$A$12:$G$12),0)),0,VLOOKUP(DATE(YEAR($D56),PRIN_MATURITY, PRIN_MATURITY_DAY_SUB),'Sub Lien DS - First (Annual)'!$A$12:$G$41,COLUMNS('Sub Lien DS - First (Annual)'!$A$12:$G$12),0))</f>
        <v>0</v>
      </c>
      <c r="CS56" s="4">
        <f ca="1">SUM($CQ$14:CQ56)-SUM($CR$14:CR56)</f>
        <v>-1000000</v>
      </c>
      <c r="CT56" s="4">
        <f ca="1">SUM($CQ$14:CQ56)-SUM($CR$14:CR56)</f>
        <v>-1000000</v>
      </c>
      <c r="CU56" s="4">
        <f t="shared" ca="1" si="57"/>
        <v>0</v>
      </c>
      <c r="CV56" s="4">
        <f t="shared" ca="1" si="58"/>
        <v>0</v>
      </c>
      <c r="CW56" s="4">
        <f t="shared" ca="1" si="59"/>
        <v>703502.27669978631</v>
      </c>
      <c r="CX56" s="4">
        <f t="shared" ca="1" si="80"/>
        <v>703502.27669978631</v>
      </c>
      <c r="CY56" s="4">
        <f ca="1">SUM($CW$14:CW56)-SUM($CX$14:CX56)</f>
        <v>0</v>
      </c>
    </row>
    <row r="57" spans="1:103" x14ac:dyDescent="0.25">
      <c r="C57" s="75"/>
      <c r="D57" s="75"/>
      <c r="E57" s="259"/>
      <c r="F57" s="106"/>
      <c r="G57" s="106"/>
      <c r="H57" s="259"/>
      <c r="I57" s="106"/>
      <c r="J57" s="106"/>
      <c r="K57" s="114"/>
      <c r="L57" s="106"/>
      <c r="M57" s="106"/>
      <c r="N57" s="106"/>
      <c r="O57" s="114"/>
      <c r="P57" s="114"/>
      <c r="Q57" s="114"/>
      <c r="R57" s="114"/>
      <c r="S57" s="114"/>
      <c r="T57" s="114"/>
      <c r="U57" s="106"/>
      <c r="V57" s="106"/>
      <c r="W57" s="106"/>
      <c r="X57" s="106"/>
      <c r="Y57" s="106"/>
      <c r="Z57" s="106"/>
      <c r="AA57" s="106"/>
      <c r="AB57" s="106"/>
      <c r="AC57" s="106"/>
      <c r="AD57" s="106"/>
      <c r="AE57" s="106"/>
      <c r="AG57" s="106"/>
      <c r="AH57" s="106"/>
      <c r="AI57" s="114">
        <f t="shared" si="28"/>
        <v>0</v>
      </c>
      <c r="AJ57" s="106"/>
      <c r="AK57" s="106"/>
      <c r="AL57" s="195"/>
      <c r="AM57" s="114"/>
      <c r="AN57" s="114"/>
      <c r="AO57" s="114"/>
      <c r="AP57" s="114"/>
      <c r="AQ57" s="106"/>
      <c r="AR57" s="365"/>
      <c r="AT57" s="214"/>
      <c r="AU57" s="214"/>
      <c r="AV57" s="214"/>
      <c r="AX57" s="113"/>
      <c r="AZ57" s="106"/>
      <c r="BA57" s="106"/>
      <c r="BB57" s="114">
        <f t="shared" si="16"/>
        <v>0</v>
      </c>
      <c r="BC57" s="106"/>
      <c r="BD57" s="106"/>
      <c r="BE57" s="195"/>
      <c r="BF57" s="114"/>
      <c r="BG57" s="114"/>
      <c r="BH57" s="114"/>
      <c r="BI57" s="114"/>
      <c r="BJ57" s="106"/>
      <c r="BK57" s="107"/>
      <c r="BM57" s="214"/>
      <c r="BO57" s="113"/>
      <c r="BQ57" s="106"/>
      <c r="BR57" s="106"/>
      <c r="BS57" s="106"/>
      <c r="BT57" s="106"/>
      <c r="BU57" s="106"/>
      <c r="BV57" s="106"/>
      <c r="BW57" s="106"/>
      <c r="BX57" s="106"/>
      <c r="BY57" s="106"/>
      <c r="BZ57" s="106"/>
      <c r="CA57" s="106"/>
      <c r="CB57" s="106"/>
      <c r="CC57" s="106"/>
      <c r="CD57" s="106"/>
      <c r="CE57" s="106"/>
      <c r="CH57" s="106"/>
      <c r="CI57" s="106"/>
      <c r="CJ57" s="106"/>
      <c r="CK57" s="106"/>
      <c r="CL57" s="106"/>
      <c r="CM57" s="106"/>
      <c r="CN57" s="106"/>
      <c r="CO57" s="106"/>
      <c r="CP57" s="106"/>
      <c r="CQ57" s="106"/>
      <c r="CR57" s="106"/>
      <c r="CS57" s="106"/>
      <c r="CT57" s="106"/>
      <c r="CU57" s="106"/>
      <c r="CV57" s="106"/>
      <c r="CW57" s="106"/>
      <c r="CX57" s="106"/>
      <c r="CY57" s="106"/>
    </row>
    <row r="58" spans="1:103" ht="6.75" customHeight="1" x14ac:dyDescent="0.25">
      <c r="C58" s="75"/>
      <c r="D58" s="75"/>
      <c r="E58" s="3"/>
      <c r="H58" s="3"/>
      <c r="K58" s="4"/>
      <c r="O58" s="4"/>
      <c r="P58" s="4"/>
      <c r="Q58" s="4"/>
      <c r="R58" s="4"/>
      <c r="S58" s="4"/>
      <c r="T58" s="4"/>
      <c r="AI58" s="4">
        <f t="shared" si="28"/>
        <v>0</v>
      </c>
      <c r="AL58" s="194"/>
      <c r="AM58" s="4"/>
      <c r="AN58" s="4"/>
      <c r="AO58" s="4"/>
      <c r="AP58" s="4"/>
      <c r="AR58" s="366"/>
      <c r="AT58" s="213"/>
      <c r="AU58" s="213"/>
      <c r="AV58" s="213"/>
      <c r="AX58" s="27"/>
      <c r="BB58" s="4">
        <f t="shared" si="16"/>
        <v>0</v>
      </c>
      <c r="BE58" s="194"/>
      <c r="BF58" s="4"/>
      <c r="BG58" s="4"/>
      <c r="BH58" s="4"/>
      <c r="BI58" s="4"/>
      <c r="BK58" s="238"/>
      <c r="BM58" s="213"/>
      <c r="BO58" s="27"/>
    </row>
    <row r="59" spans="1:103" s="101" customFormat="1" x14ac:dyDescent="0.25">
      <c r="C59" s="77" t="s">
        <v>88</v>
      </c>
      <c r="D59" s="77" t="s">
        <v>88</v>
      </c>
      <c r="E59" s="102">
        <f>SUM(E12:E58)</f>
        <v>0</v>
      </c>
      <c r="F59" s="102"/>
      <c r="G59" s="102">
        <f t="shared" ref="G59" si="81">SUM(G12:G58)</f>
        <v>0</v>
      </c>
      <c r="H59" s="102">
        <f t="shared" ref="H59" si="82">SUM(H12:H42)</f>
        <v>716</v>
      </c>
      <c r="I59" s="102">
        <f ca="1">SUM(I12:I42)</f>
        <v>32170459.600000001</v>
      </c>
      <c r="J59" s="102">
        <f ca="1">SUM(J12:J42)</f>
        <v>17693752.780000001</v>
      </c>
      <c r="K59" s="102">
        <f t="shared" ref="K59:L59" si="83">SUM(K12:K42)</f>
        <v>716</v>
      </c>
      <c r="L59" s="102">
        <f t="shared" ca="1" si="83"/>
        <v>99933040.615117937</v>
      </c>
      <c r="M59" s="102"/>
      <c r="W59" s="102">
        <f>SUM(W13:W57)</f>
        <v>0</v>
      </c>
      <c r="AA59" s="102"/>
      <c r="AB59" s="102"/>
      <c r="AC59" s="102"/>
      <c r="AD59" s="102"/>
      <c r="AE59" s="102"/>
      <c r="AI59" s="102">
        <f ca="1">SUM(AI14:AI42)</f>
        <v>16932877.23644679</v>
      </c>
      <c r="AJ59" s="102">
        <f ca="1">SUM(AJ14:AJ42)</f>
        <v>0</v>
      </c>
      <c r="AK59" s="102"/>
      <c r="AL59" s="102"/>
      <c r="AM59" s="102">
        <f>SUM(AM15:AM57)</f>
        <v>0</v>
      </c>
      <c r="AN59" s="102">
        <f>SUM(AN15:AN57)</f>
        <v>0</v>
      </c>
      <c r="AO59" s="102"/>
      <c r="AP59" s="102">
        <f t="shared" ref="AP59" si="84">SUM(AP15:AP57)</f>
        <v>0</v>
      </c>
      <c r="AQ59" s="102">
        <f>SUM(AQ13:AQ54)</f>
        <v>0</v>
      </c>
      <c r="AR59" s="364">
        <f ca="1">SUM(AR13:AR42)</f>
        <v>16933265.073896792</v>
      </c>
      <c r="AT59" s="215">
        <f ca="1">SUM(AT14:AT42)</f>
        <v>0</v>
      </c>
      <c r="AX59" s="102">
        <f ca="1">SUM(AX13:AX42)</f>
        <v>14855327.854917362</v>
      </c>
      <c r="BB59" s="102">
        <f ca="1">SUM(BB14:BB46)</f>
        <v>19894101.297166619</v>
      </c>
      <c r="BC59" s="102">
        <f ca="1">SUM(BC14:BC46)</f>
        <v>0</v>
      </c>
      <c r="BD59" s="102"/>
      <c r="BE59" s="102"/>
      <c r="BF59" s="102">
        <f>SUM(BF15:BF57)</f>
        <v>0</v>
      </c>
      <c r="BG59" s="102">
        <f>SUM(BG15:BG57)</f>
        <v>0</v>
      </c>
      <c r="BH59" s="102"/>
      <c r="BI59" s="102">
        <f t="shared" ref="BI59" si="85">SUM(BI15:BI57)</f>
        <v>0</v>
      </c>
      <c r="BJ59" s="102">
        <f>SUM(BJ13:BJ54)</f>
        <v>0</v>
      </c>
      <c r="BK59" s="103">
        <f ca="1">SUM(BK13:BK47)</f>
        <v>20653007.038765427</v>
      </c>
      <c r="BO59" s="102">
        <f ca="1">SUM(BO13:BO46)</f>
        <v>19795101.297166619</v>
      </c>
      <c r="BQ59" s="102">
        <f ca="1">SUM(BQ13:BQ42)</f>
        <v>11321791.261302805</v>
      </c>
      <c r="BR59" s="102">
        <f t="shared" ref="BR59:BS59" si="86">SUM(BR13:BR42)</f>
        <v>0</v>
      </c>
      <c r="BS59" s="102">
        <f t="shared" ca="1" si="86"/>
        <v>11321791.261302805</v>
      </c>
      <c r="BT59" s="104"/>
      <c r="BU59" s="104"/>
      <c r="BV59" s="104"/>
      <c r="BW59" s="102">
        <f t="shared" ref="BW59" ca="1" si="87">SUM(BW13:BW46)</f>
        <v>0</v>
      </c>
      <c r="BX59" s="102">
        <f ca="1">SUM(BX13:BX42)</f>
        <v>3526335.5637998278</v>
      </c>
      <c r="BY59" s="102">
        <f ca="1">SUM(BY13:BY42)</f>
        <v>3526335.5637998278</v>
      </c>
      <c r="BZ59" s="104"/>
      <c r="CA59" s="104"/>
      <c r="CH59" s="102">
        <f t="shared" ref="CH59:CJ59" ca="1" si="88">SUM(CH13:CH42)</f>
        <v>3502007.7263498278</v>
      </c>
      <c r="CI59" s="102">
        <f t="shared" si="88"/>
        <v>0</v>
      </c>
      <c r="CJ59" s="102">
        <f t="shared" ca="1" si="88"/>
        <v>3502395.5637998278</v>
      </c>
      <c r="CK59" s="102">
        <f ca="1">SUM(CK13:CK42)</f>
        <v>1508171.7534722222</v>
      </c>
      <c r="CL59" s="102">
        <f ca="1">SUM(CL13:CL42)</f>
        <v>1274402.3316847561</v>
      </c>
      <c r="CM59" s="102">
        <f t="shared" ref="CM59:CW59" ca="1" si="89">SUM(CM13:CM42)</f>
        <v>291626.19370163907</v>
      </c>
      <c r="CN59" s="102">
        <f t="shared" ca="1" si="89"/>
        <v>291626.19370163907</v>
      </c>
      <c r="CO59" s="102"/>
      <c r="CP59" s="102"/>
      <c r="CQ59" s="102"/>
      <c r="CR59" s="102">
        <f t="shared" ca="1" si="89"/>
        <v>1000000</v>
      </c>
      <c r="CS59" s="102">
        <f t="shared" ca="1" si="89"/>
        <v>-10667000</v>
      </c>
      <c r="CT59" s="102">
        <f t="shared" ca="1" si="89"/>
        <v>-10667000</v>
      </c>
      <c r="CU59" s="102">
        <f t="shared" ca="1" si="89"/>
        <v>2566028.5253863949</v>
      </c>
      <c r="CV59" s="102">
        <f t="shared" ca="1" si="89"/>
        <v>2566028.5253863949</v>
      </c>
      <c r="CW59" s="102">
        <f t="shared" ca="1" si="89"/>
        <v>936367.03841343266</v>
      </c>
      <c r="CX59" s="102">
        <f ca="1">SUM(CX14:CX57)</f>
        <v>10263799.917032007</v>
      </c>
    </row>
    <row r="60" spans="1:103" x14ac:dyDescent="0.25">
      <c r="CN60" s="4"/>
      <c r="CO60" s="4"/>
      <c r="CP60" s="4"/>
      <c r="CQ60" s="4"/>
      <c r="CR60" s="4"/>
      <c r="CS60" s="4"/>
    </row>
    <row r="61" spans="1:103" x14ac:dyDescent="0.25">
      <c r="BZ61" s="6"/>
      <c r="CA61" s="6"/>
    </row>
    <row r="62" spans="1:103" x14ac:dyDescent="0.25">
      <c r="BT62" s="4"/>
      <c r="CN62" s="2"/>
      <c r="CO62" s="2"/>
      <c r="CP62" s="2"/>
      <c r="CR62" s="4"/>
      <c r="CS62" s="4"/>
    </row>
    <row r="63" spans="1:103" x14ac:dyDescent="0.25">
      <c r="AF63" s="4"/>
      <c r="AS63" s="4"/>
      <c r="AT63" s="4"/>
      <c r="AU63" s="4"/>
      <c r="AV63" s="4"/>
      <c r="AW63" s="4"/>
      <c r="AY63" s="4"/>
      <c r="BL63" s="4"/>
      <c r="BM63" s="4"/>
      <c r="BN63" s="4"/>
      <c r="BP63" s="4"/>
      <c r="BS63" s="187"/>
      <c r="CF63" s="4"/>
      <c r="CG63" s="4"/>
      <c r="CM63" s="4"/>
      <c r="CO63" s="4"/>
      <c r="CV63" s="4"/>
    </row>
    <row r="64" spans="1:103" x14ac:dyDescent="0.25">
      <c r="V64" s="7"/>
      <c r="CL64" s="4"/>
      <c r="CV64" s="6"/>
    </row>
    <row r="65" spans="86:86" x14ac:dyDescent="0.25">
      <c r="CH65" s="7"/>
    </row>
  </sheetData>
  <pageMargins left="0.7" right="0.7" top="0.75" bottom="0.75" header="0.3" footer="0.3"/>
  <pageSetup scale="53" orientation="landscape" r:id="rId1"/>
  <headerFooter>
    <oddFooter>&amp;L&amp;"-,Bold Italic"&amp;K002060&amp;GPrepared by Tierra Financial Advisors, LLC&amp;R&amp;"-,Italic"&amp;8Preliminary, subject to change.</oddFooter>
  </headerFooter>
  <colBreaks count="4" manualBreakCount="4">
    <brk id="32" max="1048575" man="1"/>
    <brk id="50" max="58" man="1"/>
    <brk id="67" max="58" man="1"/>
    <brk id="85" max="1048575" man="1"/>
  </colBreaks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5C4CB-0771-4552-A3E2-2DCEE58B43ED}">
  <sheetPr codeName="Sheet19">
    <pageSetUpPr fitToPage="1"/>
  </sheetPr>
  <dimension ref="D1:FC77"/>
  <sheetViews>
    <sheetView showGridLines="0" tabSelected="1" zoomScale="70" zoomScaleNormal="70" zoomScaleSheetLayoutView="100" workbookViewId="0">
      <selection activeCell="L6" sqref="L6"/>
    </sheetView>
  </sheetViews>
  <sheetFormatPr defaultRowHeight="15" outlineLevelCol="2" x14ac:dyDescent="0.25"/>
  <cols>
    <col min="3" max="3" width="8.7109375" customWidth="1"/>
    <col min="4" max="4" width="24.7109375" customWidth="1"/>
    <col min="5" max="5" width="10.5703125" hidden="1" customWidth="1"/>
    <col min="6" max="9" width="20" customWidth="1"/>
    <col min="10" max="13" width="17.85546875" customWidth="1"/>
    <col min="14" max="16" width="17.85546875" hidden="1" customWidth="1" outlineLevel="1"/>
    <col min="17" max="17" width="18.140625" customWidth="1" collapsed="1"/>
    <col min="18" max="18" width="5.28515625" style="27" customWidth="1"/>
    <col min="19" max="19" width="22.140625" customWidth="1"/>
    <col min="20" max="20" width="14.85546875" customWidth="1"/>
    <col min="21" max="26" width="18.42578125" customWidth="1"/>
    <col min="27" max="31" width="18.42578125" hidden="1" customWidth="1" outlineLevel="1"/>
    <col min="32" max="32" width="18.140625" customWidth="1" collapsed="1"/>
    <col min="33" max="33" width="5.28515625" style="27" customWidth="1"/>
    <col min="34" max="34" width="20" customWidth="1"/>
    <col min="35" max="35" width="14.85546875" customWidth="1"/>
    <col min="36" max="41" width="15.7109375" customWidth="1"/>
    <col min="42" max="43" width="15.7109375" customWidth="1" outlineLevel="1"/>
    <col min="44" max="46" width="15.5703125" customWidth="1" outlineLevel="1"/>
    <col min="47" max="47" width="18.140625" customWidth="1"/>
    <col min="48" max="48" width="13.5703125" style="27" customWidth="1"/>
    <col min="49" max="49" width="16.85546875" customWidth="1"/>
    <col min="50" max="50" width="18.28515625" bestFit="1" customWidth="1"/>
    <col min="51" max="51" width="19.140625" customWidth="1"/>
    <col min="52" max="52" width="15.140625" bestFit="1" customWidth="1"/>
    <col min="53" max="53" width="14.42578125" bestFit="1" customWidth="1"/>
    <col min="54" max="54" width="16.28515625" bestFit="1" customWidth="1"/>
    <col min="55" max="55" width="13.5703125" bestFit="1" customWidth="1"/>
    <col min="56" max="56" width="15.140625" bestFit="1" customWidth="1"/>
    <col min="57" max="58" width="13.7109375" bestFit="1" customWidth="1" outlineLevel="1"/>
    <col min="59" max="61" width="15.5703125" customWidth="1" outlineLevel="1"/>
    <col min="62" max="62" width="21.140625" bestFit="1" customWidth="1" outlineLevel="1"/>
    <col min="63" max="63" width="18.140625" customWidth="1"/>
    <col min="64" max="65" width="13.5703125" style="27" customWidth="1"/>
    <col min="66" max="72" width="15.42578125" style="27" customWidth="1"/>
    <col min="73" max="78" width="15.42578125" style="27" customWidth="1" outlineLevel="1"/>
    <col min="79" max="79" width="16" style="27" bestFit="1" customWidth="1"/>
    <col min="80" max="80" width="21.42578125" style="27" bestFit="1" customWidth="1"/>
    <col min="81" max="81" width="13.5703125" style="27" customWidth="1"/>
    <col min="82" max="82" width="24.85546875" style="27" customWidth="1"/>
    <col min="83" max="83" width="11.85546875" style="27" hidden="1" customWidth="1"/>
    <col min="84" max="87" width="19.85546875" style="27" customWidth="1"/>
    <col min="88" max="88" width="18.28515625" style="27" customWidth="1"/>
    <col min="89" max="89" width="19.140625" style="27" customWidth="1"/>
    <col min="90" max="91" width="16.7109375" style="27" customWidth="1"/>
    <col min="92" max="94" width="16.7109375" style="27" hidden="1" customWidth="1" outlineLevel="1"/>
    <col min="95" max="95" width="20.140625" bestFit="1" customWidth="1" collapsed="1"/>
    <col min="96" max="96" width="6.140625" customWidth="1"/>
    <col min="97" max="97" width="24.85546875" style="27" customWidth="1"/>
    <col min="98" max="98" width="19.140625" style="27" customWidth="1"/>
    <col min="99" max="99" width="20.42578125" style="27" bestFit="1" customWidth="1"/>
    <col min="100" max="106" width="19.140625" style="27" customWidth="1"/>
    <col min="107" max="109" width="19.140625" style="27" hidden="1" customWidth="1" outlineLevel="1"/>
    <col min="110" max="110" width="19.140625" customWidth="1" collapsed="1"/>
    <col min="111" max="111" width="6.140625" customWidth="1"/>
    <col min="112" max="113" width="19" customWidth="1" outlineLevel="2"/>
    <col min="114" max="114" width="15.42578125" bestFit="1" customWidth="1" outlineLevel="2"/>
    <col min="115" max="115" width="11.5703125" customWidth="1" outlineLevel="2"/>
    <col min="116" max="116" width="12.28515625" bestFit="1" customWidth="1" outlineLevel="2"/>
    <col min="117" max="117" width="12.85546875" bestFit="1" customWidth="1" outlineLevel="2"/>
    <col min="118" max="118" width="12" bestFit="1" customWidth="1" outlineLevel="2"/>
    <col min="119" max="119" width="11.5703125" bestFit="1" customWidth="1" outlineLevel="2"/>
    <col min="120" max="120" width="12" bestFit="1" customWidth="1" outlineLevel="2"/>
    <col min="121" max="121" width="12.42578125" bestFit="1" customWidth="1" outlineLevel="2"/>
    <col min="122" max="124" width="12.140625" bestFit="1" customWidth="1" outlineLevel="2"/>
    <col min="125" max="125" width="9.7109375" bestFit="1" customWidth="1" outlineLevel="2"/>
    <col min="126" max="126" width="9.140625" customWidth="1" outlineLevel="1"/>
    <col min="127" max="129" width="19" customWidth="1"/>
    <col min="130" max="137" width="15.5703125" customWidth="1"/>
    <col min="138" max="140" width="15.5703125" customWidth="1" outlineLevel="1"/>
    <col min="141" max="141" width="18.7109375" customWidth="1" outlineLevel="1"/>
    <col min="142" max="142" width="16.7109375" bestFit="1" customWidth="1"/>
    <col min="144" max="146" width="19" customWidth="1"/>
    <col min="147" max="154" width="15.5703125" customWidth="1"/>
    <col min="155" max="157" width="15.5703125" customWidth="1" outlineLevel="1"/>
    <col min="158" max="158" width="18.7109375" customWidth="1" outlineLevel="1"/>
    <col min="159" max="159" width="16.7109375" bestFit="1" customWidth="1"/>
  </cols>
  <sheetData>
    <row r="1" spans="4:159" ht="26.25" x14ac:dyDescent="0.4">
      <c r="D1" s="111" t="str">
        <f>METRO</f>
        <v>Viridian Farm Public Improvement District</v>
      </c>
      <c r="E1" s="111"/>
      <c r="S1" s="111" t="str">
        <f>METRO</f>
        <v>Viridian Farm Public Improvement District</v>
      </c>
      <c r="T1" s="111"/>
      <c r="AH1" s="111"/>
      <c r="AI1" s="111"/>
      <c r="AW1" s="111" t="str">
        <f>METRO</f>
        <v>Viridian Farm Public Improvement District</v>
      </c>
      <c r="AX1" s="111"/>
      <c r="CD1" s="111" t="str">
        <f>METRO</f>
        <v>Viridian Farm Public Improvement District</v>
      </c>
      <c r="CE1" s="111"/>
      <c r="CS1" s="111" t="str">
        <f>METRO</f>
        <v>Viridian Farm Public Improvement District</v>
      </c>
      <c r="CT1" s="111"/>
      <c r="DH1" s="111"/>
      <c r="DI1" s="111"/>
      <c r="DW1" s="111"/>
      <c r="DX1" s="111"/>
      <c r="DY1" s="111"/>
      <c r="EN1" s="111"/>
      <c r="EO1" s="111"/>
      <c r="EP1" s="111"/>
    </row>
    <row r="2" spans="4:159" ht="18.75" x14ac:dyDescent="0.3">
      <c r="D2" s="110" t="s">
        <v>476</v>
      </c>
      <c r="E2" s="110"/>
      <c r="S2" s="110" t="str">
        <f>D2</f>
        <v>Adams County, Colorado</v>
      </c>
      <c r="T2" s="110"/>
      <c r="AH2" s="110"/>
      <c r="AI2" s="110"/>
      <c r="AW2" s="110" t="str">
        <f>"City of " &amp; CITY &amp; " / " &amp; COUNTY &amp; " County "</f>
        <v xml:space="preserve">City of Salem / Utah County </v>
      </c>
      <c r="AX2" s="110"/>
      <c r="CD2" s="110" t="str">
        <f>D2</f>
        <v>Adams County, Colorado</v>
      </c>
      <c r="CE2" s="110"/>
      <c r="CS2" s="110" t="str">
        <f>CD2</f>
        <v>Adams County, Colorado</v>
      </c>
      <c r="CT2" s="110"/>
      <c r="DH2" s="110"/>
      <c r="DI2" s="110"/>
      <c r="DW2" s="110"/>
      <c r="DX2" s="110"/>
      <c r="DY2" s="110"/>
      <c r="EN2" s="110"/>
      <c r="EO2" s="110"/>
      <c r="EP2" s="110"/>
    </row>
    <row r="3" spans="4:159" ht="15.75" x14ac:dyDescent="0.25">
      <c r="D3" s="109" t="str">
        <f>ANALYSIS</f>
        <v>Development Projections at 3.000 Mills for Debt Service</v>
      </c>
      <c r="E3" s="109"/>
      <c r="S3" s="109" t="str">
        <f>ANALYSIS</f>
        <v>Development Projections at 3.000 Mills for Debt Service</v>
      </c>
      <c r="T3" s="109"/>
      <c r="AH3" s="109"/>
      <c r="AI3" s="109"/>
      <c r="AW3" s="109" t="str">
        <f>ANALYSIS</f>
        <v>Development Projections at 3.000 Mills for Debt Service</v>
      </c>
      <c r="AX3" s="109"/>
      <c r="CD3" s="109" t="str">
        <f>ANALYSIS</f>
        <v>Development Projections at 3.000 Mills for Debt Service</v>
      </c>
      <c r="CE3" s="109"/>
      <c r="CS3" s="109" t="str">
        <f>ANALYSIS</f>
        <v>Development Projections at 3.000 Mills for Debt Service</v>
      </c>
      <c r="CT3" s="109"/>
      <c r="DH3" s="109"/>
      <c r="DI3" s="109"/>
      <c r="DW3" s="109"/>
      <c r="DX3" s="109"/>
      <c r="DY3" s="109"/>
      <c r="EN3" s="109"/>
      <c r="EO3" s="109"/>
      <c r="EP3" s="109"/>
    </row>
    <row r="4" spans="4:159" x14ac:dyDescent="0.25">
      <c r="D4" s="99" t="str">
        <f ca="1">SENIOR_BONDS_SERIES &amp; " - " &amp;TEXT('Sources and Uses - First'!$B$12/1000000,"$0.00") &amp; "MM " &amp; "(" &amp; TEXT(DSC_SENIOR_LIEN_BONDS,"0.00x") &amp; ")" &amp; " and " &amp; SUB_BONDS_SERIES &amp; " - " &amp;TEXT('Sources and Uses - First'!$D$12/1000000,"$0.00") &amp; "MM " &amp; "(" &amp; TEXT(DSC_SUB_LIEN_BONDS,"0.00x") &amp; ")"</f>
        <v>Series 2024A - $5.69MM (1.30x) and Series 2024B - $1.00MM (1.00x)</v>
      </c>
      <c r="E4" s="99"/>
      <c r="S4" s="99" t="str">
        <f ca="1">SENIOR_BONDS_SERIES &amp; " - " &amp;TEXT('Sources and Uses - First'!$B$12/1000000,"$0.00") &amp; "MM " &amp; "(" &amp; TEXT(DSC_SENIOR_LIEN_BONDS,"0.00x") &amp; ")" &amp; " and " &amp; SUB_BONDS_SERIES &amp; " - " &amp;TEXT('Sources and Uses - First'!$D$12/1000000,"$0.00") &amp; "MM " &amp; "(" &amp; TEXT(DSC_SUB_LIEN_BONDS,"0.00x") &amp; ")"</f>
        <v>Series 2024A - $5.69MM (1.30x) and Series 2024B - $1.00MM (1.00x)</v>
      </c>
      <c r="T4" s="99"/>
      <c r="AH4" s="99"/>
      <c r="AI4" s="99"/>
      <c r="AW4" s="99" t="str">
        <f ca="1">SENIOR_BONDS_SERIES &amp; " - " &amp;TEXT('Sources and Uses - First'!$B$12/1000000,"$0.00") &amp; "MM " &amp; "(" &amp; TEXT(DSC_SENIOR_LIEN_BONDS,"0.00x") &amp; ")" &amp; " and " &amp; SUB_BONDS_SERIES &amp; " - " &amp;TEXT('Sources and Uses - First'!$D$12/1000000,"$0.00") &amp; "MM " &amp; "(" &amp; TEXT(DSC_SUB_LIEN_BONDS,"0.00x") &amp; ")"</f>
        <v>Series 2024A - $5.69MM (1.30x) and Series 2024B - $1.00MM (1.00x)</v>
      </c>
      <c r="AX4" s="99"/>
      <c r="CD4" s="99" t="str">
        <f ca="1">SENIOR_BONDS_SERIES &amp; " - " &amp;TEXT('Sources and Uses - First'!$B$12/1000000,"$0.00") &amp; "MM " &amp; "(" &amp; TEXT(DSC_SENIOR_LIEN_BONDS,"0.00x") &amp; ")" &amp; " and " &amp; SUB_BONDS_SERIES &amp; " - " &amp;TEXT('Sources and Uses - First'!$D$12/1000000,"$0.00") &amp; "MM " &amp; "(" &amp; TEXT(DSC_SUB_LIEN_BONDS,"0.00x") &amp; ")"</f>
        <v>Series 2024A - $5.69MM (1.30x) and Series 2024B - $1.00MM (1.00x)</v>
      </c>
      <c r="CE4" s="99"/>
      <c r="CS4" s="99" t="str">
        <f ca="1">SENIOR_BONDS_SERIES &amp; " - " &amp;TEXT('Sources and Uses - First'!$B$12/1000000,"$0.00") &amp; "MM " &amp; "(" &amp; TEXT(DSC_SENIOR_LIEN_BONDS,"0.00x") &amp; ")" &amp; " and " &amp; SUB_BONDS_SERIES &amp; " - " &amp;TEXT('Sources and Uses - First'!$D$12/1000000,"$0.00") &amp; "MM " &amp; "(" &amp; TEXT(DSC_SUB_LIEN_BONDS,"0.00x") &amp; ")"</f>
        <v>Series 2024A - $5.69MM (1.30x) and Series 2024B - $1.00MM (1.00x)</v>
      </c>
      <c r="CT4" s="99"/>
      <c r="DH4" s="99"/>
      <c r="DI4" s="99"/>
      <c r="DW4" s="99"/>
      <c r="DX4" s="99"/>
      <c r="DY4" s="99"/>
      <c r="EN4" s="99"/>
      <c r="EO4" s="99"/>
      <c r="EP4" s="99"/>
    </row>
    <row r="5" spans="4:159" x14ac:dyDescent="0.25">
      <c r="D5" s="99"/>
      <c r="E5" s="99"/>
      <c r="S5" s="99"/>
      <c r="T5" s="99"/>
      <c r="AH5" s="99"/>
      <c r="AI5" s="99"/>
      <c r="AW5" s="99"/>
      <c r="AX5" s="99"/>
      <c r="DK5" s="131"/>
    </row>
    <row r="6" spans="4:159" x14ac:dyDescent="0.25">
      <c r="D6" s="101" t="s">
        <v>336</v>
      </c>
      <c r="S6" s="101" t="str">
        <f>"LOT DELIVERY SCENARIO @ " &amp; TEXT(LOT_DELIVERY_SCENARIO,"0.00%")</f>
        <v>LOT DELIVERY SCENARIO @ 100.00%</v>
      </c>
      <c r="AH6" s="101" t="s">
        <v>336</v>
      </c>
      <c r="CD6" s="171" t="s">
        <v>212</v>
      </c>
      <c r="CE6" s="171"/>
      <c r="CF6" s="101"/>
      <c r="CG6" s="101"/>
      <c r="CH6" s="101"/>
      <c r="CI6" s="101"/>
      <c r="CJ6" s="101"/>
      <c r="CK6" s="101"/>
      <c r="CL6" s="101"/>
      <c r="CM6" s="101"/>
      <c r="CN6" s="101"/>
      <c r="CO6" s="101"/>
      <c r="CP6" s="101"/>
      <c r="CQ6" s="101"/>
      <c r="CS6" s="171" t="str">
        <f>"DEVELOPMENT PROJECTIONS @ " &amp; TEXT(ABSORPTION_SCENARIO,"0.00%")</f>
        <v>DEVELOPMENT PROJECTIONS @ 100.00%</v>
      </c>
      <c r="CT6" s="171"/>
      <c r="CU6" s="101"/>
      <c r="CV6" s="101"/>
      <c r="CW6" s="101"/>
      <c r="CX6" s="101"/>
      <c r="CY6" s="101"/>
      <c r="CZ6" s="101"/>
      <c r="DA6" s="101"/>
      <c r="DB6" s="101"/>
      <c r="DC6" s="101"/>
      <c r="DD6" s="101"/>
      <c r="DE6" s="101"/>
      <c r="DF6" s="101"/>
      <c r="DH6" s="101" t="s">
        <v>312</v>
      </c>
      <c r="DI6" s="101"/>
      <c r="DW6" s="101" t="s">
        <v>212</v>
      </c>
      <c r="DX6" s="101"/>
      <c r="DY6" s="101"/>
      <c r="EG6" s="6"/>
      <c r="EN6" s="101" t="s">
        <v>212</v>
      </c>
      <c r="EO6" s="101"/>
      <c r="EP6" s="101"/>
      <c r="EX6" s="6"/>
    </row>
    <row r="7" spans="4:159" x14ac:dyDescent="0.25">
      <c r="CQ7" s="27"/>
      <c r="DF7" s="27"/>
      <c r="DJ7" s="203"/>
    </row>
    <row r="8" spans="4:159" x14ac:dyDescent="0.25">
      <c r="D8" s="163" t="s">
        <v>337</v>
      </c>
      <c r="E8" s="163"/>
      <c r="F8" s="106"/>
      <c r="G8" s="106"/>
      <c r="H8" s="106"/>
      <c r="I8" s="106"/>
      <c r="J8" s="106"/>
      <c r="K8" s="106"/>
      <c r="L8" s="285"/>
      <c r="M8" s="285"/>
      <c r="N8" s="285"/>
      <c r="O8" s="285"/>
      <c r="P8" s="106"/>
      <c r="Q8" s="106"/>
      <c r="S8" s="163" t="s">
        <v>337</v>
      </c>
      <c r="T8" s="163"/>
      <c r="U8" s="106"/>
      <c r="V8" s="106"/>
      <c r="W8" s="106"/>
      <c r="X8" s="106"/>
      <c r="Y8" s="106"/>
      <c r="Z8" s="106"/>
      <c r="AA8" s="285"/>
      <c r="AB8" s="285"/>
      <c r="AC8" s="106"/>
      <c r="AD8" s="106"/>
      <c r="AE8" s="106"/>
      <c r="AF8" s="106"/>
      <c r="AH8" s="163" t="s">
        <v>338</v>
      </c>
      <c r="AI8" s="163"/>
      <c r="AJ8" s="106"/>
      <c r="AK8" s="106"/>
      <c r="AL8" s="106"/>
      <c r="AM8" s="106"/>
      <c r="AN8" s="106"/>
      <c r="AO8" s="106"/>
      <c r="AP8" s="285"/>
      <c r="AQ8" s="285"/>
      <c r="AR8" s="106"/>
      <c r="AS8" s="106"/>
      <c r="AT8" s="106"/>
      <c r="AU8" s="106"/>
      <c r="AW8" s="163" t="s">
        <v>316</v>
      </c>
      <c r="AX8" s="163"/>
      <c r="AY8" s="106"/>
      <c r="AZ8" s="106"/>
      <c r="BA8" s="106"/>
      <c r="BB8" s="106"/>
      <c r="BC8" s="106"/>
      <c r="BD8" s="106"/>
      <c r="BE8" s="285"/>
      <c r="BF8" s="285"/>
      <c r="BG8" s="106"/>
      <c r="BH8" s="106"/>
      <c r="BI8" s="106"/>
      <c r="BJ8" s="106"/>
      <c r="BK8" s="106"/>
      <c r="BM8" s="163" t="s">
        <v>360</v>
      </c>
      <c r="BN8" s="163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/>
      <c r="CD8" s="164" t="s">
        <v>179</v>
      </c>
      <c r="CE8" s="164"/>
      <c r="CF8" s="291"/>
      <c r="CG8" s="113"/>
      <c r="CH8" s="113"/>
      <c r="CI8" s="113"/>
      <c r="CJ8" s="113"/>
      <c r="CK8" s="113"/>
      <c r="CL8" s="113"/>
      <c r="CM8" s="113"/>
      <c r="CN8" s="113"/>
      <c r="CO8" s="113"/>
      <c r="CP8" s="113"/>
      <c r="CQ8" s="113"/>
      <c r="CS8" s="164" t="s">
        <v>179</v>
      </c>
      <c r="CT8" s="164"/>
      <c r="CU8" s="291"/>
      <c r="CV8" s="113"/>
      <c r="CW8" s="113"/>
      <c r="CX8" s="113"/>
      <c r="CY8" s="113"/>
      <c r="CZ8" s="113"/>
      <c r="DA8" s="113"/>
      <c r="DB8" s="113"/>
      <c r="DC8" s="113"/>
      <c r="DD8" s="113"/>
      <c r="DE8" s="113"/>
      <c r="DF8" s="113"/>
      <c r="DH8" s="164"/>
      <c r="DI8" s="164"/>
      <c r="DJ8" s="401"/>
      <c r="DK8" s="113"/>
      <c r="DL8" s="113"/>
      <c r="DM8" s="113"/>
      <c r="DN8" s="113"/>
      <c r="DO8" s="113"/>
      <c r="DP8" s="113"/>
      <c r="DQ8" s="113"/>
      <c r="DR8" s="113"/>
      <c r="DS8" s="113"/>
      <c r="DT8" s="113"/>
      <c r="DU8" s="113"/>
      <c r="DW8" s="164" t="s">
        <v>339</v>
      </c>
      <c r="DX8" s="164"/>
      <c r="DY8" s="164"/>
      <c r="DZ8" s="113"/>
      <c r="EA8" s="113"/>
      <c r="EB8" s="113"/>
      <c r="EC8" s="113"/>
      <c r="ED8" s="113"/>
      <c r="EE8" s="113"/>
      <c r="EF8" s="113"/>
      <c r="EG8" s="113"/>
      <c r="EH8" s="113"/>
      <c r="EI8" s="113"/>
      <c r="EJ8" s="113"/>
      <c r="EK8" s="113"/>
      <c r="EL8" s="113"/>
      <c r="EN8" s="164" t="s">
        <v>501</v>
      </c>
      <c r="EO8" s="164"/>
      <c r="EP8" s="164"/>
      <c r="EQ8" s="113"/>
      <c r="ER8" s="113"/>
      <c r="ES8" s="113"/>
      <c r="ET8" s="113"/>
      <c r="EU8" s="113"/>
      <c r="EV8" s="113"/>
      <c r="EW8" s="113"/>
      <c r="EX8" s="113"/>
      <c r="EY8" s="113"/>
      <c r="EZ8" s="113"/>
      <c r="FA8" s="113"/>
      <c r="FB8" s="113"/>
      <c r="FC8" s="113"/>
    </row>
    <row r="9" spans="4:159" ht="36" customHeight="1" x14ac:dyDescent="0.25">
      <c r="D9" s="315" t="s">
        <v>450</v>
      </c>
      <c r="E9" s="317" t="s">
        <v>314</v>
      </c>
      <c r="F9" s="317" t="str">
        <f t="array" ref="F9:P9">TRANSPOSE('Inputs - First'!$E$113:$E$123)</f>
        <v>Rear-Load Townhome</v>
      </c>
      <c r="G9" s="317" t="str">
        <v>Front-Load Townhome</v>
      </c>
      <c r="H9" s="317" t="str">
        <v>Alley-Load Cottages</v>
      </c>
      <c r="I9" s="317" t="str">
        <v>Front-Load Cottages</v>
      </c>
      <c r="J9" s="317" t="str">
        <v>8,000 Lots</v>
      </c>
      <c r="K9" s="317" t="str">
        <v>12,000 Lots</v>
      </c>
      <c r="L9" s="317" t="str">
        <v>18,000 Lots</v>
      </c>
      <c r="M9" s="317" t="str">
        <v>21,000 Lots</v>
      </c>
      <c r="N9" s="317">
        <v>0</v>
      </c>
      <c r="O9" s="317">
        <v>0</v>
      </c>
      <c r="P9" s="317">
        <v>0</v>
      </c>
      <c r="S9" s="315" t="s">
        <v>450</v>
      </c>
      <c r="T9" s="317" t="str">
        <f>E9</f>
        <v>Existing</v>
      </c>
      <c r="U9" s="317" t="str">
        <f t="shared" ref="U9:AE9" si="0">F9</f>
        <v>Rear-Load Townhome</v>
      </c>
      <c r="V9" s="317" t="str">
        <f t="shared" si="0"/>
        <v>Front-Load Townhome</v>
      </c>
      <c r="W9" s="317" t="str">
        <f t="shared" si="0"/>
        <v>Alley-Load Cottages</v>
      </c>
      <c r="X9" s="317" t="str">
        <f t="shared" si="0"/>
        <v>Front-Load Cottages</v>
      </c>
      <c r="Y9" s="317" t="str">
        <f t="shared" si="0"/>
        <v>8,000 Lots</v>
      </c>
      <c r="Z9" s="317" t="str">
        <f t="shared" si="0"/>
        <v>12,000 Lots</v>
      </c>
      <c r="AA9" s="317" t="str">
        <f t="shared" si="0"/>
        <v>18,000 Lots</v>
      </c>
      <c r="AB9" s="317" t="str">
        <f t="shared" si="0"/>
        <v>21,000 Lots</v>
      </c>
      <c r="AC9" s="317">
        <f t="shared" si="0"/>
        <v>0</v>
      </c>
      <c r="AD9" s="317">
        <f t="shared" si="0"/>
        <v>0</v>
      </c>
      <c r="AE9" s="317">
        <f t="shared" si="0"/>
        <v>0</v>
      </c>
      <c r="AH9" s="315" t="s">
        <v>450</v>
      </c>
      <c r="AI9" s="317" t="str">
        <f>E9</f>
        <v>Existing</v>
      </c>
      <c r="AJ9" s="317" t="str">
        <f t="shared" ref="AJ9:AT9" si="1">F9</f>
        <v>Rear-Load Townhome</v>
      </c>
      <c r="AK9" s="317" t="str">
        <f t="shared" si="1"/>
        <v>Front-Load Townhome</v>
      </c>
      <c r="AL9" s="317" t="str">
        <f t="shared" si="1"/>
        <v>Alley-Load Cottages</v>
      </c>
      <c r="AM9" s="317" t="str">
        <f t="shared" si="1"/>
        <v>Front-Load Cottages</v>
      </c>
      <c r="AN9" s="317" t="str">
        <f t="shared" si="1"/>
        <v>8,000 Lots</v>
      </c>
      <c r="AO9" s="317" t="str">
        <f t="shared" si="1"/>
        <v>12,000 Lots</v>
      </c>
      <c r="AP9" s="317" t="str">
        <f t="shared" si="1"/>
        <v>18,000 Lots</v>
      </c>
      <c r="AQ9" s="317" t="str">
        <f t="shared" si="1"/>
        <v>21,000 Lots</v>
      </c>
      <c r="AR9" s="317">
        <f t="shared" si="1"/>
        <v>0</v>
      </c>
      <c r="AS9" s="317">
        <f t="shared" si="1"/>
        <v>0</v>
      </c>
      <c r="AT9" s="317">
        <f t="shared" si="1"/>
        <v>0</v>
      </c>
      <c r="AW9" s="315" t="s">
        <v>450</v>
      </c>
      <c r="AX9" s="316" t="str">
        <f>E9</f>
        <v>Existing</v>
      </c>
      <c r="AY9" s="316" t="str">
        <f t="shared" ref="AY9:BI12" si="2">F9</f>
        <v>Rear-Load Townhome</v>
      </c>
      <c r="AZ9" s="316" t="str">
        <f t="shared" si="2"/>
        <v>Front-Load Townhome</v>
      </c>
      <c r="BA9" s="316" t="str">
        <f t="shared" si="2"/>
        <v>Alley-Load Cottages</v>
      </c>
      <c r="BB9" s="316" t="str">
        <f t="shared" si="2"/>
        <v>Front-Load Cottages</v>
      </c>
      <c r="BC9" s="316" t="str">
        <f t="shared" si="2"/>
        <v>8,000 Lots</v>
      </c>
      <c r="BD9" s="316" t="str">
        <f t="shared" si="2"/>
        <v>12,000 Lots</v>
      </c>
      <c r="BE9" s="316" t="str">
        <f t="shared" si="2"/>
        <v>18,000 Lots</v>
      </c>
      <c r="BF9" s="316" t="str">
        <f t="shared" si="2"/>
        <v>21,000 Lots</v>
      </c>
      <c r="BG9" s="316">
        <f t="shared" si="2"/>
        <v>0</v>
      </c>
      <c r="BH9" s="316">
        <f t="shared" si="2"/>
        <v>0</v>
      </c>
      <c r="BI9" s="316">
        <f t="shared" si="2"/>
        <v>0</v>
      </c>
      <c r="BM9" s="315" t="s">
        <v>450</v>
      </c>
      <c r="BN9" s="317" t="str">
        <f>E9</f>
        <v>Existing</v>
      </c>
      <c r="BO9" s="317" t="str">
        <f t="shared" ref="BO9:BY9" si="3">F9</f>
        <v>Rear-Load Townhome</v>
      </c>
      <c r="BP9" s="317" t="str">
        <f t="shared" si="3"/>
        <v>Front-Load Townhome</v>
      </c>
      <c r="BQ9" s="317" t="str">
        <f t="shared" si="3"/>
        <v>Alley-Load Cottages</v>
      </c>
      <c r="BR9" s="317" t="str">
        <f t="shared" si="3"/>
        <v>Front-Load Cottages</v>
      </c>
      <c r="BS9" s="317" t="str">
        <f t="shared" si="3"/>
        <v>8,000 Lots</v>
      </c>
      <c r="BT9" s="317" t="str">
        <f t="shared" si="3"/>
        <v>12,000 Lots</v>
      </c>
      <c r="BU9" s="317" t="str">
        <f t="shared" si="3"/>
        <v>18,000 Lots</v>
      </c>
      <c r="BV9" s="317" t="str">
        <f t="shared" si="3"/>
        <v>21,000 Lots</v>
      </c>
      <c r="BW9" s="317">
        <f t="shared" si="3"/>
        <v>0</v>
      </c>
      <c r="BX9" s="317">
        <f t="shared" si="3"/>
        <v>0</v>
      </c>
      <c r="BY9" s="317">
        <f t="shared" si="3"/>
        <v>0</v>
      </c>
      <c r="BZ9"/>
      <c r="CA9"/>
      <c r="CB9"/>
      <c r="CD9" s="315" t="s">
        <v>450</v>
      </c>
      <c r="CE9" s="318" t="str">
        <f>E9</f>
        <v>Existing</v>
      </c>
      <c r="CF9" s="318" t="str">
        <f t="shared" ref="CF9:CP10" si="4">F9</f>
        <v>Rear-Load Townhome</v>
      </c>
      <c r="CG9" s="318" t="str">
        <f t="shared" si="4"/>
        <v>Front-Load Townhome</v>
      </c>
      <c r="CH9" s="318" t="str">
        <f t="shared" si="4"/>
        <v>Alley-Load Cottages</v>
      </c>
      <c r="CI9" s="318" t="str">
        <f t="shared" si="4"/>
        <v>Front-Load Cottages</v>
      </c>
      <c r="CJ9" s="318" t="str">
        <f t="shared" si="4"/>
        <v>8,000 Lots</v>
      </c>
      <c r="CK9" s="318" t="str">
        <f t="shared" si="4"/>
        <v>12,000 Lots</v>
      </c>
      <c r="CL9" s="318" t="str">
        <f t="shared" si="4"/>
        <v>18,000 Lots</v>
      </c>
      <c r="CM9" s="318" t="str">
        <f t="shared" si="4"/>
        <v>21,000 Lots</v>
      </c>
      <c r="CN9" s="318">
        <f t="shared" si="4"/>
        <v>0</v>
      </c>
      <c r="CO9" s="318">
        <f t="shared" si="4"/>
        <v>0</v>
      </c>
      <c r="CP9" s="318">
        <f t="shared" si="4"/>
        <v>0</v>
      </c>
      <c r="CQ9" s="27"/>
      <c r="CS9" s="315" t="s">
        <v>450</v>
      </c>
      <c r="CT9" s="318" t="str">
        <f>E9</f>
        <v>Existing</v>
      </c>
      <c r="CU9" s="318" t="str">
        <f t="shared" ref="CU9:DE10" si="5">F9</f>
        <v>Rear-Load Townhome</v>
      </c>
      <c r="CV9" s="318" t="str">
        <f t="shared" si="5"/>
        <v>Front-Load Townhome</v>
      </c>
      <c r="CW9" s="318" t="str">
        <f t="shared" si="5"/>
        <v>Alley-Load Cottages</v>
      </c>
      <c r="CX9" s="318" t="str">
        <f t="shared" si="5"/>
        <v>Front-Load Cottages</v>
      </c>
      <c r="CY9" s="318" t="str">
        <f t="shared" si="5"/>
        <v>8,000 Lots</v>
      </c>
      <c r="CZ9" s="318" t="str">
        <f t="shared" si="5"/>
        <v>12,000 Lots</v>
      </c>
      <c r="DA9" s="318" t="str">
        <f t="shared" si="5"/>
        <v>18,000 Lots</v>
      </c>
      <c r="DB9" s="318" t="str">
        <f t="shared" si="5"/>
        <v>21,000 Lots</v>
      </c>
      <c r="DC9" s="318">
        <f t="shared" si="5"/>
        <v>0</v>
      </c>
      <c r="DD9" s="318">
        <f t="shared" si="5"/>
        <v>0</v>
      </c>
      <c r="DE9" s="318">
        <f t="shared" si="5"/>
        <v>0</v>
      </c>
      <c r="DF9" s="27"/>
      <c r="DH9" s="315" t="s">
        <v>450</v>
      </c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W9" s="315" t="s">
        <v>450</v>
      </c>
      <c r="DX9" s="27"/>
      <c r="DY9" s="27"/>
      <c r="DZ9" s="406" t="str">
        <f>CU9</f>
        <v>Rear-Load Townhome</v>
      </c>
      <c r="EA9" s="406" t="str">
        <f t="shared" ref="EA9:EG9" si="6">CV9</f>
        <v>Front-Load Townhome</v>
      </c>
      <c r="EB9" s="406" t="str">
        <f t="shared" si="6"/>
        <v>Alley-Load Cottages</v>
      </c>
      <c r="EC9" s="406" t="str">
        <f t="shared" si="6"/>
        <v>Front-Load Cottages</v>
      </c>
      <c r="ED9" s="406" t="str">
        <f t="shared" si="6"/>
        <v>8,000 Lots</v>
      </c>
      <c r="EE9" s="406" t="str">
        <f t="shared" si="6"/>
        <v>12,000 Lots</v>
      </c>
      <c r="EF9" s="406" t="str">
        <f t="shared" si="6"/>
        <v>18,000 Lots</v>
      </c>
      <c r="EG9" s="406" t="str">
        <f t="shared" si="6"/>
        <v>21,000 Lots</v>
      </c>
      <c r="EH9" s="27"/>
      <c r="EI9" s="27"/>
      <c r="EJ9" s="27"/>
      <c r="EK9" s="27"/>
      <c r="EL9" s="27"/>
      <c r="EN9" s="315" t="s">
        <v>450</v>
      </c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</row>
    <row r="10" spans="4:159" x14ac:dyDescent="0.25">
      <c r="D10" s="199" t="s">
        <v>309</v>
      </c>
      <c r="E10" s="323"/>
      <c r="F10" s="281">
        <v>139</v>
      </c>
      <c r="G10" s="281">
        <v>327</v>
      </c>
      <c r="H10" s="281">
        <v>30</v>
      </c>
      <c r="I10" s="281">
        <v>88</v>
      </c>
      <c r="J10" s="281">
        <v>23</v>
      </c>
      <c r="K10" s="281">
        <v>67</v>
      </c>
      <c r="L10" s="281">
        <v>41</v>
      </c>
      <c r="M10" s="281">
        <v>1</v>
      </c>
      <c r="N10" s="281">
        <v>0</v>
      </c>
      <c r="O10" s="281">
        <v>0</v>
      </c>
      <c r="P10" s="200">
        <v>0</v>
      </c>
      <c r="Q10" s="283">
        <f>SUM(E10:P10)</f>
        <v>716</v>
      </c>
      <c r="S10" s="199" t="str">
        <f>D10</f>
        <v>Total Units</v>
      </c>
      <c r="T10" s="201">
        <f>E10</f>
        <v>0</v>
      </c>
      <c r="U10" s="201">
        <f>F10</f>
        <v>139</v>
      </c>
      <c r="V10" s="201">
        <f t="shared" ref="V10:AE12" si="7">G10</f>
        <v>327</v>
      </c>
      <c r="W10" s="201">
        <f t="shared" si="7"/>
        <v>30</v>
      </c>
      <c r="X10" s="201">
        <f t="shared" si="7"/>
        <v>88</v>
      </c>
      <c r="Y10" s="201">
        <f t="shared" si="7"/>
        <v>23</v>
      </c>
      <c r="Z10" s="201">
        <f t="shared" si="7"/>
        <v>67</v>
      </c>
      <c r="AA10" s="201">
        <f t="shared" si="7"/>
        <v>41</v>
      </c>
      <c r="AB10" s="201">
        <f t="shared" si="7"/>
        <v>1</v>
      </c>
      <c r="AC10" s="201">
        <f t="shared" si="7"/>
        <v>0</v>
      </c>
      <c r="AD10" s="201">
        <f t="shared" si="7"/>
        <v>0</v>
      </c>
      <c r="AE10" s="201">
        <f t="shared" si="7"/>
        <v>0</v>
      </c>
      <c r="AF10" s="201">
        <f>SUM(T10:AC10)</f>
        <v>716</v>
      </c>
      <c r="AH10" s="199" t="s">
        <v>309</v>
      </c>
      <c r="AI10" s="199"/>
      <c r="AJ10" s="234">
        <f t="shared" ref="AJ10:AO10" si="8">F10</f>
        <v>139</v>
      </c>
      <c r="AK10" s="234">
        <f t="shared" si="8"/>
        <v>327</v>
      </c>
      <c r="AL10" s="234">
        <f t="shared" si="8"/>
        <v>30</v>
      </c>
      <c r="AM10" s="234">
        <f t="shared" si="8"/>
        <v>88</v>
      </c>
      <c r="AN10" s="234">
        <f t="shared" si="8"/>
        <v>23</v>
      </c>
      <c r="AO10" s="234">
        <f t="shared" si="8"/>
        <v>67</v>
      </c>
      <c r="AP10" s="234">
        <f t="shared" ref="AP10:AP12" si="9">L10</f>
        <v>41</v>
      </c>
      <c r="AQ10" s="234">
        <f t="shared" ref="AQ10:AQ12" si="10">M10</f>
        <v>1</v>
      </c>
      <c r="AR10" s="234">
        <f t="shared" ref="AR10:AR12" si="11">N10</f>
        <v>0</v>
      </c>
      <c r="AS10" s="234">
        <f t="shared" ref="AS10:AS12" si="12">O10</f>
        <v>0</v>
      </c>
      <c r="AT10" s="234">
        <f t="shared" ref="AT10:AT12" si="13">P10</f>
        <v>0</v>
      </c>
      <c r="AU10" s="201">
        <f>SUM(AJ10:AR10)</f>
        <v>716</v>
      </c>
      <c r="AW10" s="199" t="s">
        <v>309</v>
      </c>
      <c r="AX10" s="199"/>
      <c r="AY10" s="234">
        <f>F10</f>
        <v>139</v>
      </c>
      <c r="AZ10" s="234">
        <f t="shared" si="2"/>
        <v>327</v>
      </c>
      <c r="BA10" s="234">
        <f t="shared" si="2"/>
        <v>30</v>
      </c>
      <c r="BB10" s="234">
        <f t="shared" si="2"/>
        <v>88</v>
      </c>
      <c r="BC10" s="234">
        <f t="shared" si="2"/>
        <v>23</v>
      </c>
      <c r="BD10" s="234">
        <f t="shared" si="2"/>
        <v>67</v>
      </c>
      <c r="BE10" s="234">
        <f t="shared" si="2"/>
        <v>41</v>
      </c>
      <c r="BF10" s="234">
        <f t="shared" si="2"/>
        <v>1</v>
      </c>
      <c r="BG10" s="234">
        <f t="shared" si="2"/>
        <v>0</v>
      </c>
      <c r="BH10" s="234">
        <f t="shared" si="2"/>
        <v>0</v>
      </c>
      <c r="BI10" s="234">
        <f t="shared" si="2"/>
        <v>0</v>
      </c>
      <c r="BJ10" s="200"/>
      <c r="BK10" s="201">
        <f>SUM(AY10:BG10)</f>
        <v>716</v>
      </c>
      <c r="BM10" s="199" t="s">
        <v>309</v>
      </c>
      <c r="BN10" s="199"/>
      <c r="BO10" s="234">
        <f>F10</f>
        <v>139</v>
      </c>
      <c r="BP10" s="234">
        <f t="shared" ref="BP10:BY11" si="14">G10</f>
        <v>327</v>
      </c>
      <c r="BQ10" s="234">
        <f t="shared" si="14"/>
        <v>30</v>
      </c>
      <c r="BR10" s="234">
        <f t="shared" si="14"/>
        <v>88</v>
      </c>
      <c r="BS10" s="234">
        <f t="shared" si="14"/>
        <v>23</v>
      </c>
      <c r="BT10" s="234">
        <f t="shared" si="14"/>
        <v>67</v>
      </c>
      <c r="BU10" s="234">
        <f t="shared" si="14"/>
        <v>41</v>
      </c>
      <c r="BV10" s="234">
        <f t="shared" si="14"/>
        <v>1</v>
      </c>
      <c r="BW10" s="234">
        <f t="shared" si="14"/>
        <v>0</v>
      </c>
      <c r="BX10" s="234">
        <f t="shared" si="14"/>
        <v>0</v>
      </c>
      <c r="BY10" s="234">
        <f t="shared" si="14"/>
        <v>0</v>
      </c>
      <c r="BZ10" s="200"/>
      <c r="CA10" s="201">
        <f>SUM(BO10:BW10)</f>
        <v>716</v>
      </c>
      <c r="CB10" s="201"/>
      <c r="CD10" s="319" t="s">
        <v>309</v>
      </c>
      <c r="CE10" s="167">
        <f>E10</f>
        <v>0</v>
      </c>
      <c r="CF10" s="167">
        <f>F10</f>
        <v>139</v>
      </c>
      <c r="CG10" s="167">
        <f t="shared" si="4"/>
        <v>327</v>
      </c>
      <c r="CH10" s="167">
        <f t="shared" si="4"/>
        <v>30</v>
      </c>
      <c r="CI10" s="167">
        <f t="shared" si="4"/>
        <v>88</v>
      </c>
      <c r="CJ10" s="167">
        <f t="shared" si="4"/>
        <v>23</v>
      </c>
      <c r="CK10" s="167">
        <f t="shared" si="4"/>
        <v>67</v>
      </c>
      <c r="CL10" s="167">
        <f t="shared" si="4"/>
        <v>41</v>
      </c>
      <c r="CM10" s="167">
        <f t="shared" si="4"/>
        <v>1</v>
      </c>
      <c r="CN10" s="167">
        <f t="shared" si="4"/>
        <v>0</v>
      </c>
      <c r="CO10" s="167">
        <f t="shared" si="4"/>
        <v>0</v>
      </c>
      <c r="CP10" s="167">
        <f t="shared" si="4"/>
        <v>0</v>
      </c>
      <c r="CQ10" s="306">
        <f>SUM(CE10:CP10)</f>
        <v>716</v>
      </c>
      <c r="CS10" s="319" t="str">
        <f>CD10</f>
        <v>Total Units</v>
      </c>
      <c r="CT10" s="320">
        <f>E10</f>
        <v>0</v>
      </c>
      <c r="CU10" s="320">
        <f t="shared" si="5"/>
        <v>139</v>
      </c>
      <c r="CV10" s="320">
        <f t="shared" si="5"/>
        <v>327</v>
      </c>
      <c r="CW10" s="320">
        <f t="shared" si="5"/>
        <v>30</v>
      </c>
      <c r="CX10" s="320">
        <f t="shared" si="5"/>
        <v>88</v>
      </c>
      <c r="CY10" s="320">
        <f t="shared" si="5"/>
        <v>23</v>
      </c>
      <c r="CZ10" s="320">
        <f t="shared" si="5"/>
        <v>67</v>
      </c>
      <c r="DA10" s="320">
        <f t="shared" si="5"/>
        <v>41</v>
      </c>
      <c r="DB10" s="320">
        <f t="shared" si="5"/>
        <v>1</v>
      </c>
      <c r="DC10" s="320">
        <f t="shared" si="5"/>
        <v>0</v>
      </c>
      <c r="DD10" s="320">
        <f t="shared" si="5"/>
        <v>0</v>
      </c>
      <c r="DE10" s="320">
        <f t="shared" si="5"/>
        <v>0</v>
      </c>
      <c r="DF10" s="321">
        <f>SUM(CT10:DE10)</f>
        <v>716</v>
      </c>
      <c r="DH10" s="167" t="s">
        <v>310</v>
      </c>
      <c r="DI10" s="167"/>
      <c r="DJ10" s="235">
        <f t="shared" ref="DJ10:DT10" si="15">INFLATION_RATE</f>
        <v>0.03</v>
      </c>
      <c r="DK10" s="235">
        <f t="shared" si="15"/>
        <v>0.03</v>
      </c>
      <c r="DL10" s="235">
        <f t="shared" si="15"/>
        <v>0.03</v>
      </c>
      <c r="DM10" s="235">
        <f t="shared" si="15"/>
        <v>0.03</v>
      </c>
      <c r="DN10" s="235">
        <f t="shared" si="15"/>
        <v>0.03</v>
      </c>
      <c r="DO10" s="235">
        <f t="shared" si="15"/>
        <v>0.03</v>
      </c>
      <c r="DP10" s="235">
        <f t="shared" si="15"/>
        <v>0.03</v>
      </c>
      <c r="DQ10" s="235">
        <f t="shared" si="15"/>
        <v>0.03</v>
      </c>
      <c r="DR10" s="235">
        <f t="shared" si="15"/>
        <v>0.03</v>
      </c>
      <c r="DS10" s="235">
        <f t="shared" si="15"/>
        <v>0.03</v>
      </c>
      <c r="DT10" s="235">
        <f t="shared" si="15"/>
        <v>0.03</v>
      </c>
      <c r="DU10" s="168"/>
      <c r="DW10" s="167" t="s">
        <v>310</v>
      </c>
      <c r="DX10" s="167"/>
      <c r="DY10" s="167"/>
      <c r="DZ10" s="235">
        <f t="shared" ref="DZ10:EJ10" si="16">INFLATION_RATE</f>
        <v>0.03</v>
      </c>
      <c r="EA10" s="235">
        <f t="shared" si="16"/>
        <v>0.03</v>
      </c>
      <c r="EB10" s="235">
        <f t="shared" si="16"/>
        <v>0.03</v>
      </c>
      <c r="EC10" s="235">
        <f t="shared" si="16"/>
        <v>0.03</v>
      </c>
      <c r="ED10" s="235">
        <f t="shared" si="16"/>
        <v>0.03</v>
      </c>
      <c r="EE10" s="235">
        <f t="shared" si="16"/>
        <v>0.03</v>
      </c>
      <c r="EF10" s="235">
        <f t="shared" si="16"/>
        <v>0.03</v>
      </c>
      <c r="EG10" s="235">
        <f t="shared" si="16"/>
        <v>0.03</v>
      </c>
      <c r="EH10" s="235">
        <f t="shared" si="16"/>
        <v>0.03</v>
      </c>
      <c r="EI10" s="235">
        <f t="shared" si="16"/>
        <v>0.03</v>
      </c>
      <c r="EJ10" s="235">
        <f t="shared" si="16"/>
        <v>0.03</v>
      </c>
      <c r="EK10" s="235"/>
      <c r="EL10" s="168"/>
      <c r="EN10" s="167" t="s">
        <v>310</v>
      </c>
      <c r="EO10" s="167"/>
      <c r="EP10" s="167"/>
      <c r="EQ10" s="235">
        <f t="shared" ref="EQ10:FA10" si="17">INFLATION_RATE</f>
        <v>0.03</v>
      </c>
      <c r="ER10" s="235">
        <f t="shared" si="17"/>
        <v>0.03</v>
      </c>
      <c r="ES10" s="235">
        <f t="shared" si="17"/>
        <v>0.03</v>
      </c>
      <c r="ET10" s="235">
        <f t="shared" si="17"/>
        <v>0.03</v>
      </c>
      <c r="EU10" s="235">
        <f t="shared" si="17"/>
        <v>0.03</v>
      </c>
      <c r="EV10" s="235">
        <f t="shared" si="17"/>
        <v>0.03</v>
      </c>
      <c r="EW10" s="235">
        <f t="shared" si="17"/>
        <v>0.03</v>
      </c>
      <c r="EX10" s="235">
        <f t="shared" si="17"/>
        <v>0.03</v>
      </c>
      <c r="EY10" s="235">
        <f t="shared" si="17"/>
        <v>0.03</v>
      </c>
      <c r="EZ10" s="235">
        <f t="shared" si="17"/>
        <v>0.03</v>
      </c>
      <c r="FA10" s="235">
        <f t="shared" si="17"/>
        <v>0.03</v>
      </c>
      <c r="FB10" s="235"/>
      <c r="FC10" s="168"/>
    </row>
    <row r="11" spans="4:159" x14ac:dyDescent="0.25">
      <c r="D11" s="162" t="s">
        <v>321</v>
      </c>
      <c r="E11" s="310"/>
      <c r="F11" s="254">
        <f t="shared" ref="F11" si="18">CF$11*PLATTED_LOT_VALUE</f>
        <v>36562</v>
      </c>
      <c r="G11" s="254">
        <f t="shared" ref="G11" si="19">CG$11*PLATTED_LOT_VALUE</f>
        <v>39491</v>
      </c>
      <c r="H11" s="254">
        <f t="shared" ref="H11" si="20">CH$11*PLATTED_LOT_VALUE</f>
        <v>43435</v>
      </c>
      <c r="I11" s="254">
        <f t="shared" ref="I11" si="21">CI$11*PLATTED_LOT_VALUE</f>
        <v>49215</v>
      </c>
      <c r="J11" s="254">
        <f t="shared" ref="J11" si="22">CJ$11*PLATTED_LOT_VALUE</f>
        <v>56375</v>
      </c>
      <c r="K11" s="254">
        <f t="shared" ref="K11" si="23">CK$11*PLATTED_LOT_VALUE</f>
        <v>63550</v>
      </c>
      <c r="L11" s="254">
        <f>CL$11*PLATTED_LOT_VALUE</f>
        <v>70981.3</v>
      </c>
      <c r="M11" s="254">
        <f>CM$11*PLATTED_LOT_VALUE</f>
        <v>76106.3</v>
      </c>
      <c r="N11" s="254">
        <f>CN$11*PLATTED_LOT_VALUE</f>
        <v>0</v>
      </c>
      <c r="O11" s="254">
        <f>CO$11*PLATTED_LOT_VALUE</f>
        <v>0</v>
      </c>
      <c r="P11" s="254">
        <f t="shared" ref="P11" si="24">CN$11*PLATTED_LOT_VALUE</f>
        <v>0</v>
      </c>
      <c r="Q11" s="162"/>
      <c r="S11" s="162" t="str">
        <f>D11</f>
        <v>Vacant Land Value Per Lot</v>
      </c>
      <c r="T11" s="303"/>
      <c r="U11" s="303">
        <f>F11</f>
        <v>36562</v>
      </c>
      <c r="V11" s="303">
        <f t="shared" si="7"/>
        <v>39491</v>
      </c>
      <c r="W11" s="303">
        <f t="shared" si="7"/>
        <v>43435</v>
      </c>
      <c r="X11" s="303">
        <f t="shared" si="7"/>
        <v>49215</v>
      </c>
      <c r="Y11" s="303">
        <f t="shared" si="7"/>
        <v>56375</v>
      </c>
      <c r="Z11" s="303">
        <f t="shared" si="7"/>
        <v>63550</v>
      </c>
      <c r="AA11" s="303">
        <f t="shared" si="7"/>
        <v>70981.3</v>
      </c>
      <c r="AB11" s="303">
        <f t="shared" si="7"/>
        <v>76106.3</v>
      </c>
      <c r="AC11" s="303">
        <f t="shared" si="7"/>
        <v>0</v>
      </c>
      <c r="AD11" s="303">
        <f t="shared" si="7"/>
        <v>0</v>
      </c>
      <c r="AE11" s="303">
        <f t="shared" si="7"/>
        <v>0</v>
      </c>
      <c r="AF11" s="162"/>
      <c r="AH11" s="162" t="s">
        <v>321</v>
      </c>
      <c r="AI11" s="162"/>
      <c r="AJ11" s="188">
        <f t="shared" ref="AJ11:AO11" si="25">F11</f>
        <v>36562</v>
      </c>
      <c r="AK11" s="188">
        <f t="shared" si="25"/>
        <v>39491</v>
      </c>
      <c r="AL11" s="188">
        <f t="shared" si="25"/>
        <v>43435</v>
      </c>
      <c r="AM11" s="188">
        <f t="shared" si="25"/>
        <v>49215</v>
      </c>
      <c r="AN11" s="188">
        <f t="shared" si="25"/>
        <v>56375</v>
      </c>
      <c r="AO11" s="188">
        <f t="shared" si="25"/>
        <v>63550</v>
      </c>
      <c r="AP11" s="188">
        <f t="shared" si="9"/>
        <v>70981.3</v>
      </c>
      <c r="AQ11" s="188">
        <f t="shared" si="10"/>
        <v>76106.3</v>
      </c>
      <c r="AR11" s="188">
        <f t="shared" si="11"/>
        <v>0</v>
      </c>
      <c r="AS11" s="188">
        <f t="shared" si="12"/>
        <v>0</v>
      </c>
      <c r="AT11" s="188">
        <f t="shared" si="13"/>
        <v>0</v>
      </c>
      <c r="AU11" s="162"/>
      <c r="AW11" s="162" t="s">
        <v>98</v>
      </c>
      <c r="AX11" s="162"/>
      <c r="AY11" s="188">
        <f>F11</f>
        <v>36562</v>
      </c>
      <c r="AZ11" s="188">
        <f t="shared" si="2"/>
        <v>39491</v>
      </c>
      <c r="BA11" s="188">
        <f t="shared" si="2"/>
        <v>43435</v>
      </c>
      <c r="BB11" s="188">
        <f t="shared" si="2"/>
        <v>49215</v>
      </c>
      <c r="BC11" s="188">
        <f t="shared" si="2"/>
        <v>56375</v>
      </c>
      <c r="BD11" s="188">
        <f t="shared" si="2"/>
        <v>63550</v>
      </c>
      <c r="BE11" s="188">
        <f t="shared" si="2"/>
        <v>70981.3</v>
      </c>
      <c r="BF11" s="188">
        <f t="shared" si="2"/>
        <v>76106.3</v>
      </c>
      <c r="BG11" s="188">
        <f t="shared" si="2"/>
        <v>0</v>
      </c>
      <c r="BH11" s="188">
        <f t="shared" si="2"/>
        <v>0</v>
      </c>
      <c r="BI11" s="188">
        <f t="shared" si="2"/>
        <v>0</v>
      </c>
      <c r="BJ11" s="165"/>
      <c r="BK11" s="162"/>
      <c r="BM11" s="162" t="s">
        <v>98</v>
      </c>
      <c r="BN11" s="162"/>
      <c r="BO11" s="188">
        <f>F11</f>
        <v>36562</v>
      </c>
      <c r="BP11" s="188">
        <f t="shared" si="14"/>
        <v>39491</v>
      </c>
      <c r="BQ11" s="188">
        <f t="shared" si="14"/>
        <v>43435</v>
      </c>
      <c r="BR11" s="188">
        <f t="shared" si="14"/>
        <v>49215</v>
      </c>
      <c r="BS11" s="188">
        <f t="shared" si="14"/>
        <v>56375</v>
      </c>
      <c r="BT11" s="188">
        <f t="shared" si="14"/>
        <v>63550</v>
      </c>
      <c r="BU11" s="188">
        <f t="shared" si="14"/>
        <v>70981.3</v>
      </c>
      <c r="BV11" s="188">
        <f t="shared" si="14"/>
        <v>76106.3</v>
      </c>
      <c r="BW11" s="188">
        <f t="shared" si="14"/>
        <v>0</v>
      </c>
      <c r="BX11" s="188">
        <f t="shared" si="14"/>
        <v>0</v>
      </c>
      <c r="BY11" s="188">
        <f t="shared" si="14"/>
        <v>0</v>
      </c>
      <c r="BZ11" s="165"/>
      <c r="CA11" s="162"/>
      <c r="CB11" s="290"/>
      <c r="CD11" s="162" t="s">
        <v>311</v>
      </c>
      <c r="CE11" s="162"/>
      <c r="CF11" s="254">
        <f>ASP_SFD_1</f>
        <v>365620</v>
      </c>
      <c r="CG11" s="254">
        <f>ASP_SFD_2</f>
        <v>394910</v>
      </c>
      <c r="CH11" s="254">
        <f>ASP_SFD_3</f>
        <v>434350</v>
      </c>
      <c r="CI11" s="254">
        <f>ASP_SFD_4</f>
        <v>492150</v>
      </c>
      <c r="CJ11" s="254">
        <f>ASP_SFD_5</f>
        <v>563750</v>
      </c>
      <c r="CK11" s="254">
        <f>ASP_SFD_6</f>
        <v>635500</v>
      </c>
      <c r="CL11" s="254">
        <f>ASP_SFD_7</f>
        <v>709813</v>
      </c>
      <c r="CM11" s="254">
        <f>ASP_SFD_8</f>
        <v>761063</v>
      </c>
      <c r="CN11" s="254">
        <f>ASP_SFD_9</f>
        <v>0</v>
      </c>
      <c r="CO11" s="254">
        <f>ASP_SFD_10</f>
        <v>0</v>
      </c>
      <c r="CP11" s="254">
        <f>ASP_SFD_11</f>
        <v>0</v>
      </c>
      <c r="CQ11" s="258"/>
      <c r="CS11" s="162" t="str">
        <f>CD11</f>
        <v>Base Price</v>
      </c>
      <c r="CT11" s="254">
        <f>CE11</f>
        <v>0</v>
      </c>
      <c r="CU11" s="254">
        <f>CF11</f>
        <v>365620</v>
      </c>
      <c r="CV11" s="254">
        <f t="shared" ref="CV11:DE12" si="26">CG11</f>
        <v>394910</v>
      </c>
      <c r="CW11" s="254">
        <f t="shared" si="26"/>
        <v>434350</v>
      </c>
      <c r="CX11" s="254">
        <f t="shared" si="26"/>
        <v>492150</v>
      </c>
      <c r="CY11" s="254">
        <f t="shared" si="26"/>
        <v>563750</v>
      </c>
      <c r="CZ11" s="254">
        <f t="shared" si="26"/>
        <v>635500</v>
      </c>
      <c r="DA11" s="254">
        <f t="shared" si="26"/>
        <v>709813</v>
      </c>
      <c r="DB11" s="254">
        <f t="shared" si="26"/>
        <v>761063</v>
      </c>
      <c r="DC11" s="254">
        <f t="shared" si="26"/>
        <v>0</v>
      </c>
      <c r="DD11" s="254">
        <f t="shared" si="26"/>
        <v>0</v>
      </c>
      <c r="DE11" s="254">
        <f t="shared" si="26"/>
        <v>0</v>
      </c>
      <c r="DF11" s="258"/>
      <c r="DH11" s="162" t="s">
        <v>311</v>
      </c>
      <c r="DI11" s="162"/>
      <c r="DJ11" s="188">
        <f>CF11</f>
        <v>365620</v>
      </c>
      <c r="DK11" s="188">
        <f t="shared" ref="DK11:DT11" si="27">CG11</f>
        <v>394910</v>
      </c>
      <c r="DL11" s="188">
        <f t="shared" si="27"/>
        <v>434350</v>
      </c>
      <c r="DM11" s="188">
        <f t="shared" si="27"/>
        <v>492150</v>
      </c>
      <c r="DN11" s="188">
        <f t="shared" si="27"/>
        <v>563750</v>
      </c>
      <c r="DO11" s="188">
        <f t="shared" si="27"/>
        <v>635500</v>
      </c>
      <c r="DP11" s="188">
        <f t="shared" si="27"/>
        <v>709813</v>
      </c>
      <c r="DQ11" s="188">
        <f t="shared" si="27"/>
        <v>761063</v>
      </c>
      <c r="DR11" s="188">
        <f t="shared" si="27"/>
        <v>0</v>
      </c>
      <c r="DS11" s="188">
        <f t="shared" si="27"/>
        <v>0</v>
      </c>
      <c r="DT11" s="188">
        <f t="shared" si="27"/>
        <v>0</v>
      </c>
      <c r="DU11" s="166"/>
      <c r="DW11" s="162" t="s">
        <v>311</v>
      </c>
      <c r="DX11" s="162"/>
      <c r="DY11" s="162"/>
      <c r="DZ11" s="188">
        <f t="shared" ref="DZ11:EJ11" si="28">CF11</f>
        <v>365620</v>
      </c>
      <c r="EA11" s="188">
        <f t="shared" si="28"/>
        <v>394910</v>
      </c>
      <c r="EB11" s="188">
        <f t="shared" si="28"/>
        <v>434350</v>
      </c>
      <c r="EC11" s="188">
        <f t="shared" si="28"/>
        <v>492150</v>
      </c>
      <c r="ED11" s="188">
        <f t="shared" si="28"/>
        <v>563750</v>
      </c>
      <c r="EE11" s="188">
        <f t="shared" si="28"/>
        <v>635500</v>
      </c>
      <c r="EF11" s="188">
        <f t="shared" si="28"/>
        <v>709813</v>
      </c>
      <c r="EG11" s="188">
        <f t="shared" si="28"/>
        <v>761063</v>
      </c>
      <c r="EH11" s="188">
        <f t="shared" si="28"/>
        <v>0</v>
      </c>
      <c r="EI11" s="188">
        <f t="shared" si="28"/>
        <v>0</v>
      </c>
      <c r="EJ11" s="188">
        <f t="shared" si="28"/>
        <v>0</v>
      </c>
      <c r="EK11" s="188"/>
      <c r="EL11" s="166"/>
      <c r="EN11" s="162" t="s">
        <v>311</v>
      </c>
      <c r="EO11" s="162"/>
      <c r="EP11" s="162"/>
      <c r="EQ11" s="188">
        <f t="shared" ref="EQ11" si="29">CW11</f>
        <v>434350</v>
      </c>
      <c r="ER11" s="188">
        <f t="shared" ref="ER11" si="30">CX11</f>
        <v>492150</v>
      </c>
      <c r="ES11" s="188">
        <f t="shared" ref="ES11" si="31">CY11</f>
        <v>563750</v>
      </c>
      <c r="ET11" s="188">
        <f t="shared" ref="ET11" si="32">CZ11</f>
        <v>635500</v>
      </c>
      <c r="EU11" s="188">
        <f t="shared" ref="EU11" si="33">DA11</f>
        <v>709813</v>
      </c>
      <c r="EV11" s="188">
        <f t="shared" ref="EV11" si="34">DB11</f>
        <v>761063</v>
      </c>
      <c r="EW11" s="188">
        <f t="shared" ref="EW11" si="35">DC11</f>
        <v>0</v>
      </c>
      <c r="EX11" s="188">
        <f t="shared" ref="EX11" si="36">DD11</f>
        <v>0</v>
      </c>
      <c r="EY11" s="188">
        <f t="shared" ref="EY11" si="37">DE11</f>
        <v>0</v>
      </c>
      <c r="EZ11" s="188">
        <f t="shared" ref="EZ11" si="38">DF11</f>
        <v>0</v>
      </c>
      <c r="FA11" s="188">
        <f t="shared" ref="FA11" si="39">DG11</f>
        <v>0</v>
      </c>
      <c r="FB11" s="188"/>
      <c r="FC11" s="166"/>
    </row>
    <row r="12" spans="4:159" ht="30" x14ac:dyDescent="0.25">
      <c r="D12" s="120" t="s">
        <v>208</v>
      </c>
      <c r="E12" s="120" t="s">
        <v>314</v>
      </c>
      <c r="F12" s="352" t="s">
        <v>479</v>
      </c>
      <c r="G12" s="352" t="s">
        <v>480</v>
      </c>
      <c r="H12" s="352" t="s">
        <v>205</v>
      </c>
      <c r="I12" s="352" t="s">
        <v>205</v>
      </c>
      <c r="J12" s="352" t="s">
        <v>205</v>
      </c>
      <c r="K12" s="352" t="s">
        <v>205</v>
      </c>
      <c r="L12" s="352" t="s">
        <v>205</v>
      </c>
      <c r="M12" s="352" t="s">
        <v>205</v>
      </c>
      <c r="N12" s="282" t="s">
        <v>205</v>
      </c>
      <c r="O12" s="282" t="s">
        <v>205</v>
      </c>
      <c r="P12" s="282" t="s">
        <v>205</v>
      </c>
      <c r="Q12" s="120" t="s">
        <v>206</v>
      </c>
      <c r="S12" s="120"/>
      <c r="T12" s="282" t="str">
        <f>E12</f>
        <v>Existing</v>
      </c>
      <c r="U12" s="282" t="str">
        <f>F12</f>
        <v>TH</v>
      </c>
      <c r="V12" s="282" t="str">
        <f t="shared" si="7"/>
        <v>DU</v>
      </c>
      <c r="W12" s="282" t="str">
        <f t="shared" si="7"/>
        <v>SFD</v>
      </c>
      <c r="X12" s="282" t="str">
        <f t="shared" si="7"/>
        <v>SFD</v>
      </c>
      <c r="Y12" s="282" t="str">
        <f t="shared" si="7"/>
        <v>SFD</v>
      </c>
      <c r="Z12" s="282" t="str">
        <f t="shared" si="7"/>
        <v>SFD</v>
      </c>
      <c r="AA12" s="282" t="str">
        <f t="shared" si="7"/>
        <v>SFD</v>
      </c>
      <c r="AB12" s="282" t="str">
        <f t="shared" si="7"/>
        <v>SFD</v>
      </c>
      <c r="AC12" s="282" t="str">
        <f t="shared" si="7"/>
        <v>SFD</v>
      </c>
      <c r="AD12" s="282" t="str">
        <f t="shared" si="7"/>
        <v>SFD</v>
      </c>
      <c r="AE12" s="282" t="str">
        <f t="shared" si="7"/>
        <v>SFD</v>
      </c>
      <c r="AF12" s="282" t="str">
        <f t="shared" ref="AF12" si="40">Q12</f>
        <v>Totals</v>
      </c>
      <c r="AH12" s="120" t="s">
        <v>208</v>
      </c>
      <c r="AI12" s="120" t="s">
        <v>314</v>
      </c>
      <c r="AJ12" s="120" t="str">
        <f>F12</f>
        <v>TH</v>
      </c>
      <c r="AK12" s="120" t="str">
        <f t="shared" ref="AK12:AN12" si="41">G12</f>
        <v>DU</v>
      </c>
      <c r="AL12" s="120" t="str">
        <f t="shared" si="41"/>
        <v>SFD</v>
      </c>
      <c r="AM12" s="120" t="str">
        <f t="shared" si="41"/>
        <v>SFD</v>
      </c>
      <c r="AN12" s="120" t="str">
        <f t="shared" si="41"/>
        <v>SFD</v>
      </c>
      <c r="AO12" s="120" t="str">
        <f t="shared" ref="AO12" si="42">K12</f>
        <v>SFD</v>
      </c>
      <c r="AP12" s="120" t="str">
        <f t="shared" si="9"/>
        <v>SFD</v>
      </c>
      <c r="AQ12" s="120" t="str">
        <f t="shared" si="10"/>
        <v>SFD</v>
      </c>
      <c r="AR12" s="120" t="str">
        <f t="shared" si="11"/>
        <v>SFD</v>
      </c>
      <c r="AS12" s="120" t="str">
        <f t="shared" si="12"/>
        <v>SFD</v>
      </c>
      <c r="AT12" s="120" t="str">
        <f t="shared" si="13"/>
        <v>SFD</v>
      </c>
      <c r="AU12" s="120" t="s">
        <v>206</v>
      </c>
      <c r="AW12" s="120" t="s">
        <v>208</v>
      </c>
      <c r="AX12" s="5" t="s">
        <v>375</v>
      </c>
      <c r="AY12" s="120" t="str">
        <f>F12</f>
        <v>TH</v>
      </c>
      <c r="AZ12" s="120" t="str">
        <f t="shared" si="2"/>
        <v>DU</v>
      </c>
      <c r="BA12" s="120" t="str">
        <f t="shared" si="2"/>
        <v>SFD</v>
      </c>
      <c r="BB12" s="120" t="str">
        <f t="shared" si="2"/>
        <v>SFD</v>
      </c>
      <c r="BC12" s="120" t="str">
        <f t="shared" si="2"/>
        <v>SFD</v>
      </c>
      <c r="BD12" s="120" t="str">
        <f t="shared" si="2"/>
        <v>SFD</v>
      </c>
      <c r="BE12" s="120" t="str">
        <f t="shared" si="2"/>
        <v>SFD</v>
      </c>
      <c r="BF12" s="120" t="str">
        <f t="shared" si="2"/>
        <v>SFD</v>
      </c>
      <c r="BG12" s="120" t="str">
        <f t="shared" si="2"/>
        <v>SFD</v>
      </c>
      <c r="BH12" s="120" t="str">
        <f t="shared" si="2"/>
        <v>SFD</v>
      </c>
      <c r="BI12" s="120" t="str">
        <f t="shared" si="2"/>
        <v>SFD</v>
      </c>
      <c r="BJ12" s="120" t="s">
        <v>359</v>
      </c>
      <c r="BK12" s="120" t="s">
        <v>206</v>
      </c>
      <c r="BM12" s="120" t="s">
        <v>208</v>
      </c>
      <c r="BN12" s="120" t="s">
        <v>314</v>
      </c>
      <c r="BO12" s="120" t="str">
        <f t="shared" ref="BO12:BV12" si="43">AJ12</f>
        <v>TH</v>
      </c>
      <c r="BP12" s="120" t="str">
        <f t="shared" si="43"/>
        <v>DU</v>
      </c>
      <c r="BQ12" s="120" t="str">
        <f t="shared" si="43"/>
        <v>SFD</v>
      </c>
      <c r="BR12" s="120" t="str">
        <f t="shared" si="43"/>
        <v>SFD</v>
      </c>
      <c r="BS12" s="120" t="str">
        <f t="shared" si="43"/>
        <v>SFD</v>
      </c>
      <c r="BT12" s="120" t="str">
        <f t="shared" si="43"/>
        <v>SFD</v>
      </c>
      <c r="BU12" s="120" t="str">
        <f t="shared" si="43"/>
        <v>SFD</v>
      </c>
      <c r="BV12" s="120" t="str">
        <f t="shared" si="43"/>
        <v>SFD</v>
      </c>
      <c r="BW12" s="120"/>
      <c r="BX12" s="120"/>
      <c r="BY12" s="120"/>
      <c r="BZ12" s="120" t="s">
        <v>359</v>
      </c>
      <c r="CA12" s="120" t="s">
        <v>206</v>
      </c>
      <c r="CB12" s="120" t="s">
        <v>318</v>
      </c>
      <c r="CD12" s="120" t="s">
        <v>208</v>
      </c>
      <c r="CE12" s="120" t="s">
        <v>314</v>
      </c>
      <c r="CF12" s="282" t="str">
        <f>F12</f>
        <v>TH</v>
      </c>
      <c r="CG12" s="282" t="str">
        <f t="shared" ref="CG12:CI12" si="44">G12</f>
        <v>DU</v>
      </c>
      <c r="CH12" s="282" t="str">
        <f t="shared" si="44"/>
        <v>SFD</v>
      </c>
      <c r="CI12" s="282" t="str">
        <f t="shared" si="44"/>
        <v>SFD</v>
      </c>
      <c r="CJ12" s="282" t="str">
        <f t="shared" ref="CJ12:CP12" si="45">J12</f>
        <v>SFD</v>
      </c>
      <c r="CK12" s="282" t="str">
        <f t="shared" si="45"/>
        <v>SFD</v>
      </c>
      <c r="CL12" s="282" t="str">
        <f t="shared" si="45"/>
        <v>SFD</v>
      </c>
      <c r="CM12" s="282" t="str">
        <f t="shared" si="45"/>
        <v>SFD</v>
      </c>
      <c r="CN12" s="282" t="str">
        <f t="shared" si="45"/>
        <v>SFD</v>
      </c>
      <c r="CO12" s="282" t="str">
        <f t="shared" si="45"/>
        <v>SFD</v>
      </c>
      <c r="CP12" s="282" t="str">
        <f t="shared" si="45"/>
        <v>SFD</v>
      </c>
      <c r="CQ12" s="120" t="s">
        <v>206</v>
      </c>
      <c r="CS12" s="120" t="str">
        <f>CD12</f>
        <v>Product</v>
      </c>
      <c r="CT12" s="120" t="str">
        <f t="shared" ref="CT12" si="46">CE12</f>
        <v>Existing</v>
      </c>
      <c r="CU12" s="120" t="str">
        <f>CF12</f>
        <v>TH</v>
      </c>
      <c r="CV12" s="120" t="str">
        <f t="shared" si="26"/>
        <v>DU</v>
      </c>
      <c r="CW12" s="120" t="str">
        <f t="shared" si="26"/>
        <v>SFD</v>
      </c>
      <c r="CX12" s="120" t="str">
        <f t="shared" si="26"/>
        <v>SFD</v>
      </c>
      <c r="CY12" s="120" t="str">
        <f t="shared" si="26"/>
        <v>SFD</v>
      </c>
      <c r="CZ12" s="120" t="str">
        <f t="shared" si="26"/>
        <v>SFD</v>
      </c>
      <c r="DA12" s="120" t="str">
        <f t="shared" si="26"/>
        <v>SFD</v>
      </c>
      <c r="DB12" s="120" t="str">
        <f t="shared" si="26"/>
        <v>SFD</v>
      </c>
      <c r="DC12" s="120" t="str">
        <f t="shared" si="26"/>
        <v>SFD</v>
      </c>
      <c r="DD12" s="120" t="str">
        <f t="shared" si="26"/>
        <v>SFD</v>
      </c>
      <c r="DE12" s="120" t="str">
        <f t="shared" si="26"/>
        <v>SFD</v>
      </c>
      <c r="DF12" s="120" t="str">
        <f t="shared" ref="DF12" si="47">CQ12</f>
        <v>Totals</v>
      </c>
      <c r="DH12" s="120" t="s">
        <v>208</v>
      </c>
      <c r="DI12" s="120" t="s">
        <v>314</v>
      </c>
      <c r="DJ12" s="120" t="s">
        <v>205</v>
      </c>
      <c r="DK12" s="120" t="s">
        <v>205</v>
      </c>
      <c r="DL12" s="120" t="s">
        <v>205</v>
      </c>
      <c r="DM12" s="120" t="s">
        <v>205</v>
      </c>
      <c r="DN12" s="120" t="s">
        <v>205</v>
      </c>
      <c r="DO12" s="120" t="s">
        <v>205</v>
      </c>
      <c r="DP12" s="120" t="s">
        <v>205</v>
      </c>
      <c r="DQ12" s="120" t="s">
        <v>205</v>
      </c>
      <c r="DR12" s="120" t="s">
        <v>205</v>
      </c>
      <c r="DS12" s="120" t="s">
        <v>205</v>
      </c>
      <c r="DT12" s="120" t="s">
        <v>205</v>
      </c>
      <c r="DU12" s="120" t="s">
        <v>206</v>
      </c>
      <c r="DW12" s="120" t="s">
        <v>208</v>
      </c>
      <c r="DX12" s="120" t="s">
        <v>314</v>
      </c>
      <c r="DY12" s="5" t="s">
        <v>462</v>
      </c>
      <c r="DZ12" s="120" t="str">
        <f t="shared" ref="DZ12:EJ12" si="48">F12</f>
        <v>TH</v>
      </c>
      <c r="EA12" s="120" t="str">
        <f t="shared" si="48"/>
        <v>DU</v>
      </c>
      <c r="EB12" s="120" t="str">
        <f t="shared" si="48"/>
        <v>SFD</v>
      </c>
      <c r="EC12" s="120" t="str">
        <f t="shared" si="48"/>
        <v>SFD</v>
      </c>
      <c r="ED12" s="120" t="str">
        <f t="shared" si="48"/>
        <v>SFD</v>
      </c>
      <c r="EE12" s="120" t="str">
        <f t="shared" si="48"/>
        <v>SFD</v>
      </c>
      <c r="EF12" s="120" t="str">
        <f t="shared" si="48"/>
        <v>SFD</v>
      </c>
      <c r="EG12" s="120" t="str">
        <f t="shared" si="48"/>
        <v>SFD</v>
      </c>
      <c r="EH12" s="120" t="str">
        <f t="shared" si="48"/>
        <v>SFD</v>
      </c>
      <c r="EI12" s="120" t="str">
        <f t="shared" si="48"/>
        <v>SFD</v>
      </c>
      <c r="EJ12" s="120" t="str">
        <f t="shared" si="48"/>
        <v>SFD</v>
      </c>
      <c r="EK12" s="5" t="s">
        <v>425</v>
      </c>
      <c r="EL12" s="120" t="s">
        <v>206</v>
      </c>
      <c r="EN12" s="120" t="s">
        <v>208</v>
      </c>
      <c r="EO12" s="120" t="s">
        <v>314</v>
      </c>
      <c r="EP12" s="5" t="s">
        <v>462</v>
      </c>
      <c r="EQ12" s="120" t="str">
        <f t="shared" ref="EQ12" si="49">W12</f>
        <v>SFD</v>
      </c>
      <c r="ER12" s="120" t="str">
        <f t="shared" ref="ER12" si="50">X12</f>
        <v>SFD</v>
      </c>
      <c r="ES12" s="120" t="str">
        <f t="shared" ref="ES12" si="51">Y12</f>
        <v>SFD</v>
      </c>
      <c r="ET12" s="120" t="str">
        <f t="shared" ref="ET12" si="52">Z12</f>
        <v>SFD</v>
      </c>
      <c r="EU12" s="120" t="str">
        <f t="shared" ref="EU12" si="53">AA12</f>
        <v>SFD</v>
      </c>
      <c r="EV12" s="120" t="str">
        <f t="shared" ref="EV12" si="54">AB12</f>
        <v>SFD</v>
      </c>
      <c r="EW12" s="120" t="str">
        <f t="shared" ref="EW12" si="55">AC12</f>
        <v>SFD</v>
      </c>
      <c r="EX12" s="120" t="str">
        <f t="shared" ref="EX12" si="56">AD12</f>
        <v>SFD</v>
      </c>
      <c r="EY12" s="120" t="str">
        <f t="shared" ref="EY12" si="57">AE12</f>
        <v>SFD</v>
      </c>
      <c r="EZ12" s="120" t="str">
        <f t="shared" ref="EZ12" si="58">AF12</f>
        <v>Totals</v>
      </c>
      <c r="FA12" s="120">
        <f t="shared" ref="FA12" si="59">AG12</f>
        <v>0</v>
      </c>
      <c r="FB12" s="5" t="s">
        <v>425</v>
      </c>
      <c r="FC12" s="120" t="s">
        <v>206</v>
      </c>
    </row>
    <row r="13" spans="4:159" s="27" customFormat="1" ht="6.75" customHeight="1" x14ac:dyDescent="0.25"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  <c r="AR13" s="223"/>
      <c r="AS13" s="223"/>
      <c r="AT13" s="223"/>
      <c r="AU13" s="223"/>
      <c r="AW13" s="223"/>
      <c r="AX13" s="223"/>
      <c r="AY13" s="223"/>
      <c r="AZ13" s="223"/>
      <c r="BA13" s="223"/>
      <c r="BB13" s="223"/>
      <c r="BC13" s="223"/>
      <c r="BD13" s="223"/>
      <c r="BE13" s="223"/>
      <c r="BF13" s="223"/>
      <c r="BG13" s="223"/>
      <c r="BH13" s="223"/>
      <c r="BI13" s="223"/>
      <c r="BJ13" s="223"/>
      <c r="BK13" s="223"/>
      <c r="BM13" s="223"/>
      <c r="BN13" s="223"/>
      <c r="BO13" s="223"/>
      <c r="BP13" s="223"/>
      <c r="BQ13" s="223"/>
      <c r="BR13" s="223"/>
      <c r="BS13" s="223"/>
      <c r="BT13" s="223"/>
      <c r="BU13" s="223"/>
      <c r="BV13" s="223"/>
      <c r="BW13" s="223"/>
      <c r="BX13" s="223"/>
      <c r="BY13" s="223"/>
      <c r="BZ13" s="223"/>
      <c r="CA13" s="223"/>
      <c r="CB13" s="223"/>
      <c r="CD13" s="223"/>
      <c r="CE13" s="223"/>
      <c r="CF13" s="223"/>
      <c r="CG13" s="223"/>
      <c r="CH13" s="223"/>
      <c r="CI13" s="223"/>
      <c r="CJ13" s="223"/>
      <c r="CK13" s="223"/>
      <c r="CL13" s="223"/>
      <c r="CM13" s="223"/>
      <c r="CN13" s="223"/>
      <c r="CO13" s="223"/>
      <c r="CP13" s="223"/>
      <c r="CQ13" s="223"/>
      <c r="CS13" s="223"/>
      <c r="CT13" s="223"/>
      <c r="CU13" s="223"/>
      <c r="CV13" s="223"/>
      <c r="CW13" s="223"/>
      <c r="CX13" s="223"/>
      <c r="CY13" s="223"/>
      <c r="CZ13" s="223"/>
      <c r="DA13" s="223"/>
      <c r="DB13" s="223"/>
      <c r="DC13" s="223"/>
      <c r="DD13" s="223"/>
      <c r="DE13" s="223"/>
      <c r="DF13" s="223"/>
      <c r="DH13" s="223"/>
      <c r="DI13" s="223"/>
      <c r="DJ13" s="223"/>
      <c r="DK13" s="223"/>
      <c r="DL13" s="223"/>
      <c r="DM13" s="223"/>
      <c r="DN13" s="223"/>
      <c r="DO13" s="223"/>
      <c r="DP13" s="223"/>
      <c r="DQ13" s="223"/>
      <c r="DR13" s="223"/>
      <c r="DS13" s="223"/>
      <c r="DT13" s="223"/>
      <c r="DU13" s="223"/>
      <c r="DW13" s="223"/>
      <c r="DX13" s="223"/>
      <c r="DY13" s="223"/>
      <c r="DZ13" s="223"/>
      <c r="EA13" s="223"/>
      <c r="EB13" s="223"/>
      <c r="EC13" s="223"/>
      <c r="ED13" s="223"/>
      <c r="EE13" s="223"/>
      <c r="EF13" s="223"/>
      <c r="EG13" s="223"/>
      <c r="EH13" s="223"/>
      <c r="EI13" s="223"/>
      <c r="EJ13" s="223"/>
      <c r="EK13" s="223"/>
      <c r="EL13" s="223"/>
      <c r="EN13" s="223"/>
      <c r="EO13" s="223"/>
      <c r="EP13" s="223"/>
      <c r="EQ13" s="223"/>
      <c r="ER13" s="223"/>
      <c r="ES13" s="223"/>
      <c r="ET13" s="223"/>
      <c r="EU13" s="223"/>
      <c r="EV13" s="223"/>
      <c r="EW13" s="223"/>
      <c r="EX13" s="223"/>
      <c r="EY13" s="223"/>
      <c r="EZ13" s="223"/>
      <c r="FA13" s="223"/>
      <c r="FB13" s="223"/>
      <c r="FC13" s="223"/>
    </row>
    <row r="14" spans="4:159" hidden="1" x14ac:dyDescent="0.25">
      <c r="D14" s="219">
        <v>44166</v>
      </c>
      <c r="E14" s="219"/>
      <c r="F14" s="255"/>
      <c r="G14" s="255"/>
      <c r="H14" s="255"/>
      <c r="I14" s="255"/>
      <c r="J14" s="31"/>
      <c r="K14" s="31"/>
      <c r="L14" s="31"/>
      <c r="M14" s="31"/>
      <c r="N14" s="31"/>
      <c r="O14" s="31"/>
      <c r="P14" s="31"/>
      <c r="Q14" s="256">
        <f>SUM(E14:P14)</f>
        <v>0</v>
      </c>
      <c r="S14" s="271">
        <f>D14</f>
        <v>44166</v>
      </c>
      <c r="T14" s="256">
        <f t="shared" ref="T14:T33" si="60">E14</f>
        <v>0</v>
      </c>
      <c r="U14" s="256">
        <f>IF(HYPOTHETICAL_SCENARIO="Yes",IF((U$10-SUM(U$13:U13))=U$10,IF(F14&lt;=0,0,ROUND(F$47*LOT_DELIVERY_SCENARIO,0)),MIN(U$10-SUM(U$13:U13),ROUND(F$47*LOT_DELIVERY_SCENARIO,0))),F14)</f>
        <v>0</v>
      </c>
      <c r="V14" s="256">
        <f>IF(HYPOTHETICAL_SCENARIO="Yes",IF((V$10-SUM(V$13:V13))=V$10,IF(G14&lt;=0,0,ROUND(G$47*LOT_DELIVERY_SCENARIO,0)),MIN(V$10-SUM(V$13:V13),ROUND(G$47*LOT_DELIVERY_SCENARIO,0))),G14)</f>
        <v>0</v>
      </c>
      <c r="W14" s="256">
        <f>IF(HYPOTHETICAL_SCENARIO="Yes",IF((W$10-SUM(W$13:W13))=W$10,IF(H14&lt;=0,0,ROUND(H$47*LOT_DELIVERY_SCENARIO,0)),MIN(W$10-SUM(W$13:W13),ROUND(H$47*LOT_DELIVERY_SCENARIO,0))),H14)</f>
        <v>0</v>
      </c>
      <c r="X14" s="256">
        <f>IF(HYPOTHETICAL_SCENARIO="Yes",IF((X$10-SUM(X$13:X13))=X$10,IF(I14&lt;=0,0,ROUND(I$47*LOT_DELIVERY_SCENARIO,0)),MIN(X$10-SUM(X$13:X13),ROUND(I$47*LOT_DELIVERY_SCENARIO,0))),I14)</f>
        <v>0</v>
      </c>
      <c r="Y14" s="256">
        <f>IF(HYPOTHETICAL_SCENARIO="Yes",IF((Y$10-SUM(Y$13:Y13))=Y$10,IF(J14&lt;=0,0,ROUND(J$47*LOT_DELIVERY_SCENARIO,0)),MIN(Y$10-SUM(Y$13:Y13),ROUND(J$47*LOT_DELIVERY_SCENARIO,0))),J14)</f>
        <v>0</v>
      </c>
      <c r="Z14" s="256">
        <f>IF(HYPOTHETICAL_SCENARIO="Yes",IF((Z$10-SUM(Z$13:Z13))=Z$10,IF(K14&lt;=0,0,ROUND(K$47*LOT_DELIVERY_SCENARIO,0)),MIN(Z$10-SUM(Z$13:Z13),ROUND(K$47*LOT_DELIVERY_SCENARIO,0))),K14)</f>
        <v>0</v>
      </c>
      <c r="AA14" s="256">
        <f>IF(HYPOTHETICAL_SCENARIO="Yes",IF((AA$10-SUM(AA$13:AA13))=AA$10,IF(L14&lt;=0,0,ROUND(L$47*LOT_DELIVERY_SCENARIO,0)),MIN(AA$10-SUM(AA$13:AA13),ROUND(L$47*LOT_DELIVERY_SCENARIO,0))),L14)</f>
        <v>0</v>
      </c>
      <c r="AB14" s="256">
        <f>IF(HYPOTHETICAL_SCENARIO="Yes",IF((AB$10-SUM(AB$13:AB13))=AB$10,IF(M14&lt;=0,0,ROUND(M$47*LOT_DELIVERY_SCENARIO,0)),MIN(AB$10-SUM(AB$13:AB13),ROUND(M$47*LOT_DELIVERY_SCENARIO,0))),M14)</f>
        <v>0</v>
      </c>
      <c r="AC14" s="256">
        <f>IF(HYPOTHETICAL_SCENARIO="Yes",IF((AC$10-SUM(AC$13:AC13))=AC$10,IF(N14&lt;=0,0,ROUND(N$47*LOT_DELIVERY_SCENARIO,0)),MIN(AC$10-SUM(AC$13:AC13),ROUND(N$47*LOT_DELIVERY_SCENARIO,0))),N14)</f>
        <v>0</v>
      </c>
      <c r="AD14" s="256">
        <f>IF(HYPOTHETICAL_SCENARIO="Yes",IF((AD$10-SUM(AD$13:AD13))=AD$10,IF(O14&lt;=0,0,ROUND(O$47*LOT_DELIVERY_SCENARIO,0)),MIN(AD$10-SUM(AD$13:AD13),ROUND(O$47*LOT_DELIVERY_SCENARIO,0))),O14)</f>
        <v>0</v>
      </c>
      <c r="AE14" s="256">
        <f>IF(HYPOTHETICAL_SCENARIO="Yes",IF((AE$10-SUM(AE$13:AE13))=AE$10,IF(P14&lt;=0,0,ROUND(P$47*LOT_DELIVERY_SCENARIO,0)),MIN(AE$10-SUM(AE$13:AE13),ROUND(P$47*LOT_DELIVERY_SCENARIO,0))),P14)</f>
        <v>0</v>
      </c>
      <c r="AF14" s="256">
        <f>SUM(T14:AE14)</f>
        <v>0</v>
      </c>
      <c r="AH14" s="271">
        <f>D14</f>
        <v>44166</v>
      </c>
      <c r="AI14" s="221"/>
      <c r="AJ14" s="221">
        <f>U14*AJ$11</f>
        <v>0</v>
      </c>
      <c r="AK14" s="221">
        <f t="shared" ref="AK14" si="61">V14*AK$11</f>
        <v>0</v>
      </c>
      <c r="AL14" s="221">
        <f t="shared" ref="AL14" si="62">W14*AL$11</f>
        <v>0</v>
      </c>
      <c r="AM14" s="221">
        <f t="shared" ref="AM14" si="63">X14*AM$11</f>
        <v>0</v>
      </c>
      <c r="AN14" s="221">
        <f t="shared" ref="AN14" si="64">Y14*AN$11</f>
        <v>0</v>
      </c>
      <c r="AO14" s="221">
        <f t="shared" ref="AO14" si="65">Z14*AO$11</f>
        <v>0</v>
      </c>
      <c r="AP14" s="221">
        <f t="shared" ref="AP14" si="66">AA14*AP$11</f>
        <v>0</v>
      </c>
      <c r="AQ14" s="221">
        <f t="shared" ref="AQ14" si="67">AB14*AQ$11</f>
        <v>0</v>
      </c>
      <c r="AR14" s="221">
        <f t="shared" ref="AR14" si="68">AC14*AR$11</f>
        <v>0</v>
      </c>
      <c r="AS14" s="221">
        <f t="shared" ref="AS14" si="69">AD14*AS$11</f>
        <v>0</v>
      </c>
      <c r="AT14" s="221">
        <f t="shared" ref="AT14" si="70">AE14*AT$11</f>
        <v>0</v>
      </c>
      <c r="AU14" s="221">
        <f>SUM(AI14:AT14)</f>
        <v>0</v>
      </c>
      <c r="AW14" s="271">
        <f>D14</f>
        <v>44166</v>
      </c>
      <c r="AX14" s="221">
        <f>AI14</f>
        <v>0</v>
      </c>
      <c r="AY14" s="221">
        <f ca="1">OFFSET(AJ14,-1,0)</f>
        <v>0</v>
      </c>
      <c r="AZ14" s="221">
        <f t="shared" ref="AZ14:AZ30" ca="1" si="71">OFFSET(AK14,-1,0)</f>
        <v>0</v>
      </c>
      <c r="BA14" s="221">
        <f t="shared" ref="BA14:BA30" ca="1" si="72">OFFSET(AL14,-1,0)</f>
        <v>0</v>
      </c>
      <c r="BB14" s="221">
        <f t="shared" ref="BB14:BB30" ca="1" si="73">OFFSET(AM14,-1,0)</f>
        <v>0</v>
      </c>
      <c r="BC14" s="221">
        <f t="shared" ref="BC14:BC30" ca="1" si="74">OFFSET(AN14,-1,0)</f>
        <v>0</v>
      </c>
      <c r="BD14" s="221">
        <f t="shared" ref="BD14:BD30" ca="1" si="75">OFFSET(AO14,-1,0)</f>
        <v>0</v>
      </c>
      <c r="BE14" s="221">
        <f t="shared" ref="BE14:BE30" ca="1" si="76">OFFSET(AP14,-1,0)</f>
        <v>0</v>
      </c>
      <c r="BF14" s="221">
        <f t="shared" ref="BF14:BF30" ca="1" si="77">OFFSET(AQ14,-1,0)</f>
        <v>0</v>
      </c>
      <c r="BG14" s="221">
        <f t="shared" ref="BG14:BG30" ca="1" si="78">OFFSET(AR14,-1,0)</f>
        <v>0</v>
      </c>
      <c r="BH14" s="221">
        <f t="shared" ref="BH14" ca="1" si="79">OFFSET(AS14,-1,0)</f>
        <v>0</v>
      </c>
      <c r="BI14" s="221">
        <f t="shared" ref="BI14" ca="1" si="80">OFFSET(AT14,-1,0)</f>
        <v>0</v>
      </c>
      <c r="BJ14" s="221"/>
      <c r="BK14" s="221">
        <f ca="1">SUM(AX14:BI14,BJ14)</f>
        <v>0</v>
      </c>
      <c r="BM14" s="271">
        <f>D14</f>
        <v>44166</v>
      </c>
      <c r="BN14" s="221">
        <f t="shared" ref="BN14:BW14" ca="1" si="81">-OFFSET(AX14,-1,0)</f>
        <v>0</v>
      </c>
      <c r="BO14" s="221">
        <f t="shared" ca="1" si="81"/>
        <v>0</v>
      </c>
      <c r="BP14" s="221">
        <f t="shared" ca="1" si="81"/>
        <v>0</v>
      </c>
      <c r="BQ14" s="221">
        <f t="shared" ca="1" si="81"/>
        <v>0</v>
      </c>
      <c r="BR14" s="221">
        <f t="shared" ca="1" si="81"/>
        <v>0</v>
      </c>
      <c r="BS14" s="221">
        <f t="shared" ca="1" si="81"/>
        <v>0</v>
      </c>
      <c r="BT14" s="221">
        <f t="shared" ca="1" si="81"/>
        <v>0</v>
      </c>
      <c r="BU14" s="221">
        <f t="shared" ca="1" si="81"/>
        <v>0</v>
      </c>
      <c r="BV14" s="221">
        <f t="shared" ca="1" si="81"/>
        <v>0</v>
      </c>
      <c r="BW14" s="221">
        <f t="shared" ca="1" si="81"/>
        <v>0</v>
      </c>
      <c r="BX14" s="221">
        <f t="shared" ref="BX14:BY14" ca="1" si="82">-OFFSET(BH14,-1,0)</f>
        <v>0</v>
      </c>
      <c r="BY14" s="221">
        <f t="shared" ca="1" si="82"/>
        <v>0</v>
      </c>
      <c r="BZ14" s="221">
        <f>-BJ14</f>
        <v>0</v>
      </c>
      <c r="CA14" s="221">
        <f ca="1">SUM(BN14:BZ14)</f>
        <v>0</v>
      </c>
      <c r="CB14" s="221">
        <f ca="1">$BK14+SUM($BO14:$BW14)+BZ14</f>
        <v>0</v>
      </c>
      <c r="CD14" s="75">
        <f t="shared" ref="CD14:CD38" si="83">D14</f>
        <v>44166</v>
      </c>
      <c r="CE14" s="339"/>
      <c r="CF14" s="342"/>
      <c r="CG14" s="342"/>
      <c r="CH14" s="342"/>
      <c r="CI14" s="342"/>
      <c r="CJ14" s="342"/>
      <c r="CK14" s="342"/>
      <c r="CL14" s="342"/>
      <c r="CM14" s="342"/>
      <c r="CN14" s="342"/>
      <c r="CO14" s="342"/>
      <c r="CP14" s="342"/>
      <c r="CQ14" s="236">
        <f>SUM(CF14:CP14)</f>
        <v>0</v>
      </c>
      <c r="CS14" s="75">
        <f>CD14</f>
        <v>44166</v>
      </c>
      <c r="CT14" s="256">
        <f>CE14</f>
        <v>0</v>
      </c>
      <c r="CU14" s="256">
        <f>IF(HYPOTHETICAL_SCENARIO="Yes",IF((CU$10-SUM(CU$13:CU13))=CU$10,IF(CF14&lt;=0,0,ROUND(CF$47*ABSORPTION_SCENARIO,0)),MIN(CU$10-SUM(CU$13:CU13),ROUND(CF$47*ABSORPTION_SCENARIO,0))),CF14)</f>
        <v>0</v>
      </c>
      <c r="CV14" s="256">
        <f>IF(HYPOTHETICAL_SCENARIO="Yes",IF((CV$10-SUM(CV$13:CV13))=CV$10,IF(CG14&lt;=0,0,ROUND(CG$47*ABSORPTION_SCENARIO,0)),MIN(CV$10-SUM(CV$13:CV13),ROUND(CG$47*ABSORPTION_SCENARIO,0))),CG14)</f>
        <v>0</v>
      </c>
      <c r="CW14" s="256">
        <f>IF(HYPOTHETICAL_SCENARIO="Yes",IF((CW$10-SUM(CW$13:CW13))=CW$10,IF(CH14&lt;=0,0,ROUND(CH$47*ABSORPTION_SCENARIO,0)),MIN(CW$10-SUM(CW$13:CW13),ROUND(CH$47*ABSORPTION_SCENARIO,0))),CH14)</f>
        <v>0</v>
      </c>
      <c r="CX14" s="256">
        <f>IF(HYPOTHETICAL_SCENARIO="Yes",IF((CX$10-SUM(CX$13:CX13))=CX$10,IF(CI14&lt;=0,0,ROUND(CI$47*ABSORPTION_SCENARIO,0)),MIN(CX$10-SUM(CX$13:CX13),ROUND(CI$47*ABSORPTION_SCENARIO,0))),CI14)</f>
        <v>0</v>
      </c>
      <c r="CY14" s="256">
        <f>IF(HYPOTHETICAL_SCENARIO="Yes",IF((CY$10-SUM(CY$13:CY13))=CY$10,IF(CJ14&lt;=0,0,ROUND(CJ$47*ABSORPTION_SCENARIO,0)),MIN(CY$10-SUM(CY$13:CY13),ROUND(CJ$47*ABSORPTION_SCENARIO,0))),CJ14)</f>
        <v>0</v>
      </c>
      <c r="CZ14" s="256">
        <f>IF(HYPOTHETICAL_SCENARIO="Yes",IF((CZ$10-SUM(CZ$13:CZ13))=CZ$10,IF(CK14&lt;=0,0,ROUND(CK$47*ABSORPTION_SCENARIO,0)),MIN(CZ$10-SUM(CZ$13:CZ13),ROUND(CK$47*ABSORPTION_SCENARIO,0))),CK14)</f>
        <v>0</v>
      </c>
      <c r="DA14" s="256">
        <f>IF(HYPOTHETICAL_SCENARIO="Yes",IF((DA$10-SUM(DA$13:DA13))=DA$10,IF(CL14&lt;=0,0,ROUND(CL$47*ABSORPTION_SCENARIO,0)),MIN(DA$10-SUM(DA$13:DA13),ROUND(CL$47*ABSORPTION_SCENARIO,0))),CL14)</f>
        <v>0</v>
      </c>
      <c r="DB14" s="256">
        <f>IF(HYPOTHETICAL_SCENARIO="Yes",IF((DB$10-SUM(DB$13:DB13))=DB$10,IF(CM14&lt;=0,0,ROUND(CM$47*ABSORPTION_SCENARIO,0)),MIN(DB$10-SUM(DB$13:DB13),ROUND(CM$47*ABSORPTION_SCENARIO,0))),CM14)</f>
        <v>0</v>
      </c>
      <c r="DC14" s="256">
        <f>IF(HYPOTHETICAL_SCENARIO="Yes",IF((DC$10-SUM(DC$13:DC13))=DC$10,IF(CN14&lt;=0,0,ROUND(CN$47*ABSORPTION_SCENARIO,0)),MIN(DC$10-SUM(DC$13:DC13),ROUND(CN$47*ABSORPTION_SCENARIO,0))),CN14)</f>
        <v>0</v>
      </c>
      <c r="DD14" s="256">
        <f>IF(HYPOTHETICAL_SCENARIO="Yes",IF((DD$10-SUM(DD$13:DD13))=DD$10,IF(CO14&lt;=0,0,ROUND(CO$47*ABSORPTION_SCENARIO,0)),MIN(DD$10-SUM(DD$13:DD13),ROUND(CO$47*ABSORPTION_SCENARIO,0))),CO14)</f>
        <v>0</v>
      </c>
      <c r="DE14" s="256">
        <f>IF(HYPOTHETICAL_SCENARIO="Yes",IF((DE$10-SUM(DE$13:DE13))=DE$10,IF(CP14&lt;=0,0,ROUND(CP$47*ABSORPTION_SCENARIO,0)),MIN(DE$10-SUM(DE$13:DE13),ROUND(CP$47*ABSORPTION_SCENARIO,0))),CP14)</f>
        <v>0</v>
      </c>
      <c r="DF14" s="256">
        <f>SUM(CT14:DE14)</f>
        <v>0</v>
      </c>
      <c r="DH14" s="75">
        <f>CD14</f>
        <v>44166</v>
      </c>
      <c r="DI14" s="75"/>
      <c r="DW14" s="75">
        <f>DH14</f>
        <v>44166</v>
      </c>
      <c r="DX14" s="308"/>
      <c r="DY14" s="338"/>
      <c r="DZ14" s="221">
        <f t="shared" ref="DZ14:EJ14" si="84">CU14*DJ14</f>
        <v>0</v>
      </c>
      <c r="EA14" s="221">
        <f t="shared" si="84"/>
        <v>0</v>
      </c>
      <c r="EB14" s="221">
        <f t="shared" si="84"/>
        <v>0</v>
      </c>
      <c r="EC14" s="221">
        <f t="shared" si="84"/>
        <v>0</v>
      </c>
      <c r="ED14" s="221">
        <f t="shared" si="84"/>
        <v>0</v>
      </c>
      <c r="EE14" s="221">
        <f t="shared" si="84"/>
        <v>0</v>
      </c>
      <c r="EF14" s="221">
        <f t="shared" si="84"/>
        <v>0</v>
      </c>
      <c r="EG14" s="221">
        <f t="shared" si="84"/>
        <v>0</v>
      </c>
      <c r="EH14" s="221">
        <f t="shared" si="84"/>
        <v>0</v>
      </c>
      <c r="EI14" s="221">
        <f t="shared" si="84"/>
        <v>0</v>
      </c>
      <c r="EJ14" s="221">
        <f t="shared" si="84"/>
        <v>0</v>
      </c>
      <c r="EK14" s="221">
        <f>SUM(DZ14:EJ14)</f>
        <v>0</v>
      </c>
      <c r="EL14" s="221">
        <f>DX14+EK14</f>
        <v>0</v>
      </c>
      <c r="EN14" s="75">
        <f>DY14</f>
        <v>0</v>
      </c>
      <c r="EO14" s="308"/>
      <c r="EP14" s="338"/>
      <c r="EQ14" s="221">
        <f t="shared" ref="EQ14:EQ15" si="85">DL14*EA14</f>
        <v>0</v>
      </c>
      <c r="ER14" s="221">
        <f t="shared" ref="ER14:ER16" si="86">DM14*EB14</f>
        <v>0</v>
      </c>
      <c r="ES14" s="221">
        <f t="shared" ref="ES14:ES16" si="87">DN14*EC14</f>
        <v>0</v>
      </c>
      <c r="ET14" s="221">
        <f t="shared" ref="ET14:ET16" si="88">DO14*ED14</f>
        <v>0</v>
      </c>
      <c r="EU14" s="221">
        <f t="shared" ref="EU14:EU16" si="89">DP14*EE14</f>
        <v>0</v>
      </c>
      <c r="EV14" s="221">
        <f t="shared" ref="EV14:EV16" si="90">DQ14*EF14</f>
        <v>0</v>
      </c>
      <c r="EW14" s="221">
        <f t="shared" ref="EW14:EW16" si="91">DR14*EG14</f>
        <v>0</v>
      </c>
      <c r="EX14" s="221">
        <f t="shared" ref="EX14:EX16" si="92">DS14*EH14</f>
        <v>0</v>
      </c>
      <c r="EY14" s="221">
        <f t="shared" ref="EY14:EY16" si="93">DT14*EI14</f>
        <v>0</v>
      </c>
      <c r="EZ14" s="221">
        <f t="shared" ref="EZ14:EZ16" si="94">DU14*EJ14</f>
        <v>0</v>
      </c>
      <c r="FA14" s="221">
        <f t="shared" ref="FA14:FA16" si="95">DV14*EK14</f>
        <v>0</v>
      </c>
      <c r="FB14" s="221">
        <f>SUM(EQ14:FA14)</f>
        <v>0</v>
      </c>
      <c r="FC14" s="221">
        <f>EO14+FB14</f>
        <v>0</v>
      </c>
    </row>
    <row r="15" spans="4:159" hidden="1" x14ac:dyDescent="0.25">
      <c r="D15" s="75">
        <f>EDATE(D14,12)</f>
        <v>44531</v>
      </c>
      <c r="E15" s="324"/>
      <c r="F15" s="341"/>
      <c r="G15" s="341"/>
      <c r="H15" s="341"/>
      <c r="I15" s="341"/>
      <c r="J15" s="307"/>
      <c r="K15" s="307"/>
      <c r="L15" s="307"/>
      <c r="M15" s="307"/>
      <c r="N15" s="307"/>
      <c r="O15" s="307"/>
      <c r="P15" s="307"/>
      <c r="Q15" s="256">
        <f>SUM(F15:P15)</f>
        <v>0</v>
      </c>
      <c r="S15" s="271">
        <f t="shared" ref="S15:S38" si="96">D15</f>
        <v>44531</v>
      </c>
      <c r="T15" s="256">
        <f t="shared" si="60"/>
        <v>0</v>
      </c>
      <c r="U15" s="256">
        <f>IF(HYPOTHETICAL_SCENARIO="Yes",IF((U$10-SUM(U$13:U14))=U$10,IF(F15&lt;=0,0,ROUND(F$47*LOT_DELIVERY_SCENARIO,0)),MIN(U$10-SUM(U$13:U14),ROUND(F$47*LOT_DELIVERY_SCENARIO,0))),F15)</f>
        <v>0</v>
      </c>
      <c r="V15" s="256">
        <f>IF(HYPOTHETICAL_SCENARIO="Yes",IF((V$10-SUM(V$13:V14))=V$10,IF(G15&lt;=0,0,ROUND(G$47*LOT_DELIVERY_SCENARIO,0)),MIN(V$10-SUM(V$13:V14),ROUND(G$47*LOT_DELIVERY_SCENARIO,0))),G15)</f>
        <v>0</v>
      </c>
      <c r="W15" s="256">
        <f>IF(HYPOTHETICAL_SCENARIO="Yes",IF((W$10-SUM(W$13:W14))=W$10,IF(H15&lt;=0,0,ROUND(H$47*LOT_DELIVERY_SCENARIO,0)),MIN(W$10-SUM(W$13:W14),ROUND(H$47*LOT_DELIVERY_SCENARIO,0))),H15)</f>
        <v>0</v>
      </c>
      <c r="X15" s="256">
        <f>IF(HYPOTHETICAL_SCENARIO="Yes",IF((X$10-SUM(X$13:X14))=X$10,IF(I15&lt;=0,0,ROUND(I$47*LOT_DELIVERY_SCENARIO,0)),MIN(X$10-SUM(X$13:X14),ROUND(I$47*LOT_DELIVERY_SCENARIO,0))),I15)</f>
        <v>0</v>
      </c>
      <c r="Y15" s="256">
        <f>IF(HYPOTHETICAL_SCENARIO="Yes",IF((Y$10-SUM(Y$13:Y14))=Y$10,IF(J15&lt;=0,0,ROUND(J$47*LOT_DELIVERY_SCENARIO,0)),MIN(Y$10-SUM(Y$13:Y14),ROUND(J$47*LOT_DELIVERY_SCENARIO,0))),J15)</f>
        <v>0</v>
      </c>
      <c r="Z15" s="256">
        <f>IF(HYPOTHETICAL_SCENARIO="Yes",IF((Z$10-SUM(Z$13:Z14))=Z$10,IF(K15&lt;=0,0,ROUND(K$47*LOT_DELIVERY_SCENARIO,0)),MIN(Z$10-SUM(Z$13:Z14),ROUND(K$47*LOT_DELIVERY_SCENARIO,0))),K15)</f>
        <v>0</v>
      </c>
      <c r="AA15" s="256">
        <f>IF(HYPOTHETICAL_SCENARIO="Yes",IF((AA$10-SUM(AA$13:AA14))=AA$10,IF(L15&lt;=0,0,ROUND(L$47*LOT_DELIVERY_SCENARIO,0)),MIN(AA$10-SUM(AA$13:AA14),ROUND(L$47*LOT_DELIVERY_SCENARIO,0))),L15)</f>
        <v>0</v>
      </c>
      <c r="AB15" s="256">
        <f>IF(HYPOTHETICAL_SCENARIO="Yes",IF((AB$10-SUM(AB$13:AB14))=AB$10,IF(M15&lt;=0,0,ROUND(M$47*LOT_DELIVERY_SCENARIO,0)),MIN(AB$10-SUM(AB$13:AB14),ROUND(M$47*LOT_DELIVERY_SCENARIO,0))),M15)</f>
        <v>0</v>
      </c>
      <c r="AC15" s="256">
        <f>IF(HYPOTHETICAL_SCENARIO="Yes",IF((AC$10-SUM(AC$13:AC14))=AC$10,IF(N15&lt;=0,0,ROUND(N$47*LOT_DELIVERY_SCENARIO,0)),MIN(AC$10-SUM(AC$13:AC14),ROUND(N$47*LOT_DELIVERY_SCENARIO,0))),N15)</f>
        <v>0</v>
      </c>
      <c r="AD15" s="256">
        <f>IF(HYPOTHETICAL_SCENARIO="Yes",IF((AD$10-SUM(AD$13:AD14))=AD$10,IF(O15&lt;=0,0,ROUND(O$47*LOT_DELIVERY_SCENARIO,0)),MIN(AD$10-SUM(AD$13:AD14),ROUND(O$47*LOT_DELIVERY_SCENARIO,0))),O15)</f>
        <v>0</v>
      </c>
      <c r="AE15" s="256">
        <f>IF(HYPOTHETICAL_SCENARIO="Yes",IF((AE$10-SUM(AE$13:AE14))=AE$10,IF(P15&lt;=0,0,ROUND(P$47*LOT_DELIVERY_SCENARIO,0)),MIN(AE$10-SUM(AE$13:AE14),ROUND(P$47*LOT_DELIVERY_SCENARIO,0))),P15)</f>
        <v>0</v>
      </c>
      <c r="AF15" s="256">
        <f t="shared" ref="AF15:AF38" si="97">SUM(T15:AE15)</f>
        <v>0</v>
      </c>
      <c r="AH15" s="75">
        <f>EDATE(AH14,12)</f>
        <v>44531</v>
      </c>
      <c r="AI15" s="222"/>
      <c r="AJ15" s="221">
        <f t="shared" ref="AJ15:AJ16" si="98">U15*AJ$11</f>
        <v>0</v>
      </c>
      <c r="AK15" s="221">
        <f t="shared" ref="AK15:AK16" si="99">V15*AK$11</f>
        <v>0</v>
      </c>
      <c r="AL15" s="221">
        <f t="shared" ref="AL15:AL16" si="100">W15*AL$11</f>
        <v>0</v>
      </c>
      <c r="AM15" s="221">
        <f t="shared" ref="AM15:AM16" si="101">X15*AM$11</f>
        <v>0</v>
      </c>
      <c r="AN15" s="221">
        <f t="shared" ref="AN15:AN16" si="102">Y15*AN$11</f>
        <v>0</v>
      </c>
      <c r="AO15" s="221">
        <f t="shared" ref="AO15:AO16" si="103">Z15*AO$11</f>
        <v>0</v>
      </c>
      <c r="AP15" s="221">
        <f t="shared" ref="AP15:AP16" si="104">AA15*AP$11</f>
        <v>0</v>
      </c>
      <c r="AQ15" s="221">
        <f t="shared" ref="AQ15:AQ16" si="105">AB15*AQ$11</f>
        <v>0</v>
      </c>
      <c r="AR15" s="221">
        <f t="shared" ref="AR15:AR16" si="106">AC15*AR$11</f>
        <v>0</v>
      </c>
      <c r="AS15" s="221">
        <f t="shared" ref="AS15:AS16" si="107">AD15*AS$11</f>
        <v>0</v>
      </c>
      <c r="AT15" s="221">
        <f t="shared" ref="AT15:AT16" si="108">AE15*AT$11</f>
        <v>0</v>
      </c>
      <c r="AU15" s="221">
        <f t="shared" ref="AU15:AU38" si="109">SUM(AI15:AT15)</f>
        <v>0</v>
      </c>
      <c r="AW15" s="75">
        <f>EDATE(AW14,12)</f>
        <v>44531</v>
      </c>
      <c r="AX15" s="221">
        <f>AI15</f>
        <v>0</v>
      </c>
      <c r="AY15" s="221">
        <f t="shared" ref="AY15:AY30" ca="1" si="110">OFFSET(AJ15,-1,0)</f>
        <v>0</v>
      </c>
      <c r="AZ15" s="221">
        <f t="shared" ca="1" si="71"/>
        <v>0</v>
      </c>
      <c r="BA15" s="221">
        <f t="shared" ca="1" si="72"/>
        <v>0</v>
      </c>
      <c r="BB15" s="221">
        <f t="shared" ca="1" si="73"/>
        <v>0</v>
      </c>
      <c r="BC15" s="221">
        <f t="shared" ca="1" si="74"/>
        <v>0</v>
      </c>
      <c r="BD15" s="221">
        <f t="shared" ca="1" si="75"/>
        <v>0</v>
      </c>
      <c r="BE15" s="221">
        <f t="shared" ca="1" si="76"/>
        <v>0</v>
      </c>
      <c r="BF15" s="221">
        <f t="shared" ca="1" si="77"/>
        <v>0</v>
      </c>
      <c r="BG15" s="221">
        <f t="shared" ca="1" si="78"/>
        <v>0</v>
      </c>
      <c r="BH15" s="221">
        <f t="shared" ref="BH15:BH38" ca="1" si="111">OFFSET(AS15,-1,0)</f>
        <v>0</v>
      </c>
      <c r="BI15" s="221">
        <f t="shared" ref="BI15:BI38" ca="1" si="112">OFFSET(AT15,-1,0)</f>
        <v>0</v>
      </c>
      <c r="BJ15" s="221"/>
      <c r="BK15" s="221">
        <f t="shared" ref="BK15:BK38" ca="1" si="113">SUM(AX15:BI15,BJ15)</f>
        <v>0</v>
      </c>
      <c r="BM15" s="75">
        <f>EDATE(BM14,12)</f>
        <v>44531</v>
      </c>
      <c r="BN15" s="221">
        <f t="shared" ref="BN15:BN38" ca="1" si="114">-OFFSET(AX15,-1,0)</f>
        <v>0</v>
      </c>
      <c r="BO15" s="221">
        <f t="shared" ref="BO15:BO33" ca="1" si="115">-OFFSET(AY15,-1,0)</f>
        <v>0</v>
      </c>
      <c r="BP15" s="221">
        <f t="shared" ref="BP15:BP33" ca="1" si="116">-OFFSET(AZ15,-1,0)</f>
        <v>0</v>
      </c>
      <c r="BQ15" s="221">
        <f t="shared" ref="BQ15:BQ33" ca="1" si="117">-OFFSET(BA15,-1,0)</f>
        <v>0</v>
      </c>
      <c r="BR15" s="221">
        <f t="shared" ref="BR15:BR33" ca="1" si="118">-OFFSET(BB15,-1,0)</f>
        <v>0</v>
      </c>
      <c r="BS15" s="221">
        <f t="shared" ref="BS15:BS33" ca="1" si="119">-OFFSET(BC15,-1,0)</f>
        <v>0</v>
      </c>
      <c r="BT15" s="221">
        <f t="shared" ref="BT15:BT33" ca="1" si="120">-OFFSET(BD15,-1,0)</f>
        <v>0</v>
      </c>
      <c r="BU15" s="221">
        <f t="shared" ref="BU15:BU33" ca="1" si="121">-OFFSET(BE15,-1,0)</f>
        <v>0</v>
      </c>
      <c r="BV15" s="221">
        <f t="shared" ref="BV15:BV33" ca="1" si="122">-OFFSET(BF15,-1,0)</f>
        <v>0</v>
      </c>
      <c r="BW15" s="221">
        <f t="shared" ref="BW15:BW33" ca="1" si="123">-OFFSET(BG15,-1,0)</f>
        <v>0</v>
      </c>
      <c r="BX15" s="221">
        <f t="shared" ref="BX15:BX38" ca="1" si="124">-OFFSET(BH15,-1,0)</f>
        <v>0</v>
      </c>
      <c r="BY15" s="221">
        <f t="shared" ref="BY15:BY38" ca="1" si="125">-OFFSET(BI15,-1,0)</f>
        <v>0</v>
      </c>
      <c r="BZ15" s="221">
        <f t="shared" ref="BZ15:BZ33" si="126">-BJ15</f>
        <v>0</v>
      </c>
      <c r="CA15" s="221">
        <f t="shared" ref="CA15:CA33" ca="1" si="127">SUM(BN15:BZ15)</f>
        <v>0</v>
      </c>
      <c r="CB15" s="221">
        <f t="shared" ref="CB15:CB36" ca="1" si="128">$BK15+SUM($BO15:$BW15)+BZ15</f>
        <v>0</v>
      </c>
      <c r="CD15" s="75">
        <f t="shared" si="83"/>
        <v>44531</v>
      </c>
      <c r="CE15" s="340"/>
      <c r="CF15" s="343"/>
      <c r="CG15" s="343"/>
      <c r="CH15" s="343"/>
      <c r="CI15" s="343"/>
      <c r="CJ15" s="343"/>
      <c r="CK15" s="343"/>
      <c r="CL15" s="343"/>
      <c r="CM15" s="343"/>
      <c r="CN15" s="343"/>
      <c r="CO15" s="343"/>
      <c r="CP15" s="343"/>
      <c r="CQ15" s="236">
        <f t="shared" ref="CQ15:CQ38" si="129">SUM(CF15:CP15)</f>
        <v>0</v>
      </c>
      <c r="CS15" s="75">
        <f t="shared" ref="CS15:CS38" si="130">CD15</f>
        <v>44531</v>
      </c>
      <c r="CT15" s="256">
        <f t="shared" ref="CT15:CT38" si="131">CE15</f>
        <v>0</v>
      </c>
      <c r="CU15" s="256">
        <f>IF(HYPOTHETICAL_SCENARIO="Yes",IF((CU$10-SUM(CU$13:CU14))=CU$10,IF(CF15&lt;=0,0,ROUND(CF$47*ABSORPTION_SCENARIO,0)),MIN(CU$10-SUM(CU$13:CU14),ROUND(CF$47*ABSORPTION_SCENARIO,0))),CF15)</f>
        <v>0</v>
      </c>
      <c r="CV15" s="256">
        <f>IF(HYPOTHETICAL_SCENARIO="Yes",IF((CV$10-SUM(CV$13:CV14))=CV$10,IF(CG15&lt;=0,0,ROUND(CG$47*ABSORPTION_SCENARIO,0)),MIN(CV$10-SUM(CV$13:CV14),ROUND(CG$47*ABSORPTION_SCENARIO,0))),CG15)</f>
        <v>0</v>
      </c>
      <c r="CW15" s="256">
        <f>IF(HYPOTHETICAL_SCENARIO="Yes",IF((CW$10-SUM(CW$13:CW14))=CW$10,IF(CH15&lt;=0,0,ROUND(CH$47*ABSORPTION_SCENARIO,0)),MIN(CW$10-SUM(CW$13:CW14),ROUND(CH$47*ABSORPTION_SCENARIO,0))),CH15)</f>
        <v>0</v>
      </c>
      <c r="CX15" s="256">
        <f>IF(HYPOTHETICAL_SCENARIO="Yes",IF((CX$10-SUM(CX$13:CX14))=CX$10,IF(CI15&lt;=0,0,ROUND(CI$47*ABSORPTION_SCENARIO,0)),MIN(CX$10-SUM(CX$13:CX14),ROUND(CI$47*ABSORPTION_SCENARIO,0))),CI15)</f>
        <v>0</v>
      </c>
      <c r="CY15" s="256">
        <f>IF(HYPOTHETICAL_SCENARIO="Yes",IF((CY$10-SUM(CY$13:CY14))=CY$10,IF(CJ15&lt;=0,0,ROUND(CJ$47*ABSORPTION_SCENARIO,0)),MIN(CY$10-SUM(CY$13:CY14),ROUND(CJ$47*ABSORPTION_SCENARIO,0))),CJ15)</f>
        <v>0</v>
      </c>
      <c r="CZ15" s="256">
        <f>IF(HYPOTHETICAL_SCENARIO="Yes",IF((CZ$10-SUM(CZ$13:CZ14))=CZ$10,IF(CK15&lt;=0,0,ROUND(CK$47*ABSORPTION_SCENARIO,0)),MIN(CZ$10-SUM(CZ$13:CZ14),ROUND(CK$47*ABSORPTION_SCENARIO,0))),CK15)</f>
        <v>0</v>
      </c>
      <c r="DA15" s="256">
        <f>IF(HYPOTHETICAL_SCENARIO="Yes",IF((DA$10-SUM(DA$13:DA14))=DA$10,IF(CL15&lt;=0,0,ROUND(CL$47*ABSORPTION_SCENARIO,0)),MIN(DA$10-SUM(DA$13:DA14),ROUND(CL$47*ABSORPTION_SCENARIO,0))),CL15)</f>
        <v>0</v>
      </c>
      <c r="DB15" s="256">
        <f>IF(HYPOTHETICAL_SCENARIO="Yes",IF((DB$10-SUM(DB$13:DB14))=DB$10,IF(CM15&lt;=0,0,ROUND(CM$47*ABSORPTION_SCENARIO,0)),MIN(DB$10-SUM(DB$13:DB14),ROUND(CM$47*ABSORPTION_SCENARIO,0))),CM15)</f>
        <v>0</v>
      </c>
      <c r="DC15" s="256">
        <f>IF(HYPOTHETICAL_SCENARIO="Yes",IF((DC$10-SUM(DC$13:DC14))=DC$10,IF(CN15&lt;=0,0,ROUND(CN$47*ABSORPTION_SCENARIO,0)),MIN(DC$10-SUM(DC$13:DC14),ROUND(CN$47*ABSORPTION_SCENARIO,0))),CN15)</f>
        <v>0</v>
      </c>
      <c r="DD15" s="256">
        <f>IF(HYPOTHETICAL_SCENARIO="Yes",IF((DD$10-SUM(DD$13:DD14))=DD$10,IF(CO15&lt;=0,0,ROUND(CO$47*ABSORPTION_SCENARIO,0)),MIN(DD$10-SUM(DD$13:DD14),ROUND(CO$47*ABSORPTION_SCENARIO,0))),CO15)</f>
        <v>0</v>
      </c>
      <c r="DE15" s="256">
        <f>IF(HYPOTHETICAL_SCENARIO="Yes",IF((DE$10-SUM(DE$13:DE14))=DE$10,IF(CP15&lt;=0,0,ROUND(CP$47*ABSORPTION_SCENARIO,0)),MIN(DE$10-SUM(DE$13:DE14),ROUND(CP$47*ABSORPTION_SCENARIO,0))),CP15)</f>
        <v>0</v>
      </c>
      <c r="DF15" s="256">
        <f t="shared" ref="DF15:DF37" si="132">SUM(CT15:DE15)</f>
        <v>0</v>
      </c>
      <c r="DH15" s="75">
        <f t="shared" ref="DH15:DH38" si="133">CD15</f>
        <v>44531</v>
      </c>
      <c r="DI15" s="75"/>
      <c r="DJ15" s="218">
        <f>MAX(DJ$11,IF(YEAR(RESID_DELIVERY_YEAR)=YEAR(DH15),DJ$11,DJ$11*((1+$DJ$10)^(((YEAR($DH15)-YEAR(RESID_DELIVERY_YEAR)))))))</f>
        <v>365620</v>
      </c>
      <c r="DK15" s="218">
        <f t="shared" ref="DK15" si="134">MAX(DK$11,IF(YEAR(RESID_DELIVERY_YEAR)=YEAR(DI15),DK$11,DK$11*((1+$DJ$10)^(((YEAR($DH15)-YEAR(RESID_DELIVERY_YEAR)))))))</f>
        <v>394910</v>
      </c>
      <c r="DL15" s="218">
        <f t="shared" ref="DL15" si="135">MAX(DL$11,IF(YEAR(RESID_DELIVERY_YEAR)=YEAR(DJ15),DL$11,DL$11*((1+$DJ$10)^(((YEAR($DH15)-YEAR(RESID_DELIVERY_YEAR)))))))</f>
        <v>434350</v>
      </c>
      <c r="DM15" s="218">
        <f t="shared" ref="DM15" si="136">MAX(DM$11,IF(YEAR(RESID_DELIVERY_YEAR)=YEAR(DK15),DM$11,DM$11*((1+$DJ$10)^(((YEAR($DH15)-YEAR(RESID_DELIVERY_YEAR)))))))</f>
        <v>492150</v>
      </c>
      <c r="DN15" s="218">
        <f t="shared" ref="DN15" si="137">MAX(DN$11,IF(YEAR(RESID_DELIVERY_YEAR)=YEAR(DL15),DN$11,DN$11*((1+$DJ$10)^(((YEAR($DH15)-YEAR(RESID_DELIVERY_YEAR)))))))</f>
        <v>563750</v>
      </c>
      <c r="DO15" s="218">
        <f t="shared" ref="DO15" si="138">MAX(DO$11,IF(YEAR(RESID_DELIVERY_YEAR)=YEAR(DM15),DO$11,DO$11*((1+$DJ$10)^(((YEAR($DH15)-YEAR(RESID_DELIVERY_YEAR)))))))</f>
        <v>635500</v>
      </c>
      <c r="DP15" s="218">
        <f t="shared" ref="DP15" si="139">MAX(DP$11,IF(YEAR(RESID_DELIVERY_YEAR)=YEAR(DN15),DP$11,DP$11*((1+$DJ$10)^(((YEAR($DH15)-YEAR(RESID_DELIVERY_YEAR)))))))</f>
        <v>709813</v>
      </c>
      <c r="DQ15" s="218">
        <f t="shared" ref="DQ15" si="140">MAX(DQ$11,IF(YEAR(RESID_DELIVERY_YEAR)=YEAR(DO15),DQ$11,DQ$11*((1+$DJ$10)^(((YEAR($DH15)-YEAR(RESID_DELIVERY_YEAR)))))))</f>
        <v>761063</v>
      </c>
      <c r="DR15" s="218">
        <f t="shared" ref="DR15" si="141">MAX(DR$11,IF(YEAR(RESID_DELIVERY_YEAR)=YEAR(DP15),DR$11,DR$11*((1+$DJ$10)^(((YEAR($DH15)-YEAR(RESID_DELIVERY_YEAR)))))))</f>
        <v>0</v>
      </c>
      <c r="DS15" s="218">
        <f t="shared" ref="DS15" si="142">MAX(DS$11,IF(YEAR(RESID_DELIVERY_YEAR)=YEAR(DQ15),DS$11,DS$11*((1+$DJ$10)^(((YEAR($DH15)-YEAR(RESID_DELIVERY_YEAR)))))))</f>
        <v>0</v>
      </c>
      <c r="DT15" s="218">
        <f t="shared" ref="DT15" si="143">MAX(DT$11,IF(YEAR(RESID_DELIVERY_YEAR)=YEAR(DR15),DT$11,DT$11*((1+$DJ$10)^(((YEAR($DH15)-YEAR(RESID_DELIVERY_YEAR)))))))</f>
        <v>0</v>
      </c>
      <c r="DW15" s="75">
        <f t="shared" ref="DW15:DW38" si="144">DH15</f>
        <v>44531</v>
      </c>
      <c r="DX15" s="308"/>
      <c r="DY15" s="338"/>
      <c r="DZ15" s="221">
        <f t="shared" ref="DZ15:DZ38" si="145">CU15*DJ15</f>
        <v>0</v>
      </c>
      <c r="EA15" s="221">
        <f t="shared" ref="EA15:EA38" si="146">CV15*DK15</f>
        <v>0</v>
      </c>
      <c r="EB15" s="221">
        <f t="shared" ref="EB15:EB38" si="147">CW15*DL15</f>
        <v>0</v>
      </c>
      <c r="EC15" s="221">
        <f t="shared" ref="EC15:EC38" si="148">CX15*DM15</f>
        <v>0</v>
      </c>
      <c r="ED15" s="221">
        <f t="shared" ref="ED15:ED38" si="149">CY15*DN15</f>
        <v>0</v>
      </c>
      <c r="EE15" s="221">
        <f t="shared" ref="EE15:EE38" si="150">CZ15*DO15</f>
        <v>0</v>
      </c>
      <c r="EF15" s="221">
        <f t="shared" ref="EF15:EF38" si="151">DA15*DP15</f>
        <v>0</v>
      </c>
      <c r="EG15" s="221">
        <f t="shared" ref="EG15:EG38" si="152">DB15*DQ15</f>
        <v>0</v>
      </c>
      <c r="EH15" s="221">
        <f t="shared" ref="EH15:EH38" si="153">DC15*DR15</f>
        <v>0</v>
      </c>
      <c r="EI15" s="221">
        <f t="shared" ref="EI15:EI38" si="154">DD15*DS15</f>
        <v>0</v>
      </c>
      <c r="EJ15" s="221">
        <f t="shared" ref="EJ15:EJ38" si="155">DE15*DT15</f>
        <v>0</v>
      </c>
      <c r="EK15" s="221">
        <f t="shared" ref="EK15:EK38" si="156">SUM(DZ15:EJ15)</f>
        <v>0</v>
      </c>
      <c r="EL15" s="221">
        <f t="shared" ref="EL15:EL38" si="157">DX15+EK15</f>
        <v>0</v>
      </c>
      <c r="EN15" s="75">
        <f t="shared" ref="EN15:EN16" si="158">DY15</f>
        <v>0</v>
      </c>
      <c r="EO15" s="308"/>
      <c r="EP15" s="338"/>
      <c r="EQ15" s="221">
        <f t="shared" si="85"/>
        <v>0</v>
      </c>
      <c r="ER15" s="221">
        <f t="shared" si="86"/>
        <v>0</v>
      </c>
      <c r="ES15" s="221">
        <f t="shared" si="87"/>
        <v>0</v>
      </c>
      <c r="ET15" s="221">
        <f t="shared" si="88"/>
        <v>0</v>
      </c>
      <c r="EU15" s="221">
        <f t="shared" si="89"/>
        <v>0</v>
      </c>
      <c r="EV15" s="221">
        <f t="shared" si="90"/>
        <v>0</v>
      </c>
      <c r="EW15" s="221">
        <f t="shared" si="91"/>
        <v>0</v>
      </c>
      <c r="EX15" s="221">
        <f t="shared" si="92"/>
        <v>0</v>
      </c>
      <c r="EY15" s="221">
        <f t="shared" si="93"/>
        <v>0</v>
      </c>
      <c r="EZ15" s="221">
        <f t="shared" si="94"/>
        <v>0</v>
      </c>
      <c r="FA15" s="221">
        <f t="shared" si="95"/>
        <v>0</v>
      </c>
      <c r="FB15" s="221">
        <f t="shared" ref="FB15:FB16" si="159">SUM(EQ15:FA15)</f>
        <v>0</v>
      </c>
      <c r="FC15" s="221">
        <f t="shared" ref="FC15:FC16" si="160">EO15+FB15</f>
        <v>0</v>
      </c>
    </row>
    <row r="16" spans="4:159" hidden="1" x14ac:dyDescent="0.25">
      <c r="D16" s="75">
        <f t="shared" ref="D16:D38" si="161">EDATE(D15,12)</f>
        <v>44896</v>
      </c>
      <c r="E16" s="324"/>
      <c r="F16" s="341"/>
      <c r="G16" s="341"/>
      <c r="H16" s="341"/>
      <c r="I16" s="341"/>
      <c r="J16" s="307"/>
      <c r="K16" s="307"/>
      <c r="L16" s="307"/>
      <c r="M16" s="307"/>
      <c r="N16" s="307"/>
      <c r="O16" s="307"/>
      <c r="P16" s="307"/>
      <c r="Q16" s="256">
        <f t="shared" ref="Q16:Q38" si="162">SUM(F16:P16)</f>
        <v>0</v>
      </c>
      <c r="S16" s="271">
        <f t="shared" si="96"/>
        <v>44896</v>
      </c>
      <c r="T16" s="256">
        <f t="shared" si="60"/>
        <v>0</v>
      </c>
      <c r="U16" s="256">
        <f>IF(HYPOTHETICAL_SCENARIO="Yes",IF((U$10-SUM(U$13:U15))=U$10,IF(F16&lt;=0,0,ROUND(F$47*LOT_DELIVERY_SCENARIO,0)),MIN(U$10-SUM(U$13:U15),ROUND(F$47*LOT_DELIVERY_SCENARIO,0))),F16)</f>
        <v>0</v>
      </c>
      <c r="V16" s="256">
        <f>IF(HYPOTHETICAL_SCENARIO="Yes",IF((V$10-SUM(V$13:V15))=V$10,IF(G16&lt;=0,0,ROUND(G$47*LOT_DELIVERY_SCENARIO,0)),MIN(V$10-SUM(V$13:V15),ROUND(G$47*LOT_DELIVERY_SCENARIO,0))),G16)</f>
        <v>0</v>
      </c>
      <c r="W16" s="256">
        <f>IF(HYPOTHETICAL_SCENARIO="Yes",IF((W$10-SUM(W$13:W15))=W$10,IF(H16&lt;=0,0,ROUND(H$47*LOT_DELIVERY_SCENARIO,0)),MIN(W$10-SUM(W$13:W15),ROUND(H$47*LOT_DELIVERY_SCENARIO,0))),H16)</f>
        <v>0</v>
      </c>
      <c r="X16" s="256">
        <f>IF(HYPOTHETICAL_SCENARIO="Yes",IF((X$10-SUM(X$13:X15))=X$10,IF(I16&lt;=0,0,ROUND(I$47*LOT_DELIVERY_SCENARIO,0)),MIN(X$10-SUM(X$13:X15),ROUND(I$47*LOT_DELIVERY_SCENARIO,0))),I16)</f>
        <v>0</v>
      </c>
      <c r="Y16" s="256">
        <f>IF(HYPOTHETICAL_SCENARIO="Yes",IF((Y$10-SUM(Y$13:Y15))=Y$10,IF(J16&lt;=0,0,ROUND(J$47*LOT_DELIVERY_SCENARIO,0)),MIN(Y$10-SUM(Y$13:Y15),ROUND(J$47*LOT_DELIVERY_SCENARIO,0))),J16)</f>
        <v>0</v>
      </c>
      <c r="Z16" s="256">
        <f>IF(HYPOTHETICAL_SCENARIO="Yes",IF((Z$10-SUM(Z$13:Z15))=Z$10,IF(K16&lt;=0,0,ROUND(K$47*LOT_DELIVERY_SCENARIO,0)),MIN(Z$10-SUM(Z$13:Z15),ROUND(K$47*LOT_DELIVERY_SCENARIO,0))),K16)</f>
        <v>0</v>
      </c>
      <c r="AA16" s="256">
        <f>IF(HYPOTHETICAL_SCENARIO="Yes",IF((AA$10-SUM(AA$13:AA15))=AA$10,IF(L16&lt;=0,0,ROUND(L$47*LOT_DELIVERY_SCENARIO,0)),MIN(AA$10-SUM(AA$13:AA15),ROUND(L$47*LOT_DELIVERY_SCENARIO,0))),L16)</f>
        <v>0</v>
      </c>
      <c r="AB16" s="256">
        <f>IF(HYPOTHETICAL_SCENARIO="Yes",IF((AB$10-SUM(AB$13:AB15))=AB$10,IF(M16&lt;=0,0,ROUND(M$47*LOT_DELIVERY_SCENARIO,0)),MIN(AB$10-SUM(AB$13:AB15),ROUND(M$47*LOT_DELIVERY_SCENARIO,0))),M16)</f>
        <v>0</v>
      </c>
      <c r="AC16" s="256">
        <f>IF(HYPOTHETICAL_SCENARIO="Yes",IF((AC$10-SUM(AC$13:AC15))=AC$10,IF(N16&lt;=0,0,ROUND(N$47*LOT_DELIVERY_SCENARIO,0)),MIN(AC$10-SUM(AC$13:AC15),ROUND(N$47*LOT_DELIVERY_SCENARIO,0))),N16)</f>
        <v>0</v>
      </c>
      <c r="AD16" s="256">
        <f>IF(HYPOTHETICAL_SCENARIO="Yes",IF((AD$10-SUM(AD$13:AD15))=AD$10,IF(O16&lt;=0,0,ROUND(O$47*LOT_DELIVERY_SCENARIO,0)),MIN(AD$10-SUM(AD$13:AD15),ROUND(O$47*LOT_DELIVERY_SCENARIO,0))),O16)</f>
        <v>0</v>
      </c>
      <c r="AE16" s="256">
        <f>IF(HYPOTHETICAL_SCENARIO="Yes",IF((AE$10-SUM(AE$13:AE15))=AE$10,IF(P16&lt;=0,0,ROUND(P$47*LOT_DELIVERY_SCENARIO,0)),MIN(AE$10-SUM(AE$13:AE15),ROUND(P$47*LOT_DELIVERY_SCENARIO,0))),P16)</f>
        <v>0</v>
      </c>
      <c r="AF16" s="256">
        <f t="shared" si="97"/>
        <v>0</v>
      </c>
      <c r="AH16" s="75">
        <f t="shared" ref="AH16:AH38" si="163">EDATE(AH15,12)</f>
        <v>44896</v>
      </c>
      <c r="AI16" s="222">
        <v>0</v>
      </c>
      <c r="AJ16" s="221">
        <f t="shared" si="98"/>
        <v>0</v>
      </c>
      <c r="AK16" s="221">
        <f t="shared" si="99"/>
        <v>0</v>
      </c>
      <c r="AL16" s="221">
        <f t="shared" si="100"/>
        <v>0</v>
      </c>
      <c r="AM16" s="221">
        <f t="shared" si="101"/>
        <v>0</v>
      </c>
      <c r="AN16" s="221">
        <f t="shared" si="102"/>
        <v>0</v>
      </c>
      <c r="AO16" s="221">
        <f t="shared" si="103"/>
        <v>0</v>
      </c>
      <c r="AP16" s="221">
        <f t="shared" si="104"/>
        <v>0</v>
      </c>
      <c r="AQ16" s="221">
        <f t="shared" si="105"/>
        <v>0</v>
      </c>
      <c r="AR16" s="221">
        <f t="shared" si="106"/>
        <v>0</v>
      </c>
      <c r="AS16" s="221">
        <f t="shared" si="107"/>
        <v>0</v>
      </c>
      <c r="AT16" s="221">
        <f t="shared" si="108"/>
        <v>0</v>
      </c>
      <c r="AU16" s="221">
        <f t="shared" si="109"/>
        <v>0</v>
      </c>
      <c r="AW16" s="75">
        <f t="shared" ref="AW16:AW38" si="164">EDATE(AW15,12)</f>
        <v>44896</v>
      </c>
      <c r="AX16" s="221">
        <f t="shared" ref="AX16:AX38" si="165">AI16</f>
        <v>0</v>
      </c>
      <c r="AY16" s="221">
        <f t="shared" ca="1" si="110"/>
        <v>0</v>
      </c>
      <c r="AZ16" s="221">
        <f t="shared" ca="1" si="71"/>
        <v>0</v>
      </c>
      <c r="BA16" s="221">
        <f t="shared" ca="1" si="72"/>
        <v>0</v>
      </c>
      <c r="BB16" s="221">
        <f t="shared" ca="1" si="73"/>
        <v>0</v>
      </c>
      <c r="BC16" s="221">
        <f t="shared" ca="1" si="74"/>
        <v>0</v>
      </c>
      <c r="BD16" s="221">
        <f t="shared" ca="1" si="75"/>
        <v>0</v>
      </c>
      <c r="BE16" s="221">
        <f t="shared" ca="1" si="76"/>
        <v>0</v>
      </c>
      <c r="BF16" s="221">
        <f t="shared" ca="1" si="77"/>
        <v>0</v>
      </c>
      <c r="BG16" s="221">
        <f t="shared" ca="1" si="78"/>
        <v>0</v>
      </c>
      <c r="BH16" s="221">
        <f t="shared" ca="1" si="111"/>
        <v>0</v>
      </c>
      <c r="BI16" s="221">
        <f t="shared" ca="1" si="112"/>
        <v>0</v>
      </c>
      <c r="BJ16" s="221"/>
      <c r="BK16" s="221">
        <f t="shared" ca="1" si="113"/>
        <v>0</v>
      </c>
      <c r="BM16" s="75">
        <f t="shared" ref="BM16:BM38" si="166">EDATE(BM15,12)</f>
        <v>44896</v>
      </c>
      <c r="BN16" s="221">
        <f t="shared" ca="1" si="114"/>
        <v>0</v>
      </c>
      <c r="BO16" s="221">
        <f t="shared" ca="1" si="115"/>
        <v>0</v>
      </c>
      <c r="BP16" s="221">
        <f t="shared" ca="1" si="116"/>
        <v>0</v>
      </c>
      <c r="BQ16" s="221">
        <f t="shared" ca="1" si="117"/>
        <v>0</v>
      </c>
      <c r="BR16" s="221">
        <f t="shared" ca="1" si="118"/>
        <v>0</v>
      </c>
      <c r="BS16" s="221">
        <f t="shared" ca="1" si="119"/>
        <v>0</v>
      </c>
      <c r="BT16" s="221">
        <f t="shared" ca="1" si="120"/>
        <v>0</v>
      </c>
      <c r="BU16" s="221">
        <f t="shared" ca="1" si="121"/>
        <v>0</v>
      </c>
      <c r="BV16" s="221">
        <f t="shared" ca="1" si="122"/>
        <v>0</v>
      </c>
      <c r="BW16" s="221">
        <f t="shared" ca="1" si="123"/>
        <v>0</v>
      </c>
      <c r="BX16" s="221">
        <f t="shared" ca="1" si="124"/>
        <v>0</v>
      </c>
      <c r="BY16" s="221">
        <f t="shared" ca="1" si="125"/>
        <v>0</v>
      </c>
      <c r="BZ16" s="221">
        <f t="shared" si="126"/>
        <v>0</v>
      </c>
      <c r="CA16" s="221">
        <f t="shared" ca="1" si="127"/>
        <v>0</v>
      </c>
      <c r="CB16" s="221">
        <f t="shared" ca="1" si="128"/>
        <v>0</v>
      </c>
      <c r="CD16" s="75">
        <f t="shared" si="83"/>
        <v>44896</v>
      </c>
      <c r="CE16" s="340"/>
      <c r="CF16" s="343"/>
      <c r="CG16" s="343"/>
      <c r="CH16" s="343"/>
      <c r="CI16" s="343"/>
      <c r="CJ16" s="343"/>
      <c r="CK16" s="343"/>
      <c r="CL16" s="343"/>
      <c r="CM16" s="343"/>
      <c r="CN16" s="343"/>
      <c r="CO16" s="343"/>
      <c r="CP16" s="343"/>
      <c r="CQ16" s="236">
        <f t="shared" si="129"/>
        <v>0</v>
      </c>
      <c r="CS16" s="75">
        <f t="shared" si="130"/>
        <v>44896</v>
      </c>
      <c r="CT16" s="256">
        <f t="shared" si="131"/>
        <v>0</v>
      </c>
      <c r="CU16" s="256">
        <f>IF(HYPOTHETICAL_SCENARIO="Yes",IF((CU$10-SUM(CU$13:CU15))=CU$10,IF(CF16&lt;=0,0,ROUND(CF$47*ABSORPTION_SCENARIO,0)),MIN(CU$10-SUM(CU$13:CU15),ROUND(CF$47*ABSORPTION_SCENARIO,0))),CF16)</f>
        <v>0</v>
      </c>
      <c r="CV16" s="256">
        <f>IF(HYPOTHETICAL_SCENARIO="Yes",IF((CV$10-SUM(CV$13:CV15))=CV$10,IF(CG16&lt;=0,0,ROUND(CG$47*ABSORPTION_SCENARIO,0)),MIN(CV$10-SUM(CV$13:CV15),ROUND(CG$47*ABSORPTION_SCENARIO,0))),CG16)</f>
        <v>0</v>
      </c>
      <c r="CW16" s="256">
        <f>IF(HYPOTHETICAL_SCENARIO="Yes",IF((CW$10-SUM(CW$13:CW15))=CW$10,IF(CH16&lt;=0,0,ROUND(CH$47*ABSORPTION_SCENARIO,0)),MIN(CW$10-SUM(CW$13:CW15),ROUND(CH$47*ABSORPTION_SCENARIO,0))),CH16)</f>
        <v>0</v>
      </c>
      <c r="CX16" s="256">
        <f>IF(HYPOTHETICAL_SCENARIO="Yes",IF((CX$10-SUM(CX$13:CX15))=CX$10,IF(CI16&lt;=0,0,ROUND(CI$47*ABSORPTION_SCENARIO,0)),MIN(CX$10-SUM(CX$13:CX15),ROUND(CI$47*ABSORPTION_SCENARIO,0))),CI16)</f>
        <v>0</v>
      </c>
      <c r="CY16" s="256">
        <f>IF(HYPOTHETICAL_SCENARIO="Yes",IF((CY$10-SUM(CY$13:CY15))=CY$10,IF(CJ16&lt;=0,0,ROUND(CJ$47*ABSORPTION_SCENARIO,0)),MIN(CY$10-SUM(CY$13:CY15),ROUND(CJ$47*ABSORPTION_SCENARIO,0))),CJ16)</f>
        <v>0</v>
      </c>
      <c r="CZ16" s="256">
        <f>IF(HYPOTHETICAL_SCENARIO="Yes",IF((CZ$10-SUM(CZ$13:CZ15))=CZ$10,IF(CK16&lt;=0,0,ROUND(CK$47*ABSORPTION_SCENARIO,0)),MIN(CZ$10-SUM(CZ$13:CZ15),ROUND(CK$47*ABSORPTION_SCENARIO,0))),CK16)</f>
        <v>0</v>
      </c>
      <c r="DA16" s="256">
        <f>IF(HYPOTHETICAL_SCENARIO="Yes",IF((DA$10-SUM(DA$13:DA15))=DA$10,IF(CL16&lt;=0,0,ROUND(CL$47*ABSORPTION_SCENARIO,0)),MIN(DA$10-SUM(DA$13:DA15),ROUND(CL$47*ABSORPTION_SCENARIO,0))),CL16)</f>
        <v>0</v>
      </c>
      <c r="DB16" s="256">
        <f>IF(HYPOTHETICAL_SCENARIO="Yes",IF((DB$10-SUM(DB$13:DB15))=DB$10,IF(CM16&lt;=0,0,ROUND(CM$47*ABSORPTION_SCENARIO,0)),MIN(DB$10-SUM(DB$13:DB15),ROUND(CM$47*ABSORPTION_SCENARIO,0))),CM16)</f>
        <v>0</v>
      </c>
      <c r="DC16" s="256">
        <f>IF(HYPOTHETICAL_SCENARIO="Yes",IF((DC$10-SUM(DC$13:DC15))=DC$10,IF(CN16&lt;=0,0,ROUND(CN$47*ABSORPTION_SCENARIO,0)),MIN(DC$10-SUM(DC$13:DC15),ROUND(CN$47*ABSORPTION_SCENARIO,0))),CN16)</f>
        <v>0</v>
      </c>
      <c r="DD16" s="256">
        <f>IF(HYPOTHETICAL_SCENARIO="Yes",IF((DD$10-SUM(DD$13:DD15))=DD$10,IF(CO16&lt;=0,0,ROUND(CO$47*ABSORPTION_SCENARIO,0)),MIN(DD$10-SUM(DD$13:DD15),ROUND(CO$47*ABSORPTION_SCENARIO,0))),CO16)</f>
        <v>0</v>
      </c>
      <c r="DE16" s="256">
        <f>IF(HYPOTHETICAL_SCENARIO="Yes",IF((DE$10-SUM(DE$13:DE15))=DE$10,IF(CP16&lt;=0,0,ROUND(CP$47*ABSORPTION_SCENARIO,0)),MIN(DE$10-SUM(DE$13:DE15),ROUND(CP$47*ABSORPTION_SCENARIO,0))),CP16)</f>
        <v>0</v>
      </c>
      <c r="DF16" s="256">
        <f t="shared" si="132"/>
        <v>0</v>
      </c>
      <c r="DH16" s="75">
        <f t="shared" si="133"/>
        <v>44896</v>
      </c>
      <c r="DI16" s="75"/>
      <c r="DJ16" s="218">
        <f t="shared" ref="DJ16" si="167">MAX(DJ$11,IF(YEAR(RESID_DELIVERY_YEAR)=YEAR(DH16),DJ$11,DJ$11*((1+$DJ$10)^(((YEAR($DH16)-YEAR(RESID_DELIVERY_YEAR)))))))</f>
        <v>365620</v>
      </c>
      <c r="DK16" s="218">
        <f t="shared" ref="DK16" si="168">MAX(DK$11,IF(YEAR(RESID_DELIVERY_YEAR)=YEAR(DI16),DK$11,DK$11*((1+$DJ$10)^(((YEAR($DH16)-YEAR(RESID_DELIVERY_YEAR)))))))</f>
        <v>394910</v>
      </c>
      <c r="DL16" s="218">
        <f t="shared" ref="DL16" si="169">MAX(DL$11,IF(YEAR(RESID_DELIVERY_YEAR)=YEAR(DJ16),DL$11,DL$11*((1+$DJ$10)^(((YEAR($DH16)-YEAR(RESID_DELIVERY_YEAR)))))))</f>
        <v>434350</v>
      </c>
      <c r="DM16" s="218">
        <f t="shared" ref="DM16" si="170">MAX(DM$11,IF(YEAR(RESID_DELIVERY_YEAR)=YEAR(DK16),DM$11,DM$11*((1+$DJ$10)^(((YEAR($DH16)-YEAR(RESID_DELIVERY_YEAR)))))))</f>
        <v>492150</v>
      </c>
      <c r="DN16" s="218">
        <f t="shared" ref="DN16" si="171">MAX(DN$11,IF(YEAR(RESID_DELIVERY_YEAR)=YEAR(DL16),DN$11,DN$11*((1+$DJ$10)^(((YEAR($DH16)-YEAR(RESID_DELIVERY_YEAR)))))))</f>
        <v>563750</v>
      </c>
      <c r="DO16" s="218">
        <f t="shared" ref="DO16" si="172">MAX(DO$11,IF(YEAR(RESID_DELIVERY_YEAR)=YEAR(DM16),DO$11,DO$11*((1+$DJ$10)^(((YEAR($DH16)-YEAR(RESID_DELIVERY_YEAR)))))))</f>
        <v>635500</v>
      </c>
      <c r="DP16" s="218">
        <f t="shared" ref="DP16" si="173">MAX(DP$11,IF(YEAR(RESID_DELIVERY_YEAR)=YEAR(DN16),DP$11,DP$11*((1+$DJ$10)^(((YEAR($DH16)-YEAR(RESID_DELIVERY_YEAR)))))))</f>
        <v>709813</v>
      </c>
      <c r="DQ16" s="218">
        <f t="shared" ref="DQ16" si="174">MAX(DQ$11,IF(YEAR(RESID_DELIVERY_YEAR)=YEAR(DO16),DQ$11,DQ$11*((1+$DJ$10)^(((YEAR($DH16)-YEAR(RESID_DELIVERY_YEAR)))))))</f>
        <v>761063</v>
      </c>
      <c r="DR16" s="218">
        <f t="shared" ref="DR16" si="175">MAX(DR$11,IF(YEAR(RESID_DELIVERY_YEAR)=YEAR(DP16),DR$11,DR$11*((1+$DJ$10)^(((YEAR($DH16)-YEAR(RESID_DELIVERY_YEAR)))))))</f>
        <v>0</v>
      </c>
      <c r="DS16" s="218">
        <f t="shared" ref="DS16" si="176">MAX(DS$11,IF(YEAR(RESID_DELIVERY_YEAR)=YEAR(DQ16),DS$11,DS$11*((1+$DJ$10)^(((YEAR($DH16)-YEAR(RESID_DELIVERY_YEAR)))))))</f>
        <v>0</v>
      </c>
      <c r="DT16" s="218">
        <f t="shared" ref="DT16" si="177">MAX(DT$11,IF(YEAR(RESID_DELIVERY_YEAR)=YEAR(DR16),DT$11,DT$11*((1+$DJ$10)^(((YEAR($DH16)-YEAR(RESID_DELIVERY_YEAR)))))))</f>
        <v>0</v>
      </c>
      <c r="DW16" s="75">
        <f t="shared" si="144"/>
        <v>44896</v>
      </c>
      <c r="DX16" s="308"/>
      <c r="DY16" s="338"/>
      <c r="DZ16" s="221">
        <f>CU16*DJ16</f>
        <v>0</v>
      </c>
      <c r="EA16" s="221">
        <f t="shared" si="146"/>
        <v>0</v>
      </c>
      <c r="EB16" s="221">
        <f t="shared" si="147"/>
        <v>0</v>
      </c>
      <c r="EC16" s="221">
        <f t="shared" si="148"/>
        <v>0</v>
      </c>
      <c r="ED16" s="221">
        <f t="shared" si="149"/>
        <v>0</v>
      </c>
      <c r="EE16" s="221">
        <f t="shared" si="150"/>
        <v>0</v>
      </c>
      <c r="EF16" s="221">
        <f t="shared" si="151"/>
        <v>0</v>
      </c>
      <c r="EG16" s="221">
        <f t="shared" si="152"/>
        <v>0</v>
      </c>
      <c r="EH16" s="221">
        <f t="shared" si="153"/>
        <v>0</v>
      </c>
      <c r="EI16" s="221">
        <f t="shared" si="154"/>
        <v>0</v>
      </c>
      <c r="EJ16" s="221">
        <f t="shared" si="155"/>
        <v>0</v>
      </c>
      <c r="EK16" s="221">
        <f t="shared" si="156"/>
        <v>0</v>
      </c>
      <c r="EL16" s="221">
        <f t="shared" si="157"/>
        <v>0</v>
      </c>
      <c r="EN16" s="75">
        <f t="shared" si="158"/>
        <v>0</v>
      </c>
      <c r="EO16" s="308"/>
      <c r="EP16" s="338"/>
      <c r="EQ16" s="221">
        <f>DL16*EA16</f>
        <v>0</v>
      </c>
      <c r="ER16" s="221">
        <f t="shared" si="86"/>
        <v>0</v>
      </c>
      <c r="ES16" s="221">
        <f t="shared" si="87"/>
        <v>0</v>
      </c>
      <c r="ET16" s="221">
        <f t="shared" si="88"/>
        <v>0</v>
      </c>
      <c r="EU16" s="221">
        <f t="shared" si="89"/>
        <v>0</v>
      </c>
      <c r="EV16" s="221">
        <f t="shared" si="90"/>
        <v>0</v>
      </c>
      <c r="EW16" s="221">
        <f t="shared" si="91"/>
        <v>0</v>
      </c>
      <c r="EX16" s="221">
        <f t="shared" si="92"/>
        <v>0</v>
      </c>
      <c r="EY16" s="221">
        <f t="shared" si="93"/>
        <v>0</v>
      </c>
      <c r="EZ16" s="221">
        <f t="shared" si="94"/>
        <v>0</v>
      </c>
      <c r="FA16" s="221">
        <f t="shared" si="95"/>
        <v>0</v>
      </c>
      <c r="FB16" s="221">
        <f t="shared" si="159"/>
        <v>0</v>
      </c>
      <c r="FC16" s="221">
        <f t="shared" si="160"/>
        <v>0</v>
      </c>
    </row>
    <row r="17" spans="4:159" x14ac:dyDescent="0.25">
      <c r="D17" s="219">
        <v>44986</v>
      </c>
      <c r="E17" s="324"/>
      <c r="F17" s="341"/>
      <c r="G17" s="341"/>
      <c r="H17" s="341"/>
      <c r="I17" s="341"/>
      <c r="J17" s="341">
        <v>2</v>
      </c>
      <c r="K17" s="341">
        <v>2</v>
      </c>
      <c r="L17" s="341"/>
      <c r="M17" s="341"/>
      <c r="N17" s="341"/>
      <c r="O17" s="341"/>
      <c r="P17" s="341"/>
      <c r="Q17" s="256">
        <f t="shared" si="162"/>
        <v>4</v>
      </c>
      <c r="S17" s="271">
        <f t="shared" si="96"/>
        <v>44986</v>
      </c>
      <c r="T17" s="256">
        <f t="shared" si="60"/>
        <v>0</v>
      </c>
      <c r="U17" s="256">
        <f>IF(HYPOTHETICAL_SCENARIO="Yes",IF((U$10-SUM(U$13:U16))=U$10,IF(F17&lt;=0,0,ROUND(F$47*LOT_DELIVERY_SCENARIO,0)),MIN(U$10-SUM(U$13:U16),ROUND(F$47*LOT_DELIVERY_SCENARIO,0))),F17)</f>
        <v>0</v>
      </c>
      <c r="V17" s="256">
        <f>IF(HYPOTHETICAL_SCENARIO="Yes",IF((V$10-SUM(V$13:V16))=V$10,IF(G17&lt;=0,0,ROUND(G$47*LOT_DELIVERY_SCENARIO,0)),MIN(V$10-SUM(V$13:V16),ROUND(G$47*LOT_DELIVERY_SCENARIO,0))),G17)</f>
        <v>0</v>
      </c>
      <c r="W17" s="256">
        <f>IF(HYPOTHETICAL_SCENARIO="Yes",IF((W$10-SUM(W$13:W16))=W$10,IF(H17&lt;=0,0,ROUND(H$47*LOT_DELIVERY_SCENARIO,0)),MIN(W$10-SUM(W$13:W16),ROUND(H$47*LOT_DELIVERY_SCENARIO,0))),H17)</f>
        <v>0</v>
      </c>
      <c r="X17" s="256">
        <f>IF(HYPOTHETICAL_SCENARIO="Yes",IF((X$10-SUM(X$13:X16))=X$10,IF(I17&lt;=0,0,ROUND(I$47*LOT_DELIVERY_SCENARIO,0)),MIN(X$10-SUM(X$13:X16),ROUND(I$47*LOT_DELIVERY_SCENARIO,0))),I17)</f>
        <v>0</v>
      </c>
      <c r="Y17" s="256">
        <f>IF(HYPOTHETICAL_SCENARIO="Yes",IF((Y$10-SUM(Y$13:Y16))=Y$10,IF(J17&lt;=0,0,ROUND(J$47*LOT_DELIVERY_SCENARIO,0)),MIN(Y$10-SUM(Y$13:Y16),ROUND(J$47*LOT_DELIVERY_SCENARIO,0))),J17)</f>
        <v>2</v>
      </c>
      <c r="Z17" s="256">
        <f>IF(HYPOTHETICAL_SCENARIO="Yes",IF((Z$10-SUM(Z$13:Z16))=Z$10,IF(K17&lt;=0,0,ROUND(K$47*LOT_DELIVERY_SCENARIO,0)),MIN(Z$10-SUM(Z$13:Z16),ROUND(K$47*LOT_DELIVERY_SCENARIO,0))),K17)</f>
        <v>2</v>
      </c>
      <c r="AA17" s="256">
        <f>IF(HYPOTHETICAL_SCENARIO="Yes",IF((AA$10-SUM(AA$13:AA16))=AA$10,IF(L17&lt;=0,0,ROUND(L$47*LOT_DELIVERY_SCENARIO,0)),MIN(AA$10-SUM(AA$13:AA16),ROUND(L$47*LOT_DELIVERY_SCENARIO,0))),L17)</f>
        <v>0</v>
      </c>
      <c r="AB17" s="256">
        <f>IF(HYPOTHETICAL_SCENARIO="Yes",IF((AB$10-SUM(AB$13:AB16))=AB$10,IF(M17&lt;=0,0,ROUND(M$47*LOT_DELIVERY_SCENARIO,0)),MIN(AB$10-SUM(AB$13:AB16),ROUND(M$47*LOT_DELIVERY_SCENARIO,0))),M17)</f>
        <v>0</v>
      </c>
      <c r="AC17" s="256">
        <f>IF(HYPOTHETICAL_SCENARIO="Yes",IF((AC$10-SUM(AC$13:AC16))=AC$10,IF(N17&lt;=0,0,ROUND(N$47*LOT_DELIVERY_SCENARIO,0)),MIN(AC$10-SUM(AC$13:AC16),ROUND(N$47*LOT_DELIVERY_SCENARIO,0))),N17)</f>
        <v>0</v>
      </c>
      <c r="AD17" s="256">
        <f>IF(HYPOTHETICAL_SCENARIO="Yes",IF((AD$10-SUM(AD$13:AD16))=AD$10,IF(O17&lt;=0,0,ROUND(O$47*LOT_DELIVERY_SCENARIO,0)),MIN(AD$10-SUM(AD$13:AD16),ROUND(O$47*LOT_DELIVERY_SCENARIO,0))),O17)</f>
        <v>0</v>
      </c>
      <c r="AE17" s="256">
        <f>IF(HYPOTHETICAL_SCENARIO="Yes",IF((AE$10-SUM(AE$13:AE16))=AE$10,IF(P17&lt;=0,0,ROUND(P$47*LOT_DELIVERY_SCENARIO,0)),MIN(AE$10-SUM(AE$13:AE16),ROUND(P$47*LOT_DELIVERY_SCENARIO,0))),P17)</f>
        <v>0</v>
      </c>
      <c r="AF17" s="256">
        <f t="shared" si="97"/>
        <v>4</v>
      </c>
      <c r="AH17" s="75">
        <f>D17</f>
        <v>44986</v>
      </c>
      <c r="AI17" s="221"/>
      <c r="AJ17" s="221">
        <f>(SUM(F$17:F17)-SUM(CF$17:CF17))*AJ$11</f>
        <v>0</v>
      </c>
      <c r="AK17" s="221">
        <f>(SUM(G$17:G17)-SUM(CG$17:CG17))*AK$11</f>
        <v>0</v>
      </c>
      <c r="AL17" s="221">
        <f>(SUM(H$17:H17)-SUM(CH$17:CH17))*AL$11</f>
        <v>0</v>
      </c>
      <c r="AM17" s="221">
        <f>(SUM(I$17:I17)-SUM(CI$17:CI17))*AM$11</f>
        <v>0</v>
      </c>
      <c r="AN17" s="221">
        <f>(SUM(J$17:J17)-SUM(CJ$17:CJ17))*AN$11</f>
        <v>112750</v>
      </c>
      <c r="AO17" s="221">
        <f>(SUM(K$17:K17)-SUM(CK$17:CK17))*AO$11</f>
        <v>127100</v>
      </c>
      <c r="AP17" s="221">
        <f>(SUM(L$17:L17)-SUM(CL$17:CL17))*AP$11</f>
        <v>0</v>
      </c>
      <c r="AQ17" s="221">
        <f>(SUM(M$17:M17)-SUM(CM$17:CM17))*AQ$11</f>
        <v>0</v>
      </c>
      <c r="AR17" s="221">
        <f>(SUM(N$17:N17)-SUM(CN$17:CN17))*AR$11</f>
        <v>0</v>
      </c>
      <c r="AS17" s="221">
        <f>(SUM(O$17:O17)-SUM(CO$17:CO17))*AS$11</f>
        <v>0</v>
      </c>
      <c r="AT17" s="221">
        <f>(SUM(P$17:P17)-SUM(CP$17:CP17))*AT$11</f>
        <v>0</v>
      </c>
      <c r="AU17" s="221">
        <f t="shared" si="109"/>
        <v>239850</v>
      </c>
      <c r="AW17" s="75">
        <f>D17</f>
        <v>44986</v>
      </c>
      <c r="AX17" s="221">
        <f t="shared" si="165"/>
        <v>0</v>
      </c>
      <c r="AY17" s="221">
        <f t="shared" ca="1" si="110"/>
        <v>0</v>
      </c>
      <c r="AZ17" s="221">
        <f t="shared" ca="1" si="71"/>
        <v>0</v>
      </c>
      <c r="BA17" s="221">
        <f t="shared" ca="1" si="72"/>
        <v>0</v>
      </c>
      <c r="BB17" s="221">
        <f t="shared" ca="1" si="73"/>
        <v>0</v>
      </c>
      <c r="BC17" s="221">
        <f t="shared" ca="1" si="74"/>
        <v>0</v>
      </c>
      <c r="BD17" s="221">
        <f t="shared" ca="1" si="75"/>
        <v>0</v>
      </c>
      <c r="BE17" s="221">
        <f t="shared" ca="1" si="76"/>
        <v>0</v>
      </c>
      <c r="BF17" s="221">
        <f t="shared" ca="1" si="77"/>
        <v>0</v>
      </c>
      <c r="BG17" s="221">
        <f t="shared" ca="1" si="78"/>
        <v>0</v>
      </c>
      <c r="BH17" s="221">
        <f t="shared" ca="1" si="111"/>
        <v>0</v>
      </c>
      <c r="BI17" s="221">
        <f t="shared" ca="1" si="112"/>
        <v>0</v>
      </c>
      <c r="BJ17" s="221"/>
      <c r="BK17" s="221">
        <f t="shared" ca="1" si="113"/>
        <v>0</v>
      </c>
      <c r="BM17" s="75">
        <f>D17</f>
        <v>44986</v>
      </c>
      <c r="BN17" s="221">
        <f t="shared" ca="1" si="114"/>
        <v>0</v>
      </c>
      <c r="BO17" s="221">
        <f t="shared" ca="1" si="115"/>
        <v>0</v>
      </c>
      <c r="BP17" s="221">
        <f t="shared" ca="1" si="116"/>
        <v>0</v>
      </c>
      <c r="BQ17" s="221">
        <f t="shared" ca="1" si="117"/>
        <v>0</v>
      </c>
      <c r="BR17" s="221">
        <f t="shared" ca="1" si="118"/>
        <v>0</v>
      </c>
      <c r="BS17" s="221">
        <f t="shared" ca="1" si="119"/>
        <v>0</v>
      </c>
      <c r="BT17" s="221">
        <f t="shared" ca="1" si="120"/>
        <v>0</v>
      </c>
      <c r="BU17" s="221">
        <f t="shared" ca="1" si="121"/>
        <v>0</v>
      </c>
      <c r="BV17" s="221">
        <f t="shared" ca="1" si="122"/>
        <v>0</v>
      </c>
      <c r="BW17" s="221">
        <f t="shared" ca="1" si="123"/>
        <v>0</v>
      </c>
      <c r="BX17" s="221">
        <f t="shared" ca="1" si="124"/>
        <v>0</v>
      </c>
      <c r="BY17" s="221">
        <f t="shared" ca="1" si="125"/>
        <v>0</v>
      </c>
      <c r="BZ17" s="221">
        <f t="shared" si="126"/>
        <v>0</v>
      </c>
      <c r="CA17" s="221">
        <f t="shared" ca="1" si="127"/>
        <v>0</v>
      </c>
      <c r="CB17" s="221">
        <f t="shared" ca="1" si="128"/>
        <v>0</v>
      </c>
      <c r="CD17" s="75">
        <f t="shared" si="83"/>
        <v>44986</v>
      </c>
      <c r="CE17" s="340"/>
      <c r="CF17" s="343"/>
      <c r="CG17" s="343"/>
      <c r="CH17" s="343"/>
      <c r="CI17" s="343"/>
      <c r="CJ17" s="343"/>
      <c r="CK17" s="343"/>
      <c r="CL17" s="343"/>
      <c r="CM17" s="343"/>
      <c r="CN17" s="343"/>
      <c r="CO17" s="343"/>
      <c r="CP17" s="343"/>
      <c r="CQ17" s="236">
        <f t="shared" si="129"/>
        <v>0</v>
      </c>
      <c r="CS17" s="75">
        <f t="shared" si="130"/>
        <v>44986</v>
      </c>
      <c r="CT17" s="256">
        <f t="shared" si="131"/>
        <v>0</v>
      </c>
      <c r="CU17" s="256">
        <f>IF(HYPOTHETICAL_SCENARIO="Yes",IF((CU$10-SUM(CU$13:CU16))=CU$10,IF(CF17&lt;=0,0,ROUND(CF$47*ABSORPTION_SCENARIO,0)),MIN(CU$10-SUM(CU$13:CU16),ROUND(CF$47*ABSORPTION_SCENARIO,0))),CF17)</f>
        <v>0</v>
      </c>
      <c r="CV17" s="256">
        <f>IF(HYPOTHETICAL_SCENARIO="Yes",IF((CV$10-SUM(CV$13:CV16))=CV$10,IF(CG17&lt;=0,0,ROUND(CG$47*ABSORPTION_SCENARIO,0)),MIN(CV$10-SUM(CV$13:CV16),ROUND(CG$47*ABSORPTION_SCENARIO,0))),CG17)</f>
        <v>0</v>
      </c>
      <c r="CW17" s="256">
        <f>IF(HYPOTHETICAL_SCENARIO="Yes",IF((CW$10-SUM(CW$13:CW16))=CW$10,IF(CH17&lt;=0,0,ROUND(CH$47*ABSORPTION_SCENARIO,0)),MIN(CW$10-SUM(CW$13:CW16),ROUND(CH$47*ABSORPTION_SCENARIO,0))),CH17)</f>
        <v>0</v>
      </c>
      <c r="CX17" s="256">
        <f>IF(HYPOTHETICAL_SCENARIO="Yes",IF((CX$10-SUM(CX$13:CX16))=CX$10,IF(CI17&lt;=0,0,ROUND(CI$47*ABSORPTION_SCENARIO,0)),MIN(CX$10-SUM(CX$13:CX16),ROUND(CI$47*ABSORPTION_SCENARIO,0))),CI17)</f>
        <v>0</v>
      </c>
      <c r="CY17" s="256">
        <f>IF(HYPOTHETICAL_SCENARIO="Yes",IF((CY$10-SUM(CY$13:CY16))=CY$10,IF(CJ17&lt;=0,0,ROUND(CJ$47*ABSORPTION_SCENARIO,0)),MIN(CY$10-SUM(CY$13:CY16),ROUND(CJ$47*ABSORPTION_SCENARIO,0))),CJ17)</f>
        <v>0</v>
      </c>
      <c r="CZ17" s="256">
        <f>IF(HYPOTHETICAL_SCENARIO="Yes",IF((CZ$10-SUM(CZ$13:CZ16))=CZ$10,IF(CK17&lt;=0,0,ROUND(CK$47*ABSORPTION_SCENARIO,0)),MIN(CZ$10-SUM(CZ$13:CZ16),ROUND(CK$47*ABSORPTION_SCENARIO,0))),CK17)</f>
        <v>0</v>
      </c>
      <c r="DA17" s="256">
        <f>IF(HYPOTHETICAL_SCENARIO="Yes",IF((DA$10-SUM(DA$13:DA16))=DA$10,IF(CL17&lt;=0,0,ROUND(CL$47*ABSORPTION_SCENARIO,0)),MIN(DA$10-SUM(DA$13:DA16),ROUND(CL$47*ABSORPTION_SCENARIO,0))),CL17)</f>
        <v>0</v>
      </c>
      <c r="DB17" s="256">
        <f>IF(HYPOTHETICAL_SCENARIO="Yes",IF((DB$10-SUM(DB$13:DB16))=DB$10,IF(CM17&lt;=0,0,ROUND(CM$47*ABSORPTION_SCENARIO,0)),MIN(DB$10-SUM(DB$13:DB16),ROUND(CM$47*ABSORPTION_SCENARIO,0))),CM17)</f>
        <v>0</v>
      </c>
      <c r="DC17" s="256">
        <f>IF(HYPOTHETICAL_SCENARIO="Yes",IF((DC$10-SUM(DC$13:DC16))=DC$10,IF(CN17&lt;=0,0,ROUND(CN$47*ABSORPTION_SCENARIO,0)),MIN(DC$10-SUM(DC$13:DC16),ROUND(CN$47*ABSORPTION_SCENARIO,0))),CN17)</f>
        <v>0</v>
      </c>
      <c r="DD17" s="256">
        <f>IF(HYPOTHETICAL_SCENARIO="Yes",IF((DD$10-SUM(DD$13:DD16))=DD$10,IF(CO17&lt;=0,0,ROUND(CO$47*ABSORPTION_SCENARIO,0)),MIN(DD$10-SUM(DD$13:DD16),ROUND(CO$47*ABSORPTION_SCENARIO,0))),CO17)</f>
        <v>0</v>
      </c>
      <c r="DE17" s="256">
        <f>IF(HYPOTHETICAL_SCENARIO="Yes",IF((DE$10-SUM(DE$13:DE16))=DE$10,IF(CP17&lt;=0,0,ROUND(CP$47*ABSORPTION_SCENARIO,0)),MIN(DE$10-SUM(DE$13:DE16),ROUND(CP$47*ABSORPTION_SCENARIO,0))),CP17)</f>
        <v>0</v>
      </c>
      <c r="DF17" s="256">
        <f t="shared" si="132"/>
        <v>0</v>
      </c>
      <c r="DH17" s="75">
        <f t="shared" si="133"/>
        <v>44986</v>
      </c>
      <c r="DI17" s="75"/>
      <c r="DJ17" s="218">
        <f t="shared" ref="DJ17:DT26" si="178">MAX(DJ$11,IF(YEAR(RESID_DELIVERY_YEAR)=YEAR($DH17),DJ$11,DJ$11*((1+DJ$10)^(((YEAR($DH17)-YEAR(RESID_DELIVERY_YEAR)))))))</f>
        <v>365620</v>
      </c>
      <c r="DK17" s="218">
        <f t="shared" si="178"/>
        <v>394910</v>
      </c>
      <c r="DL17" s="218">
        <f t="shared" si="178"/>
        <v>434350</v>
      </c>
      <c r="DM17" s="218">
        <f t="shared" si="178"/>
        <v>492150</v>
      </c>
      <c r="DN17" s="218">
        <f t="shared" si="178"/>
        <v>563750</v>
      </c>
      <c r="DO17" s="218">
        <f t="shared" si="178"/>
        <v>635500</v>
      </c>
      <c r="DP17" s="218">
        <f t="shared" si="178"/>
        <v>709813</v>
      </c>
      <c r="DQ17" s="218">
        <f t="shared" si="178"/>
        <v>761063</v>
      </c>
      <c r="DR17" s="218">
        <f t="shared" si="178"/>
        <v>0</v>
      </c>
      <c r="DS17" s="218">
        <f t="shared" si="178"/>
        <v>0</v>
      </c>
      <c r="DT17" s="218">
        <f t="shared" si="178"/>
        <v>0</v>
      </c>
      <c r="DW17" s="75">
        <f t="shared" si="144"/>
        <v>44986</v>
      </c>
      <c r="DX17" s="308"/>
      <c r="DY17" s="338"/>
      <c r="DZ17" s="221">
        <f t="shared" si="145"/>
        <v>0</v>
      </c>
      <c r="EA17" s="221">
        <f t="shared" si="146"/>
        <v>0</v>
      </c>
      <c r="EB17" s="221">
        <f t="shared" si="147"/>
        <v>0</v>
      </c>
      <c r="EC17" s="221">
        <f t="shared" si="148"/>
        <v>0</v>
      </c>
      <c r="ED17" s="221">
        <f t="shared" si="149"/>
        <v>0</v>
      </c>
      <c r="EE17" s="221">
        <f t="shared" si="150"/>
        <v>0</v>
      </c>
      <c r="EF17" s="221">
        <f t="shared" si="151"/>
        <v>0</v>
      </c>
      <c r="EG17" s="221">
        <f t="shared" si="152"/>
        <v>0</v>
      </c>
      <c r="EH17" s="221">
        <f t="shared" si="153"/>
        <v>0</v>
      </c>
      <c r="EI17" s="221">
        <f t="shared" si="154"/>
        <v>0</v>
      </c>
      <c r="EJ17" s="221">
        <f t="shared" si="155"/>
        <v>0</v>
      </c>
      <c r="EK17" s="221">
        <f t="shared" si="156"/>
        <v>0</v>
      </c>
      <c r="EL17" s="221">
        <f t="shared" si="157"/>
        <v>0</v>
      </c>
      <c r="EN17" s="75">
        <f>DW17</f>
        <v>44986</v>
      </c>
      <c r="EO17" s="308"/>
      <c r="EP17" s="338"/>
      <c r="EQ17" s="221">
        <f ca="1">OFFSET(DZ17,-1,0)</f>
        <v>0</v>
      </c>
      <c r="ER17" s="221">
        <f t="shared" ref="ER17:FC32" ca="1" si="179">OFFSET(EA17,-1,0)</f>
        <v>0</v>
      </c>
      <c r="ES17" s="221">
        <f t="shared" ca="1" si="179"/>
        <v>0</v>
      </c>
      <c r="ET17" s="221">
        <f t="shared" ca="1" si="179"/>
        <v>0</v>
      </c>
      <c r="EU17" s="221">
        <f t="shared" ca="1" si="179"/>
        <v>0</v>
      </c>
      <c r="EV17" s="221">
        <f t="shared" ca="1" si="179"/>
        <v>0</v>
      </c>
      <c r="EW17" s="221">
        <f t="shared" ca="1" si="179"/>
        <v>0</v>
      </c>
      <c r="EX17" s="221">
        <f t="shared" ca="1" si="179"/>
        <v>0</v>
      </c>
      <c r="EY17" s="221">
        <f t="shared" ca="1" si="179"/>
        <v>0</v>
      </c>
      <c r="EZ17" s="221">
        <f t="shared" ca="1" si="179"/>
        <v>0</v>
      </c>
      <c r="FA17" s="221">
        <f t="shared" ca="1" si="179"/>
        <v>0</v>
      </c>
      <c r="FB17" s="221">
        <f t="shared" ca="1" si="179"/>
        <v>0</v>
      </c>
      <c r="FC17" s="221">
        <f t="shared" ca="1" si="179"/>
        <v>0</v>
      </c>
    </row>
    <row r="18" spans="4:159" x14ac:dyDescent="0.25">
      <c r="D18" s="75">
        <f t="shared" si="161"/>
        <v>45352</v>
      </c>
      <c r="E18" s="324"/>
      <c r="F18" s="341">
        <v>38</v>
      </c>
      <c r="G18" s="341">
        <v>28</v>
      </c>
      <c r="H18" s="341">
        <v>24</v>
      </c>
      <c r="I18" s="341">
        <v>20</v>
      </c>
      <c r="J18" s="341">
        <v>21</v>
      </c>
      <c r="K18" s="341">
        <v>28</v>
      </c>
      <c r="L18" s="341">
        <v>12</v>
      </c>
      <c r="M18" s="341">
        <v>1</v>
      </c>
      <c r="N18" s="341"/>
      <c r="O18" s="341"/>
      <c r="P18" s="341"/>
      <c r="Q18" s="256">
        <f t="shared" si="162"/>
        <v>172</v>
      </c>
      <c r="S18" s="271">
        <f t="shared" si="96"/>
        <v>45352</v>
      </c>
      <c r="T18" s="256">
        <f t="shared" si="60"/>
        <v>0</v>
      </c>
      <c r="U18" s="256">
        <f>IF(HYPOTHETICAL_SCENARIO="Yes",IF((U$10-SUM(U$13:U17))=U$10,IF(F18&lt;=0,0,ROUND(F$47*LOT_DELIVERY_SCENARIO,0)),MIN(U$10-SUM(U$13:U17),ROUND(F$47*LOT_DELIVERY_SCENARIO,0))),F18)</f>
        <v>38</v>
      </c>
      <c r="V18" s="256">
        <f>IF(HYPOTHETICAL_SCENARIO="Yes",IF((V$10-SUM(V$13:V17))=V$10,IF(G18&lt;=0,0,ROUND(G$47*LOT_DELIVERY_SCENARIO,0)),MIN(V$10-SUM(V$13:V17),ROUND(G$47*LOT_DELIVERY_SCENARIO,0))),G18)</f>
        <v>28</v>
      </c>
      <c r="W18" s="256">
        <f>IF(HYPOTHETICAL_SCENARIO="Yes",IF((W$10-SUM(W$13:W17))=W$10,IF(H18&lt;=0,0,ROUND(H$47*LOT_DELIVERY_SCENARIO,0)),MIN(W$10-SUM(W$13:W17),ROUND(H$47*LOT_DELIVERY_SCENARIO,0))),H18)</f>
        <v>24</v>
      </c>
      <c r="X18" s="256">
        <f>IF(HYPOTHETICAL_SCENARIO="Yes",IF((X$10-SUM(X$13:X17))=X$10,IF(I18&lt;=0,0,ROUND(I$47*LOT_DELIVERY_SCENARIO,0)),MIN(X$10-SUM(X$13:X17),ROUND(I$47*LOT_DELIVERY_SCENARIO,0))),I18)</f>
        <v>20</v>
      </c>
      <c r="Y18" s="256">
        <f>IF(HYPOTHETICAL_SCENARIO="Yes",IF((Y$10-SUM(Y$13:Y17))=Y$10,IF(J18&lt;=0,0,ROUND(J$47*LOT_DELIVERY_SCENARIO,0)),MIN(Y$10-SUM(Y$13:Y17),ROUND(J$47*LOT_DELIVERY_SCENARIO,0))),J18)</f>
        <v>21</v>
      </c>
      <c r="Z18" s="256">
        <f>IF(HYPOTHETICAL_SCENARIO="Yes",IF((Z$10-SUM(Z$13:Z17))=Z$10,IF(K18&lt;=0,0,ROUND(K$47*LOT_DELIVERY_SCENARIO,0)),MIN(Z$10-SUM(Z$13:Z17),ROUND(K$47*LOT_DELIVERY_SCENARIO,0))),K18)</f>
        <v>28</v>
      </c>
      <c r="AA18" s="256">
        <f>IF(HYPOTHETICAL_SCENARIO="Yes",IF((AA$10-SUM(AA$13:AA17))=AA$10,IF(L18&lt;=0,0,ROUND(L$47*LOT_DELIVERY_SCENARIO,0)),MIN(AA$10-SUM(AA$13:AA17),ROUND(L$47*LOT_DELIVERY_SCENARIO,0))),L18)</f>
        <v>12</v>
      </c>
      <c r="AB18" s="256">
        <f>IF(HYPOTHETICAL_SCENARIO="Yes",IF((AB$10-SUM(AB$13:AB17))=AB$10,IF(M18&lt;=0,0,ROUND(M$47*LOT_DELIVERY_SCENARIO,0)),MIN(AB$10-SUM(AB$13:AB17),ROUND(M$47*LOT_DELIVERY_SCENARIO,0))),M18)</f>
        <v>1</v>
      </c>
      <c r="AC18" s="256">
        <f>IF(HYPOTHETICAL_SCENARIO="Yes",IF((AC$10-SUM(AC$13:AC17))=AC$10,IF(N18&lt;=0,0,ROUND(N$47*LOT_DELIVERY_SCENARIO,0)),MIN(AC$10-SUM(AC$13:AC17),ROUND(N$47*LOT_DELIVERY_SCENARIO,0))),N18)</f>
        <v>0</v>
      </c>
      <c r="AD18" s="256">
        <f>IF(HYPOTHETICAL_SCENARIO="Yes",IF((AD$10-SUM(AD$13:AD17))=AD$10,IF(O18&lt;=0,0,ROUND(O$47*LOT_DELIVERY_SCENARIO,0)),MIN(AD$10-SUM(AD$13:AD17),ROUND(O$47*LOT_DELIVERY_SCENARIO,0))),O18)</f>
        <v>0</v>
      </c>
      <c r="AE18" s="256">
        <f>IF(HYPOTHETICAL_SCENARIO="Yes",IF((AE$10-SUM(AE$13:AE17))=AE$10,IF(P18&lt;=0,0,ROUND(P$47*LOT_DELIVERY_SCENARIO,0)),MIN(AE$10-SUM(AE$13:AE17),ROUND(P$47*LOT_DELIVERY_SCENARIO,0))),P18)</f>
        <v>0</v>
      </c>
      <c r="AF18" s="256">
        <f t="shared" si="97"/>
        <v>172</v>
      </c>
      <c r="AH18" s="75">
        <f t="shared" si="163"/>
        <v>45352</v>
      </c>
      <c r="AI18" s="221"/>
      <c r="AJ18" s="221">
        <f>(SUM(F$17:F18)-SUM(CF$17:CF18))*AJ$11</f>
        <v>1389356</v>
      </c>
      <c r="AK18" s="221">
        <f>(SUM(G$17:G18)-SUM(CG$17:CG18))*AK$11</f>
        <v>1105748</v>
      </c>
      <c r="AL18" s="221">
        <f>(SUM(H$17:H18)-SUM(CH$17:CH18))*AL$11</f>
        <v>1042440</v>
      </c>
      <c r="AM18" s="221">
        <f>(SUM(I$17:I18)-SUM(CI$17:CI18))*AM$11</f>
        <v>984300</v>
      </c>
      <c r="AN18" s="221">
        <f>(SUM(J$17:J18)-SUM(CJ$17:CJ18))*AN$11</f>
        <v>1183875</v>
      </c>
      <c r="AO18" s="221">
        <f>(SUM(K$17:K18)-SUM(CK$17:CK18))*AO$11</f>
        <v>1779400</v>
      </c>
      <c r="AP18" s="221">
        <f>(SUM(L$17:L18)-SUM(CL$17:CL18))*AP$11</f>
        <v>851775.60000000009</v>
      </c>
      <c r="AQ18" s="221">
        <f>(SUM(M$17:M18)-SUM(CM$17:CM18))*AQ$11</f>
        <v>76106.3</v>
      </c>
      <c r="AR18" s="221">
        <f>(SUM(N$17:N18)-SUM(CN$17:CN18))*AR$11</f>
        <v>0</v>
      </c>
      <c r="AS18" s="221">
        <f>(SUM(O$17:O18)-SUM(CO$17:CO18))*AS$11</f>
        <v>0</v>
      </c>
      <c r="AT18" s="221">
        <f>(SUM(P$17:P18)-SUM(CP$17:CP18))*AT$11</f>
        <v>0</v>
      </c>
      <c r="AU18" s="221">
        <f t="shared" si="109"/>
        <v>8413000.9000000004</v>
      </c>
      <c r="AW18" s="75">
        <f t="shared" si="164"/>
        <v>45352</v>
      </c>
      <c r="AX18" s="221">
        <f t="shared" si="165"/>
        <v>0</v>
      </c>
      <c r="AY18" s="221">
        <f t="shared" ca="1" si="110"/>
        <v>0</v>
      </c>
      <c r="AZ18" s="221">
        <f t="shared" ca="1" si="71"/>
        <v>0</v>
      </c>
      <c r="BA18" s="221">
        <f t="shared" ca="1" si="72"/>
        <v>0</v>
      </c>
      <c r="BB18" s="221">
        <f t="shared" ca="1" si="73"/>
        <v>0</v>
      </c>
      <c r="BC18" s="221">
        <f t="shared" ca="1" si="74"/>
        <v>112750</v>
      </c>
      <c r="BD18" s="221">
        <f t="shared" ca="1" si="75"/>
        <v>127100</v>
      </c>
      <c r="BE18" s="221">
        <f t="shared" ca="1" si="76"/>
        <v>0</v>
      </c>
      <c r="BF18" s="221">
        <f t="shared" ca="1" si="77"/>
        <v>0</v>
      </c>
      <c r="BG18" s="221">
        <f t="shared" ca="1" si="78"/>
        <v>0</v>
      </c>
      <c r="BH18" s="221">
        <f t="shared" ca="1" si="111"/>
        <v>0</v>
      </c>
      <c r="BI18" s="221">
        <f t="shared" ca="1" si="112"/>
        <v>0</v>
      </c>
      <c r="BJ18" s="221"/>
      <c r="BK18" s="221">
        <f t="shared" ca="1" si="113"/>
        <v>239850</v>
      </c>
      <c r="BM18" s="75">
        <f t="shared" si="166"/>
        <v>45352</v>
      </c>
      <c r="BN18" s="221">
        <f t="shared" ca="1" si="114"/>
        <v>0</v>
      </c>
      <c r="BO18" s="221">
        <f t="shared" ca="1" si="115"/>
        <v>0</v>
      </c>
      <c r="BP18" s="221">
        <f t="shared" ca="1" si="116"/>
        <v>0</v>
      </c>
      <c r="BQ18" s="221">
        <f t="shared" ca="1" si="117"/>
        <v>0</v>
      </c>
      <c r="BR18" s="221">
        <f t="shared" ca="1" si="118"/>
        <v>0</v>
      </c>
      <c r="BS18" s="221">
        <f t="shared" ca="1" si="119"/>
        <v>0</v>
      </c>
      <c r="BT18" s="221">
        <f t="shared" ca="1" si="120"/>
        <v>0</v>
      </c>
      <c r="BU18" s="221">
        <f t="shared" ca="1" si="121"/>
        <v>0</v>
      </c>
      <c r="BV18" s="221">
        <f t="shared" ca="1" si="122"/>
        <v>0</v>
      </c>
      <c r="BW18" s="221">
        <f t="shared" ca="1" si="123"/>
        <v>0</v>
      </c>
      <c r="BX18" s="221">
        <f t="shared" ca="1" si="124"/>
        <v>0</v>
      </c>
      <c r="BY18" s="221">
        <f t="shared" ca="1" si="125"/>
        <v>0</v>
      </c>
      <c r="BZ18" s="221">
        <f t="shared" si="126"/>
        <v>0</v>
      </c>
      <c r="CA18" s="221">
        <f t="shared" ca="1" si="127"/>
        <v>0</v>
      </c>
      <c r="CB18" s="221">
        <f t="shared" ca="1" si="128"/>
        <v>239850</v>
      </c>
      <c r="CD18" s="75">
        <f t="shared" si="83"/>
        <v>45352</v>
      </c>
      <c r="CE18" s="340"/>
      <c r="CF18" s="343"/>
      <c r="CG18" s="343"/>
      <c r="CH18" s="343"/>
      <c r="CI18" s="343"/>
      <c r="CJ18" s="343">
        <v>2</v>
      </c>
      <c r="CK18" s="343">
        <v>2</v>
      </c>
      <c r="CL18" s="343"/>
      <c r="CM18" s="343"/>
      <c r="CN18" s="343"/>
      <c r="CO18" s="343"/>
      <c r="CP18" s="343"/>
      <c r="CQ18" s="236">
        <f t="shared" si="129"/>
        <v>4</v>
      </c>
      <c r="CS18" s="75">
        <f t="shared" si="130"/>
        <v>45352</v>
      </c>
      <c r="CT18" s="256">
        <f t="shared" si="131"/>
        <v>0</v>
      </c>
      <c r="CU18" s="256">
        <f>IF(HYPOTHETICAL_SCENARIO="Yes",IF((CU$10-SUM(CU$13:CU17))=CU$10,IF(CF18&lt;=0,0,ROUND(CF$47*ABSORPTION_SCENARIO,0)),MIN(CU$10-SUM(CU$13:CU17),ROUND(CF$47*ABSORPTION_SCENARIO,0))),CF18)</f>
        <v>0</v>
      </c>
      <c r="CV18" s="256">
        <f>IF(HYPOTHETICAL_SCENARIO="Yes",IF((CV$10-SUM(CV$13:CV17))=CV$10,IF(CG18&lt;=0,0,ROUND(CG$47*ABSORPTION_SCENARIO,0)),MIN(CV$10-SUM(CV$13:CV17),ROUND(CG$47*ABSORPTION_SCENARIO,0))),CG18)</f>
        <v>0</v>
      </c>
      <c r="CW18" s="256">
        <f>IF(HYPOTHETICAL_SCENARIO="Yes",IF((CW$10-SUM(CW$13:CW17))=CW$10,IF(CH18&lt;=0,0,ROUND(CH$47*ABSORPTION_SCENARIO,0)),MIN(CW$10-SUM(CW$13:CW17),ROUND(CH$47*ABSORPTION_SCENARIO,0))),CH18)</f>
        <v>0</v>
      </c>
      <c r="CX18" s="256">
        <f>IF(HYPOTHETICAL_SCENARIO="Yes",IF((CX$10-SUM(CX$13:CX17))=CX$10,IF(CI18&lt;=0,0,ROUND(CI$47*ABSORPTION_SCENARIO,0)),MIN(CX$10-SUM(CX$13:CX17),ROUND(CI$47*ABSORPTION_SCENARIO,0))),CI18)</f>
        <v>0</v>
      </c>
      <c r="CY18" s="256">
        <f>IF(HYPOTHETICAL_SCENARIO="Yes",IF((CY$10-SUM(CY$13:CY17))=CY$10,IF(CJ18&lt;=0,0,ROUND(CJ$47*ABSORPTION_SCENARIO,0)),MIN(CY$10-SUM(CY$13:CY17),ROUND(CJ$47*ABSORPTION_SCENARIO,0))),CJ18)</f>
        <v>2</v>
      </c>
      <c r="CZ18" s="256">
        <f>IF(HYPOTHETICAL_SCENARIO="Yes",IF((CZ$10-SUM(CZ$13:CZ17))=CZ$10,IF(CK18&lt;=0,0,ROUND(CK$47*ABSORPTION_SCENARIO,0)),MIN(CZ$10-SUM(CZ$13:CZ17),ROUND(CK$47*ABSORPTION_SCENARIO,0))),CK18)</f>
        <v>2</v>
      </c>
      <c r="DA18" s="256">
        <f>IF(HYPOTHETICAL_SCENARIO="Yes",IF((DA$10-SUM(DA$13:DA17))=DA$10,IF(CL18&lt;=0,0,ROUND(CL$47*ABSORPTION_SCENARIO,0)),MIN(DA$10-SUM(DA$13:DA17),ROUND(CL$47*ABSORPTION_SCENARIO,0))),CL18)</f>
        <v>0</v>
      </c>
      <c r="DB18" s="256">
        <f>IF(HYPOTHETICAL_SCENARIO="Yes",IF((DB$10-SUM(DB$13:DB17))=DB$10,IF(CM18&lt;=0,0,ROUND(CM$47*ABSORPTION_SCENARIO,0)),MIN(DB$10-SUM(DB$13:DB17),ROUND(CM$47*ABSORPTION_SCENARIO,0))),CM18)</f>
        <v>0</v>
      </c>
      <c r="DC18" s="256">
        <f>IF(HYPOTHETICAL_SCENARIO="Yes",IF((DC$10-SUM(DC$13:DC17))=DC$10,IF(CN18&lt;=0,0,ROUND(CN$47*ABSORPTION_SCENARIO,0)),MIN(DC$10-SUM(DC$13:DC17),ROUND(CN$47*ABSORPTION_SCENARIO,0))),CN18)</f>
        <v>0</v>
      </c>
      <c r="DD18" s="256">
        <f>IF(HYPOTHETICAL_SCENARIO="Yes",IF((DD$10-SUM(DD$13:DD17))=DD$10,IF(CO18&lt;=0,0,ROUND(CO$47*ABSORPTION_SCENARIO,0)),MIN(DD$10-SUM(DD$13:DD17),ROUND(CO$47*ABSORPTION_SCENARIO,0))),CO18)</f>
        <v>0</v>
      </c>
      <c r="DE18" s="256">
        <f>IF(HYPOTHETICAL_SCENARIO="Yes",IF((DE$10-SUM(DE$13:DE17))=DE$10,IF(CP18&lt;=0,0,ROUND(CP$47*ABSORPTION_SCENARIO,0)),MIN(DE$10-SUM(DE$13:DE17),ROUND(CP$47*ABSORPTION_SCENARIO,0))),CP18)</f>
        <v>0</v>
      </c>
      <c r="DF18" s="256">
        <f t="shared" si="132"/>
        <v>4</v>
      </c>
      <c r="DH18" s="75">
        <f t="shared" si="133"/>
        <v>45352</v>
      </c>
      <c r="DI18" s="75"/>
      <c r="DJ18" s="218">
        <f t="shared" si="178"/>
        <v>365620</v>
      </c>
      <c r="DK18" s="218">
        <f t="shared" si="178"/>
        <v>394910</v>
      </c>
      <c r="DL18" s="218">
        <f t="shared" si="178"/>
        <v>434350</v>
      </c>
      <c r="DM18" s="218">
        <f t="shared" si="178"/>
        <v>492150</v>
      </c>
      <c r="DN18" s="218">
        <f t="shared" si="178"/>
        <v>563750</v>
      </c>
      <c r="DO18" s="218">
        <f t="shared" si="178"/>
        <v>635500</v>
      </c>
      <c r="DP18" s="218">
        <f t="shared" si="178"/>
        <v>709813</v>
      </c>
      <c r="DQ18" s="218">
        <f t="shared" si="178"/>
        <v>761063</v>
      </c>
      <c r="DR18" s="218">
        <f t="shared" si="178"/>
        <v>0</v>
      </c>
      <c r="DS18" s="218">
        <f t="shared" si="178"/>
        <v>0</v>
      </c>
      <c r="DT18" s="218">
        <f t="shared" si="178"/>
        <v>0</v>
      </c>
      <c r="DW18" s="75">
        <f t="shared" si="144"/>
        <v>45352</v>
      </c>
      <c r="DX18" s="308"/>
      <c r="DY18" s="338"/>
      <c r="DZ18" s="221">
        <f t="shared" si="145"/>
        <v>0</v>
      </c>
      <c r="EA18" s="221">
        <f t="shared" si="146"/>
        <v>0</v>
      </c>
      <c r="EB18" s="221">
        <f t="shared" si="147"/>
        <v>0</v>
      </c>
      <c r="EC18" s="221">
        <f t="shared" si="148"/>
        <v>0</v>
      </c>
      <c r="ED18" s="221">
        <f t="shared" si="149"/>
        <v>1127500</v>
      </c>
      <c r="EE18" s="221">
        <f t="shared" si="150"/>
        <v>1271000</v>
      </c>
      <c r="EF18" s="221">
        <f t="shared" si="151"/>
        <v>0</v>
      </c>
      <c r="EG18" s="221">
        <f t="shared" si="152"/>
        <v>0</v>
      </c>
      <c r="EH18" s="221">
        <f t="shared" si="153"/>
        <v>0</v>
      </c>
      <c r="EI18" s="221">
        <f t="shared" si="154"/>
        <v>0</v>
      </c>
      <c r="EJ18" s="221">
        <f t="shared" si="155"/>
        <v>0</v>
      </c>
      <c r="EK18" s="221">
        <f t="shared" si="156"/>
        <v>2398500</v>
      </c>
      <c r="EL18" s="221">
        <f t="shared" si="157"/>
        <v>2398500</v>
      </c>
      <c r="EN18" s="75">
        <f t="shared" ref="EN18:EN38" si="180">DW18</f>
        <v>45352</v>
      </c>
      <c r="EO18" s="308"/>
      <c r="EP18" s="338"/>
      <c r="EQ18" s="221">
        <f t="shared" ref="EQ18:EQ38" ca="1" si="181">OFFSET(DZ18,-1,0)</f>
        <v>0</v>
      </c>
      <c r="ER18" s="221">
        <f t="shared" ca="1" si="179"/>
        <v>0</v>
      </c>
      <c r="ES18" s="221">
        <f t="shared" ca="1" si="179"/>
        <v>0</v>
      </c>
      <c r="ET18" s="221">
        <f t="shared" ca="1" si="179"/>
        <v>0</v>
      </c>
      <c r="EU18" s="221">
        <f t="shared" ca="1" si="179"/>
        <v>0</v>
      </c>
      <c r="EV18" s="221">
        <f t="shared" ca="1" si="179"/>
        <v>0</v>
      </c>
      <c r="EW18" s="221">
        <f t="shared" ca="1" si="179"/>
        <v>0</v>
      </c>
      <c r="EX18" s="221">
        <f t="shared" ca="1" si="179"/>
        <v>0</v>
      </c>
      <c r="EY18" s="221">
        <f t="shared" ca="1" si="179"/>
        <v>0</v>
      </c>
      <c r="EZ18" s="221">
        <f t="shared" ca="1" si="179"/>
        <v>0</v>
      </c>
      <c r="FA18" s="221">
        <f t="shared" ca="1" si="179"/>
        <v>0</v>
      </c>
      <c r="FB18" s="221">
        <f t="shared" ca="1" si="179"/>
        <v>0</v>
      </c>
      <c r="FC18" s="221">
        <f t="shared" ca="1" si="179"/>
        <v>0</v>
      </c>
    </row>
    <row r="19" spans="4:159" x14ac:dyDescent="0.25">
      <c r="D19" s="75">
        <f t="shared" si="161"/>
        <v>45717</v>
      </c>
      <c r="E19" s="324"/>
      <c r="F19" s="341">
        <v>60</v>
      </c>
      <c r="G19" s="341">
        <v>48</v>
      </c>
      <c r="H19" s="341">
        <v>6</v>
      </c>
      <c r="I19" s="341">
        <v>36</v>
      </c>
      <c r="J19" s="341"/>
      <c r="K19" s="341">
        <v>30</v>
      </c>
      <c r="L19" s="341">
        <v>22</v>
      </c>
      <c r="M19" s="341"/>
      <c r="N19" s="341"/>
      <c r="O19" s="341"/>
      <c r="P19" s="341"/>
      <c r="Q19" s="256">
        <f t="shared" si="162"/>
        <v>202</v>
      </c>
      <c r="S19" s="271">
        <f t="shared" si="96"/>
        <v>45717</v>
      </c>
      <c r="T19" s="256">
        <f t="shared" si="60"/>
        <v>0</v>
      </c>
      <c r="U19" s="256">
        <f>IF(HYPOTHETICAL_SCENARIO="Yes",IF((U$10-SUM(U$13:U18))=U$10,IF(F19&lt;=0,0,ROUND(F$47*LOT_DELIVERY_SCENARIO,0)),MIN(U$10-SUM(U$13:U18),ROUND(F$47*LOT_DELIVERY_SCENARIO,0))),F19)</f>
        <v>60</v>
      </c>
      <c r="V19" s="256">
        <f>IF(HYPOTHETICAL_SCENARIO="Yes",IF((V$10-SUM(V$13:V18))=V$10,IF(G19&lt;=0,0,ROUND(G$47*LOT_DELIVERY_SCENARIO,0)),MIN(V$10-SUM(V$13:V18),ROUND(G$47*LOT_DELIVERY_SCENARIO,0))),G19)</f>
        <v>48</v>
      </c>
      <c r="W19" s="256">
        <f>IF(HYPOTHETICAL_SCENARIO="Yes",IF((W$10-SUM(W$13:W18))=W$10,IF(H19&lt;=0,0,ROUND(H$47*LOT_DELIVERY_SCENARIO,0)),MIN(W$10-SUM(W$13:W18),ROUND(H$47*LOT_DELIVERY_SCENARIO,0))),H19)</f>
        <v>6</v>
      </c>
      <c r="X19" s="256">
        <f>IF(HYPOTHETICAL_SCENARIO="Yes",IF((X$10-SUM(X$13:X18))=X$10,IF(I19&lt;=0,0,ROUND(I$47*LOT_DELIVERY_SCENARIO,0)),MIN(X$10-SUM(X$13:X18),ROUND(I$47*LOT_DELIVERY_SCENARIO,0))),I19)</f>
        <v>36</v>
      </c>
      <c r="Y19" s="256">
        <f>IF(HYPOTHETICAL_SCENARIO="Yes",IF((Y$10-SUM(Y$13:Y18))=Y$10,IF(J19&lt;=0,0,ROUND(J$47*LOT_DELIVERY_SCENARIO,0)),MIN(Y$10-SUM(Y$13:Y18),ROUND(J$47*LOT_DELIVERY_SCENARIO,0))),J19)</f>
        <v>0</v>
      </c>
      <c r="Z19" s="256">
        <f>IF(HYPOTHETICAL_SCENARIO="Yes",IF((Z$10-SUM(Z$13:Z18))=Z$10,IF(K19&lt;=0,0,ROUND(K$47*LOT_DELIVERY_SCENARIO,0)),MIN(Z$10-SUM(Z$13:Z18),ROUND(K$47*LOT_DELIVERY_SCENARIO,0))),K19)</f>
        <v>30</v>
      </c>
      <c r="AA19" s="256">
        <f>IF(HYPOTHETICAL_SCENARIO="Yes",IF((AA$10-SUM(AA$13:AA18))=AA$10,IF(L19&lt;=0,0,ROUND(L$47*LOT_DELIVERY_SCENARIO,0)),MIN(AA$10-SUM(AA$13:AA18),ROUND(L$47*LOT_DELIVERY_SCENARIO,0))),L19)</f>
        <v>22</v>
      </c>
      <c r="AB19" s="256">
        <f>IF(HYPOTHETICAL_SCENARIO="Yes",IF((AB$10-SUM(AB$13:AB18))=AB$10,IF(M19&lt;=0,0,ROUND(M$47*LOT_DELIVERY_SCENARIO,0)),MIN(AB$10-SUM(AB$13:AB18),ROUND(M$47*LOT_DELIVERY_SCENARIO,0))),M19)</f>
        <v>0</v>
      </c>
      <c r="AC19" s="256">
        <f>IF(HYPOTHETICAL_SCENARIO="Yes",IF((AC$10-SUM(AC$13:AC18))=AC$10,IF(N19&lt;=0,0,ROUND(N$47*LOT_DELIVERY_SCENARIO,0)),MIN(AC$10-SUM(AC$13:AC18),ROUND(N$47*LOT_DELIVERY_SCENARIO,0))),N19)</f>
        <v>0</v>
      </c>
      <c r="AD19" s="256">
        <f>IF(HYPOTHETICAL_SCENARIO="Yes",IF((AD$10-SUM(AD$13:AD18))=AD$10,IF(O19&lt;=0,0,ROUND(O$47*LOT_DELIVERY_SCENARIO,0)),MIN(AD$10-SUM(AD$13:AD18),ROUND(O$47*LOT_DELIVERY_SCENARIO,0))),O19)</f>
        <v>0</v>
      </c>
      <c r="AE19" s="256">
        <f>IF(HYPOTHETICAL_SCENARIO="Yes",IF((AE$10-SUM(AE$13:AE18))=AE$10,IF(P19&lt;=0,0,ROUND(P$47*LOT_DELIVERY_SCENARIO,0)),MIN(AE$10-SUM(AE$13:AE18),ROUND(P$47*LOT_DELIVERY_SCENARIO,0))),P19)</f>
        <v>0</v>
      </c>
      <c r="AF19" s="256">
        <f t="shared" si="97"/>
        <v>202</v>
      </c>
      <c r="AH19" s="75">
        <f t="shared" si="163"/>
        <v>45717</v>
      </c>
      <c r="AI19" s="221"/>
      <c r="AJ19" s="221">
        <f>(SUM(F$17:F19)-SUM(CF$17:CF19))*AJ$11</f>
        <v>2193720</v>
      </c>
      <c r="AK19" s="221">
        <f>(SUM(G$17:G19)-SUM(CG$17:CG19))*AK$11</f>
        <v>1895568</v>
      </c>
      <c r="AL19" s="221">
        <f>(SUM(H$17:H19)-SUM(CH$17:CH19))*AL$11</f>
        <v>260610</v>
      </c>
      <c r="AM19" s="221">
        <f>(SUM(I$17:I19)-SUM(CI$17:CI19))*AM$11</f>
        <v>1771740</v>
      </c>
      <c r="AN19" s="221">
        <f>(SUM(J$17:J19)-SUM(CJ$17:CJ19))*AN$11</f>
        <v>0</v>
      </c>
      <c r="AO19" s="221">
        <f>(SUM(K$17:K19)-SUM(CK$17:CK19))*AO$11</f>
        <v>1906500</v>
      </c>
      <c r="AP19" s="221">
        <f>(SUM(L$17:L19)-SUM(CL$17:CL19))*AP$11</f>
        <v>1561588.6</v>
      </c>
      <c r="AQ19" s="221">
        <f>(SUM(M$17:M19)-SUM(CM$17:CM19))*AQ$11</f>
        <v>0</v>
      </c>
      <c r="AR19" s="221">
        <f>(SUM(N$17:N19)-SUM(CN$17:CN19))*AR$11</f>
        <v>0</v>
      </c>
      <c r="AS19" s="221">
        <f>(SUM(O$17:O19)-SUM(CO$17:CO19))*AS$11</f>
        <v>0</v>
      </c>
      <c r="AT19" s="221">
        <f>(SUM(P$17:P19)-SUM(CP$17:CP19))*AT$11</f>
        <v>0</v>
      </c>
      <c r="AU19" s="221">
        <f t="shared" si="109"/>
        <v>9589726.5999999996</v>
      </c>
      <c r="AW19" s="75">
        <f t="shared" si="164"/>
        <v>45717</v>
      </c>
      <c r="AX19" s="221">
        <f t="shared" si="165"/>
        <v>0</v>
      </c>
      <c r="AY19" s="221">
        <f ca="1">OFFSET(AJ19,-1,0)</f>
        <v>1389356</v>
      </c>
      <c r="AZ19" s="221">
        <f t="shared" ca="1" si="71"/>
        <v>1105748</v>
      </c>
      <c r="BA19" s="221">
        <f t="shared" ca="1" si="72"/>
        <v>1042440</v>
      </c>
      <c r="BB19" s="221">
        <f t="shared" ca="1" si="73"/>
        <v>984300</v>
      </c>
      <c r="BC19" s="221">
        <f t="shared" ca="1" si="74"/>
        <v>1183875</v>
      </c>
      <c r="BD19" s="221">
        <f t="shared" ca="1" si="75"/>
        <v>1779400</v>
      </c>
      <c r="BE19" s="221">
        <f t="shared" ca="1" si="76"/>
        <v>851775.60000000009</v>
      </c>
      <c r="BF19" s="221">
        <f t="shared" ca="1" si="77"/>
        <v>76106.3</v>
      </c>
      <c r="BG19" s="221">
        <f t="shared" ca="1" si="78"/>
        <v>0</v>
      </c>
      <c r="BH19" s="221">
        <f t="shared" ca="1" si="111"/>
        <v>0</v>
      </c>
      <c r="BI19" s="221">
        <f t="shared" ca="1" si="112"/>
        <v>0</v>
      </c>
      <c r="BJ19" s="221"/>
      <c r="BK19" s="221">
        <f t="shared" ca="1" si="113"/>
        <v>8413000.9000000004</v>
      </c>
      <c r="BM19" s="75">
        <f t="shared" si="166"/>
        <v>45717</v>
      </c>
      <c r="BN19" s="221">
        <f t="shared" ca="1" si="114"/>
        <v>0</v>
      </c>
      <c r="BO19" s="221">
        <f t="shared" ca="1" si="115"/>
        <v>0</v>
      </c>
      <c r="BP19" s="221">
        <f t="shared" ca="1" si="116"/>
        <v>0</v>
      </c>
      <c r="BQ19" s="221">
        <f t="shared" ca="1" si="117"/>
        <v>0</v>
      </c>
      <c r="BR19" s="221">
        <f t="shared" ca="1" si="118"/>
        <v>0</v>
      </c>
      <c r="BS19" s="221">
        <f t="shared" ca="1" si="119"/>
        <v>-112750</v>
      </c>
      <c r="BT19" s="221">
        <f t="shared" ca="1" si="120"/>
        <v>-127100</v>
      </c>
      <c r="BU19" s="221">
        <f t="shared" ca="1" si="121"/>
        <v>0</v>
      </c>
      <c r="BV19" s="221">
        <f t="shared" ca="1" si="122"/>
        <v>0</v>
      </c>
      <c r="BW19" s="221">
        <f t="shared" ca="1" si="123"/>
        <v>0</v>
      </c>
      <c r="BX19" s="221">
        <f t="shared" ca="1" si="124"/>
        <v>0</v>
      </c>
      <c r="BY19" s="221">
        <f t="shared" ca="1" si="125"/>
        <v>0</v>
      </c>
      <c r="BZ19" s="221">
        <f t="shared" si="126"/>
        <v>0</v>
      </c>
      <c r="CA19" s="221">
        <f t="shared" ca="1" si="127"/>
        <v>-239850</v>
      </c>
      <c r="CB19" s="221">
        <f ca="1">$BK19+SUM($BO19:$BW19)+BZ19</f>
        <v>8173150.9000000004</v>
      </c>
      <c r="CD19" s="75">
        <f t="shared" si="83"/>
        <v>45717</v>
      </c>
      <c r="CE19" s="340"/>
      <c r="CF19" s="343">
        <v>38</v>
      </c>
      <c r="CG19" s="343">
        <v>28</v>
      </c>
      <c r="CH19" s="343">
        <v>24</v>
      </c>
      <c r="CI19" s="343">
        <v>20</v>
      </c>
      <c r="CJ19" s="343">
        <v>21</v>
      </c>
      <c r="CK19" s="343">
        <v>28</v>
      </c>
      <c r="CL19" s="343">
        <v>12</v>
      </c>
      <c r="CM19" s="343">
        <v>1</v>
      </c>
      <c r="CN19" s="343"/>
      <c r="CO19" s="343"/>
      <c r="CP19" s="343"/>
      <c r="CQ19" s="236">
        <f t="shared" si="129"/>
        <v>172</v>
      </c>
      <c r="CS19" s="75">
        <f t="shared" si="130"/>
        <v>45717</v>
      </c>
      <c r="CT19" s="256">
        <f t="shared" si="131"/>
        <v>0</v>
      </c>
      <c r="CU19" s="256">
        <f>IF(HYPOTHETICAL_SCENARIO="Yes",IF((CU$10-SUM(CU$13:CU18))=CU$10,IF(CF19&lt;=0,0,ROUND(CF$47*ABSORPTION_SCENARIO,0)),MIN(CU$10-SUM(CU$13:CU18),ROUND(CF$47*ABSORPTION_SCENARIO,0))),CF19)</f>
        <v>38</v>
      </c>
      <c r="CV19" s="256">
        <f>IF(HYPOTHETICAL_SCENARIO="Yes",IF((CV$10-SUM(CV$13:CV18))=CV$10,IF(CG19&lt;=0,0,ROUND(CG$47*ABSORPTION_SCENARIO,0)),MIN(CV$10-SUM(CV$13:CV18),ROUND(CG$47*ABSORPTION_SCENARIO,0))),CG19)</f>
        <v>28</v>
      </c>
      <c r="CW19" s="256">
        <f>IF(HYPOTHETICAL_SCENARIO="Yes",IF((CW$10-SUM(CW$13:CW18))=CW$10,IF(CH19&lt;=0,0,ROUND(CH$47*ABSORPTION_SCENARIO,0)),MIN(CW$10-SUM(CW$13:CW18),ROUND(CH$47*ABSORPTION_SCENARIO,0))),CH19)</f>
        <v>24</v>
      </c>
      <c r="CX19" s="256">
        <f>IF(HYPOTHETICAL_SCENARIO="Yes",IF((CX$10-SUM(CX$13:CX18))=CX$10,IF(CI19&lt;=0,0,ROUND(CI$47*ABSORPTION_SCENARIO,0)),MIN(CX$10-SUM(CX$13:CX18),ROUND(CI$47*ABSORPTION_SCENARIO,0))),CI19)</f>
        <v>20</v>
      </c>
      <c r="CY19" s="256">
        <f>IF(HYPOTHETICAL_SCENARIO="Yes",IF((CY$10-SUM(CY$13:CY18))=CY$10,IF(CJ19&lt;=0,0,ROUND(CJ$47*ABSORPTION_SCENARIO,0)),MIN(CY$10-SUM(CY$13:CY18),ROUND(CJ$47*ABSORPTION_SCENARIO,0))),CJ19)</f>
        <v>21</v>
      </c>
      <c r="CZ19" s="256">
        <f>IF(HYPOTHETICAL_SCENARIO="Yes",IF((CZ$10-SUM(CZ$13:CZ18))=CZ$10,IF(CK19&lt;=0,0,ROUND(CK$47*ABSORPTION_SCENARIO,0)),MIN(CZ$10-SUM(CZ$13:CZ18),ROUND(CK$47*ABSORPTION_SCENARIO,0))),CK19)</f>
        <v>28</v>
      </c>
      <c r="DA19" s="256">
        <f>IF(HYPOTHETICAL_SCENARIO="Yes",IF((DA$10-SUM(DA$13:DA18))=DA$10,IF(CL19&lt;=0,0,ROUND(CL$47*ABSORPTION_SCENARIO,0)),MIN(DA$10-SUM(DA$13:DA18),ROUND(CL$47*ABSORPTION_SCENARIO,0))),CL19)</f>
        <v>12</v>
      </c>
      <c r="DB19" s="256">
        <f>IF(HYPOTHETICAL_SCENARIO="Yes",IF((DB$10-SUM(DB$13:DB18))=DB$10,IF(CM19&lt;=0,0,ROUND(CM$47*ABSORPTION_SCENARIO,0)),MIN(DB$10-SUM(DB$13:DB18),ROUND(CM$47*ABSORPTION_SCENARIO,0))),CM19)</f>
        <v>1</v>
      </c>
      <c r="DC19" s="256">
        <f>IF(HYPOTHETICAL_SCENARIO="Yes",IF((DC$10-SUM(DC$13:DC18))=DC$10,IF(CN19&lt;=0,0,ROUND(CN$47*ABSORPTION_SCENARIO,0)),MIN(DC$10-SUM(DC$13:DC18),ROUND(CN$47*ABSORPTION_SCENARIO,0))),CN19)</f>
        <v>0</v>
      </c>
      <c r="DD19" s="256">
        <f>IF(HYPOTHETICAL_SCENARIO="Yes",IF((DD$10-SUM(DD$13:DD18))=DD$10,IF(CO19&lt;=0,0,ROUND(CO$47*ABSORPTION_SCENARIO,0)),MIN(DD$10-SUM(DD$13:DD18),ROUND(CO$47*ABSORPTION_SCENARIO,0))),CO19)</f>
        <v>0</v>
      </c>
      <c r="DE19" s="256">
        <f>IF(HYPOTHETICAL_SCENARIO="Yes",IF((DE$10-SUM(DE$13:DE18))=DE$10,IF(CP19&lt;=0,0,ROUND(CP$47*ABSORPTION_SCENARIO,0)),MIN(DE$10-SUM(DE$13:DE18),ROUND(CP$47*ABSORPTION_SCENARIO,0))),CP19)</f>
        <v>0</v>
      </c>
      <c r="DF19" s="256">
        <f t="shared" si="132"/>
        <v>172</v>
      </c>
      <c r="DH19" s="75">
        <f t="shared" si="133"/>
        <v>45717</v>
      </c>
      <c r="DI19" s="75"/>
      <c r="DJ19" s="218">
        <f t="shared" si="178"/>
        <v>376588.60000000003</v>
      </c>
      <c r="DK19" s="218">
        <f t="shared" si="178"/>
        <v>406757.3</v>
      </c>
      <c r="DL19" s="218">
        <f t="shared" si="178"/>
        <v>447380.5</v>
      </c>
      <c r="DM19" s="218">
        <f t="shared" si="178"/>
        <v>506914.5</v>
      </c>
      <c r="DN19" s="218">
        <f t="shared" si="178"/>
        <v>580662.5</v>
      </c>
      <c r="DO19" s="218">
        <f t="shared" si="178"/>
        <v>654565</v>
      </c>
      <c r="DP19" s="218">
        <f t="shared" si="178"/>
        <v>731107.39</v>
      </c>
      <c r="DQ19" s="218">
        <f t="shared" si="178"/>
        <v>783894.89</v>
      </c>
      <c r="DR19" s="218">
        <f t="shared" si="178"/>
        <v>0</v>
      </c>
      <c r="DS19" s="218">
        <f t="shared" si="178"/>
        <v>0</v>
      </c>
      <c r="DT19" s="218">
        <f t="shared" si="178"/>
        <v>0</v>
      </c>
      <c r="DW19" s="75">
        <f t="shared" si="144"/>
        <v>45717</v>
      </c>
      <c r="DX19" s="308"/>
      <c r="DY19" s="338"/>
      <c r="DZ19" s="221">
        <f t="shared" si="145"/>
        <v>14310366.800000001</v>
      </c>
      <c r="EA19" s="221">
        <f t="shared" si="146"/>
        <v>11389204.4</v>
      </c>
      <c r="EB19" s="221">
        <f t="shared" si="147"/>
        <v>10737132</v>
      </c>
      <c r="EC19" s="221">
        <f t="shared" si="148"/>
        <v>10138290</v>
      </c>
      <c r="ED19" s="221">
        <f t="shared" si="149"/>
        <v>12193912.5</v>
      </c>
      <c r="EE19" s="221">
        <f t="shared" si="150"/>
        <v>18327820</v>
      </c>
      <c r="EF19" s="221">
        <f t="shared" si="151"/>
        <v>8773288.6799999997</v>
      </c>
      <c r="EG19" s="221">
        <f t="shared" si="152"/>
        <v>783894.89</v>
      </c>
      <c r="EH19" s="221">
        <f t="shared" si="153"/>
        <v>0</v>
      </c>
      <c r="EI19" s="221">
        <f t="shared" si="154"/>
        <v>0</v>
      </c>
      <c r="EJ19" s="221">
        <f t="shared" si="155"/>
        <v>0</v>
      </c>
      <c r="EK19" s="221">
        <f t="shared" si="156"/>
        <v>86653909.269999996</v>
      </c>
      <c r="EL19" s="221">
        <f t="shared" si="157"/>
        <v>86653909.269999996</v>
      </c>
      <c r="EN19" s="75">
        <f t="shared" si="180"/>
        <v>45717</v>
      </c>
      <c r="EO19" s="308"/>
      <c r="EP19" s="338"/>
      <c r="EQ19" s="221">
        <f t="shared" ca="1" si="181"/>
        <v>0</v>
      </c>
      <c r="ER19" s="221">
        <f t="shared" ca="1" si="179"/>
        <v>0</v>
      </c>
      <c r="ES19" s="221">
        <f t="shared" ca="1" si="179"/>
        <v>0</v>
      </c>
      <c r="ET19" s="221">
        <f t="shared" ca="1" si="179"/>
        <v>0</v>
      </c>
      <c r="EU19" s="221">
        <f t="shared" ca="1" si="179"/>
        <v>1127500</v>
      </c>
      <c r="EV19" s="221">
        <f t="shared" ca="1" si="179"/>
        <v>1271000</v>
      </c>
      <c r="EW19" s="221">
        <f t="shared" ca="1" si="179"/>
        <v>0</v>
      </c>
      <c r="EX19" s="221">
        <f t="shared" ca="1" si="179"/>
        <v>0</v>
      </c>
      <c r="EY19" s="221">
        <f t="shared" ca="1" si="179"/>
        <v>0</v>
      </c>
      <c r="EZ19" s="221">
        <f t="shared" ca="1" si="179"/>
        <v>0</v>
      </c>
      <c r="FA19" s="221">
        <f t="shared" ca="1" si="179"/>
        <v>0</v>
      </c>
      <c r="FB19" s="221">
        <f t="shared" ca="1" si="179"/>
        <v>2398500</v>
      </c>
      <c r="FC19" s="221">
        <f t="shared" ca="1" si="179"/>
        <v>2398500</v>
      </c>
    </row>
    <row r="20" spans="4:159" x14ac:dyDescent="0.25">
      <c r="D20" s="75">
        <f t="shared" si="161"/>
        <v>46082</v>
      </c>
      <c r="E20" s="324"/>
      <c r="F20" s="341">
        <v>41</v>
      </c>
      <c r="G20" s="341">
        <v>64</v>
      </c>
      <c r="H20" s="341"/>
      <c r="I20" s="341">
        <v>32</v>
      </c>
      <c r="J20" s="341"/>
      <c r="K20" s="341">
        <v>7</v>
      </c>
      <c r="L20" s="341">
        <v>7</v>
      </c>
      <c r="M20" s="341"/>
      <c r="N20" s="341"/>
      <c r="O20" s="341"/>
      <c r="P20" s="341"/>
      <c r="Q20" s="256">
        <f t="shared" si="162"/>
        <v>151</v>
      </c>
      <c r="S20" s="271">
        <f t="shared" si="96"/>
        <v>46082</v>
      </c>
      <c r="T20" s="256">
        <f t="shared" si="60"/>
        <v>0</v>
      </c>
      <c r="U20" s="256">
        <f>IF(HYPOTHETICAL_SCENARIO="Yes",IF((U$10-SUM(U$13:U19))=U$10,IF(F20&lt;=0,0,ROUND(F$47*LOT_DELIVERY_SCENARIO,0)),MIN(U$10-SUM(U$13:U19),ROUND(F$47*LOT_DELIVERY_SCENARIO,0))),F20)</f>
        <v>41</v>
      </c>
      <c r="V20" s="256">
        <f>IF(HYPOTHETICAL_SCENARIO="Yes",IF((V$10-SUM(V$13:V19))=V$10,IF(G20&lt;=0,0,ROUND(G$47*LOT_DELIVERY_SCENARIO,0)),MIN(V$10-SUM(V$13:V19),ROUND(G$47*LOT_DELIVERY_SCENARIO,0))),G20)</f>
        <v>64</v>
      </c>
      <c r="W20" s="256">
        <f>IF(HYPOTHETICAL_SCENARIO="Yes",IF((W$10-SUM(W$13:W19))=W$10,IF(H20&lt;=0,0,ROUND(H$47*LOT_DELIVERY_SCENARIO,0)),MIN(W$10-SUM(W$13:W19),ROUND(H$47*LOT_DELIVERY_SCENARIO,0))),H20)</f>
        <v>0</v>
      </c>
      <c r="X20" s="256">
        <f>IF(HYPOTHETICAL_SCENARIO="Yes",IF((X$10-SUM(X$13:X19))=X$10,IF(I20&lt;=0,0,ROUND(I$47*LOT_DELIVERY_SCENARIO,0)),MIN(X$10-SUM(X$13:X19),ROUND(I$47*LOT_DELIVERY_SCENARIO,0))),I20)</f>
        <v>32</v>
      </c>
      <c r="Y20" s="256">
        <f>IF(HYPOTHETICAL_SCENARIO="Yes",IF((Y$10-SUM(Y$13:Y19))=Y$10,IF(J20&lt;=0,0,ROUND(J$47*LOT_DELIVERY_SCENARIO,0)),MIN(Y$10-SUM(Y$13:Y19),ROUND(J$47*LOT_DELIVERY_SCENARIO,0))),J20)</f>
        <v>0</v>
      </c>
      <c r="Z20" s="256">
        <f>IF(HYPOTHETICAL_SCENARIO="Yes",IF((Z$10-SUM(Z$13:Z19))=Z$10,IF(K20&lt;=0,0,ROUND(K$47*LOT_DELIVERY_SCENARIO,0)),MIN(Z$10-SUM(Z$13:Z19),ROUND(K$47*LOT_DELIVERY_SCENARIO,0))),K20)</f>
        <v>7</v>
      </c>
      <c r="AA20" s="256">
        <f>IF(HYPOTHETICAL_SCENARIO="Yes",IF((AA$10-SUM(AA$13:AA19))=AA$10,IF(L20&lt;=0,0,ROUND(L$47*LOT_DELIVERY_SCENARIO,0)),MIN(AA$10-SUM(AA$13:AA19),ROUND(L$47*LOT_DELIVERY_SCENARIO,0))),L20)</f>
        <v>7</v>
      </c>
      <c r="AB20" s="256">
        <f>IF(HYPOTHETICAL_SCENARIO="Yes",IF((AB$10-SUM(AB$13:AB19))=AB$10,IF(M20&lt;=0,0,ROUND(M$47*LOT_DELIVERY_SCENARIO,0)),MIN(AB$10-SUM(AB$13:AB19),ROUND(M$47*LOT_DELIVERY_SCENARIO,0))),M20)</f>
        <v>0</v>
      </c>
      <c r="AC20" s="256">
        <f>IF(HYPOTHETICAL_SCENARIO="Yes",IF((AC$10-SUM(AC$13:AC19))=AC$10,IF(N20&lt;=0,0,ROUND(N$47*LOT_DELIVERY_SCENARIO,0)),MIN(AC$10-SUM(AC$13:AC19),ROUND(N$47*LOT_DELIVERY_SCENARIO,0))),N20)</f>
        <v>0</v>
      </c>
      <c r="AD20" s="256">
        <f>IF(HYPOTHETICAL_SCENARIO="Yes",IF((AD$10-SUM(AD$13:AD19))=AD$10,IF(O20&lt;=0,0,ROUND(O$47*LOT_DELIVERY_SCENARIO,0)),MIN(AD$10-SUM(AD$13:AD19),ROUND(O$47*LOT_DELIVERY_SCENARIO,0))),O20)</f>
        <v>0</v>
      </c>
      <c r="AE20" s="256">
        <f>IF(HYPOTHETICAL_SCENARIO="Yes",IF((AE$10-SUM(AE$13:AE19))=AE$10,IF(P20&lt;=0,0,ROUND(P$47*LOT_DELIVERY_SCENARIO,0)),MIN(AE$10-SUM(AE$13:AE19),ROUND(P$47*LOT_DELIVERY_SCENARIO,0))),P20)</f>
        <v>0</v>
      </c>
      <c r="AF20" s="256">
        <f t="shared" si="97"/>
        <v>151</v>
      </c>
      <c r="AH20" s="75">
        <f t="shared" si="163"/>
        <v>46082</v>
      </c>
      <c r="AI20" s="221"/>
      <c r="AJ20" s="221">
        <f>(SUM(F$17:F20)-SUM(CF$17:CF20))*AJ$11</f>
        <v>1499042</v>
      </c>
      <c r="AK20" s="221">
        <f>(SUM(G$17:G20)-SUM(CG$17:CG20))*AK$11</f>
        <v>2527424</v>
      </c>
      <c r="AL20" s="221">
        <f>(SUM(H$17:H20)-SUM(CH$17:CH20))*AL$11</f>
        <v>0</v>
      </c>
      <c r="AM20" s="221">
        <f>(SUM(I$17:I20)-SUM(CI$17:CI20))*AM$11</f>
        <v>1574880</v>
      </c>
      <c r="AN20" s="221">
        <f>(SUM(J$17:J20)-SUM(CJ$17:CJ20))*AN$11</f>
        <v>0</v>
      </c>
      <c r="AO20" s="221">
        <f>(SUM(K$17:K20)-SUM(CK$17:CK20))*AO$11</f>
        <v>444850</v>
      </c>
      <c r="AP20" s="221">
        <f>(SUM(L$17:L20)-SUM(CL$17:CL20))*AP$11</f>
        <v>496869.10000000003</v>
      </c>
      <c r="AQ20" s="221">
        <f>(SUM(M$17:M20)-SUM(CM$17:CM20))*AQ$11</f>
        <v>0</v>
      </c>
      <c r="AR20" s="221">
        <f>(SUM(N$17:N20)-SUM(CN$17:CN20))*AR$11</f>
        <v>0</v>
      </c>
      <c r="AS20" s="221">
        <f>(SUM(O$17:O20)-SUM(CO$17:CO20))*AS$11</f>
        <v>0</v>
      </c>
      <c r="AT20" s="221">
        <f>(SUM(P$17:P20)-SUM(CP$17:CP20))*AT$11</f>
        <v>0</v>
      </c>
      <c r="AU20" s="221">
        <f t="shared" si="109"/>
        <v>6543065.0999999996</v>
      </c>
      <c r="AW20" s="75">
        <f t="shared" si="164"/>
        <v>46082</v>
      </c>
      <c r="AX20" s="221">
        <f t="shared" si="165"/>
        <v>0</v>
      </c>
      <c r="AY20" s="221">
        <f ca="1">OFFSET(AJ20,-1,0)</f>
        <v>2193720</v>
      </c>
      <c r="AZ20" s="221">
        <f t="shared" ca="1" si="71"/>
        <v>1895568</v>
      </c>
      <c r="BA20" s="221">
        <f t="shared" ca="1" si="72"/>
        <v>260610</v>
      </c>
      <c r="BB20" s="221">
        <f t="shared" ca="1" si="73"/>
        <v>1771740</v>
      </c>
      <c r="BC20" s="221">
        <f t="shared" ca="1" si="74"/>
        <v>0</v>
      </c>
      <c r="BD20" s="221">
        <f t="shared" ca="1" si="75"/>
        <v>1906500</v>
      </c>
      <c r="BE20" s="221">
        <f t="shared" ca="1" si="76"/>
        <v>1561588.6</v>
      </c>
      <c r="BF20" s="221">
        <f t="shared" ca="1" si="77"/>
        <v>0</v>
      </c>
      <c r="BG20" s="221">
        <f t="shared" ca="1" si="78"/>
        <v>0</v>
      </c>
      <c r="BH20" s="221">
        <f t="shared" ca="1" si="111"/>
        <v>0</v>
      </c>
      <c r="BI20" s="221">
        <f t="shared" ca="1" si="112"/>
        <v>0</v>
      </c>
      <c r="BJ20" s="221"/>
      <c r="BK20" s="221">
        <f t="shared" ca="1" si="113"/>
        <v>9589726.5999999996</v>
      </c>
      <c r="BM20" s="75">
        <f t="shared" si="166"/>
        <v>46082</v>
      </c>
      <c r="BN20" s="221">
        <f t="shared" ca="1" si="114"/>
        <v>0</v>
      </c>
      <c r="BO20" s="221">
        <f ca="1">-OFFSET(AY20,-1,0)</f>
        <v>-1389356</v>
      </c>
      <c r="BP20" s="221">
        <f t="shared" ca="1" si="116"/>
        <v>-1105748</v>
      </c>
      <c r="BQ20" s="221">
        <f t="shared" ca="1" si="117"/>
        <v>-1042440</v>
      </c>
      <c r="BR20" s="221">
        <f t="shared" ca="1" si="118"/>
        <v>-984300</v>
      </c>
      <c r="BS20" s="221">
        <f t="shared" ca="1" si="119"/>
        <v>-1183875</v>
      </c>
      <c r="BT20" s="221">
        <f t="shared" ca="1" si="120"/>
        <v>-1779400</v>
      </c>
      <c r="BU20" s="221">
        <f t="shared" ca="1" si="121"/>
        <v>-851775.60000000009</v>
      </c>
      <c r="BV20" s="221">
        <f t="shared" ca="1" si="122"/>
        <v>-76106.3</v>
      </c>
      <c r="BW20" s="221">
        <f t="shared" ca="1" si="123"/>
        <v>0</v>
      </c>
      <c r="BX20" s="221">
        <f t="shared" ca="1" si="124"/>
        <v>0</v>
      </c>
      <c r="BY20" s="221">
        <f t="shared" ca="1" si="125"/>
        <v>0</v>
      </c>
      <c r="BZ20" s="221">
        <f>BJ20</f>
        <v>0</v>
      </c>
      <c r="CA20" s="221">
        <f t="shared" ca="1" si="127"/>
        <v>-8413000.9000000004</v>
      </c>
      <c r="CB20" s="221">
        <f t="shared" ca="1" si="128"/>
        <v>1176725.6999999993</v>
      </c>
      <c r="CD20" s="75">
        <f t="shared" si="83"/>
        <v>46082</v>
      </c>
      <c r="CE20" s="340"/>
      <c r="CF20" s="343">
        <v>60</v>
      </c>
      <c r="CG20" s="343">
        <v>48</v>
      </c>
      <c r="CH20" s="343">
        <v>6</v>
      </c>
      <c r="CI20" s="343">
        <v>36</v>
      </c>
      <c r="CJ20" s="343"/>
      <c r="CK20" s="343">
        <v>30</v>
      </c>
      <c r="CL20" s="343">
        <v>22</v>
      </c>
      <c r="CM20" s="343"/>
      <c r="CN20" s="343"/>
      <c r="CO20" s="343"/>
      <c r="CP20" s="343"/>
      <c r="CQ20" s="236">
        <f t="shared" si="129"/>
        <v>202</v>
      </c>
      <c r="CS20" s="75">
        <f t="shared" si="130"/>
        <v>46082</v>
      </c>
      <c r="CT20" s="256">
        <f t="shared" si="131"/>
        <v>0</v>
      </c>
      <c r="CU20" s="256">
        <f>IF(HYPOTHETICAL_SCENARIO="Yes",IF((CU$10-SUM(CU$13:CU19))=CU$10,IF(CF20&lt;=0,0,ROUND(CF$47*ABSORPTION_SCENARIO,0)),MIN(CU$10-SUM(CU$13:CU19),ROUND(CF$47*ABSORPTION_SCENARIO,0))),CF20)</f>
        <v>60</v>
      </c>
      <c r="CV20" s="256">
        <f>IF(HYPOTHETICAL_SCENARIO="Yes",IF((CV$10-SUM(CV$13:CV19))=CV$10,IF(CG20&lt;=0,0,ROUND(CG$47*ABSORPTION_SCENARIO,0)),MIN(CV$10-SUM(CV$13:CV19),ROUND(CG$47*ABSORPTION_SCENARIO,0))),CG20)</f>
        <v>48</v>
      </c>
      <c r="CW20" s="256">
        <f>IF(HYPOTHETICAL_SCENARIO="Yes",IF((CW$10-SUM(CW$13:CW19))=CW$10,IF(CH20&lt;=0,0,ROUND(CH$47*ABSORPTION_SCENARIO,0)),MIN(CW$10-SUM(CW$13:CW19),ROUND(CH$47*ABSORPTION_SCENARIO,0))),CH20)</f>
        <v>6</v>
      </c>
      <c r="CX20" s="256">
        <f>IF(HYPOTHETICAL_SCENARIO="Yes",IF((CX$10-SUM(CX$13:CX19))=CX$10,IF(CI20&lt;=0,0,ROUND(CI$47*ABSORPTION_SCENARIO,0)),MIN(CX$10-SUM(CX$13:CX19),ROUND(CI$47*ABSORPTION_SCENARIO,0))),CI20)</f>
        <v>36</v>
      </c>
      <c r="CY20" s="256">
        <f>IF(HYPOTHETICAL_SCENARIO="Yes",IF((CY$10-SUM(CY$13:CY19))=CY$10,IF(CJ20&lt;=0,0,ROUND(CJ$47*ABSORPTION_SCENARIO,0)),MIN(CY$10-SUM(CY$13:CY19),ROUND(CJ$47*ABSORPTION_SCENARIO,0))),CJ20)</f>
        <v>0</v>
      </c>
      <c r="CZ20" s="256">
        <f>IF(HYPOTHETICAL_SCENARIO="Yes",IF((CZ$10-SUM(CZ$13:CZ19))=CZ$10,IF(CK20&lt;=0,0,ROUND(CK$47*ABSORPTION_SCENARIO,0)),MIN(CZ$10-SUM(CZ$13:CZ19),ROUND(CK$47*ABSORPTION_SCENARIO,0))),CK20)</f>
        <v>30</v>
      </c>
      <c r="DA20" s="256">
        <f>IF(HYPOTHETICAL_SCENARIO="Yes",IF((DA$10-SUM(DA$13:DA19))=DA$10,IF(CL20&lt;=0,0,ROUND(CL$47*ABSORPTION_SCENARIO,0)),MIN(DA$10-SUM(DA$13:DA19),ROUND(CL$47*ABSORPTION_SCENARIO,0))),CL20)</f>
        <v>22</v>
      </c>
      <c r="DB20" s="256">
        <f>IF(HYPOTHETICAL_SCENARIO="Yes",IF((DB$10-SUM(DB$13:DB19))=DB$10,IF(CM20&lt;=0,0,ROUND(CM$47*ABSORPTION_SCENARIO,0)),MIN(DB$10-SUM(DB$13:DB19),ROUND(CM$47*ABSORPTION_SCENARIO,0))),CM20)</f>
        <v>0</v>
      </c>
      <c r="DC20" s="256">
        <f>IF(HYPOTHETICAL_SCENARIO="Yes",IF((DC$10-SUM(DC$13:DC19))=DC$10,IF(CN20&lt;=0,0,ROUND(CN$47*ABSORPTION_SCENARIO,0)),MIN(DC$10-SUM(DC$13:DC19),ROUND(CN$47*ABSORPTION_SCENARIO,0))),CN20)</f>
        <v>0</v>
      </c>
      <c r="DD20" s="256">
        <f>IF(HYPOTHETICAL_SCENARIO="Yes",IF((DD$10-SUM(DD$13:DD19))=DD$10,IF(CO20&lt;=0,0,ROUND(CO$47*ABSORPTION_SCENARIO,0)),MIN(DD$10-SUM(DD$13:DD19),ROUND(CO$47*ABSORPTION_SCENARIO,0))),CO20)</f>
        <v>0</v>
      </c>
      <c r="DE20" s="256">
        <f>IF(HYPOTHETICAL_SCENARIO="Yes",IF((DE$10-SUM(DE$13:DE19))=DE$10,IF(CP20&lt;=0,0,ROUND(CP$47*ABSORPTION_SCENARIO,0)),MIN(DE$10-SUM(DE$13:DE19),ROUND(CP$47*ABSORPTION_SCENARIO,0))),CP20)</f>
        <v>0</v>
      </c>
      <c r="DF20" s="256">
        <f t="shared" si="132"/>
        <v>202</v>
      </c>
      <c r="DH20" s="75">
        <f t="shared" si="133"/>
        <v>46082</v>
      </c>
      <c r="DI20" s="75"/>
      <c r="DJ20" s="218">
        <f t="shared" si="178"/>
        <v>387886.25799999997</v>
      </c>
      <c r="DK20" s="218">
        <f t="shared" si="178"/>
        <v>418960.01899999997</v>
      </c>
      <c r="DL20" s="218">
        <f t="shared" si="178"/>
        <v>460801.91499999998</v>
      </c>
      <c r="DM20" s="218">
        <f t="shared" si="178"/>
        <v>522121.935</v>
      </c>
      <c r="DN20" s="218">
        <f t="shared" si="178"/>
        <v>598082.375</v>
      </c>
      <c r="DO20" s="218">
        <f t="shared" si="178"/>
        <v>674201.95</v>
      </c>
      <c r="DP20" s="218">
        <f t="shared" si="178"/>
        <v>753040.61170000001</v>
      </c>
      <c r="DQ20" s="218">
        <f t="shared" si="178"/>
        <v>807411.73670000001</v>
      </c>
      <c r="DR20" s="218">
        <f t="shared" si="178"/>
        <v>0</v>
      </c>
      <c r="DS20" s="218">
        <f t="shared" si="178"/>
        <v>0</v>
      </c>
      <c r="DT20" s="218">
        <f t="shared" si="178"/>
        <v>0</v>
      </c>
      <c r="DW20" s="75">
        <f t="shared" si="144"/>
        <v>46082</v>
      </c>
      <c r="DX20" s="308"/>
      <c r="DY20" s="338"/>
      <c r="DZ20" s="221">
        <f t="shared" si="145"/>
        <v>23273175.479999997</v>
      </c>
      <c r="EA20" s="221">
        <f t="shared" si="146"/>
        <v>20110080.912</v>
      </c>
      <c r="EB20" s="221">
        <f t="shared" si="147"/>
        <v>2764811.4899999998</v>
      </c>
      <c r="EC20" s="221">
        <f t="shared" si="148"/>
        <v>18796389.66</v>
      </c>
      <c r="ED20" s="221">
        <f t="shared" si="149"/>
        <v>0</v>
      </c>
      <c r="EE20" s="221">
        <f t="shared" si="150"/>
        <v>20226058.5</v>
      </c>
      <c r="EF20" s="221">
        <f t="shared" si="151"/>
        <v>16566893.4574</v>
      </c>
      <c r="EG20" s="221">
        <f t="shared" si="152"/>
        <v>0</v>
      </c>
      <c r="EH20" s="221">
        <f t="shared" si="153"/>
        <v>0</v>
      </c>
      <c r="EI20" s="221">
        <f t="shared" si="154"/>
        <v>0</v>
      </c>
      <c r="EJ20" s="221">
        <f t="shared" si="155"/>
        <v>0</v>
      </c>
      <c r="EK20" s="221">
        <f t="shared" si="156"/>
        <v>101737409.49939999</v>
      </c>
      <c r="EL20" s="221">
        <f t="shared" si="157"/>
        <v>101737409.49939999</v>
      </c>
      <c r="EN20" s="75">
        <f t="shared" si="180"/>
        <v>46082</v>
      </c>
      <c r="EO20" s="308"/>
      <c r="EP20" s="338"/>
      <c r="EQ20" s="221">
        <f t="shared" ca="1" si="181"/>
        <v>14310366.800000001</v>
      </c>
      <c r="ER20" s="221">
        <f t="shared" ca="1" si="179"/>
        <v>11389204.4</v>
      </c>
      <c r="ES20" s="221">
        <f t="shared" ca="1" si="179"/>
        <v>10737132</v>
      </c>
      <c r="ET20" s="221">
        <f t="shared" ca="1" si="179"/>
        <v>10138290</v>
      </c>
      <c r="EU20" s="221">
        <f t="shared" ca="1" si="179"/>
        <v>12193912.5</v>
      </c>
      <c r="EV20" s="221">
        <f t="shared" ca="1" si="179"/>
        <v>18327820</v>
      </c>
      <c r="EW20" s="221">
        <f t="shared" ca="1" si="179"/>
        <v>8773288.6799999997</v>
      </c>
      <c r="EX20" s="221">
        <f t="shared" ca="1" si="179"/>
        <v>783894.89</v>
      </c>
      <c r="EY20" s="221">
        <f t="shared" ca="1" si="179"/>
        <v>0</v>
      </c>
      <c r="EZ20" s="221">
        <f t="shared" ca="1" si="179"/>
        <v>0</v>
      </c>
      <c r="FA20" s="221">
        <f t="shared" ca="1" si="179"/>
        <v>0</v>
      </c>
      <c r="FB20" s="221">
        <f t="shared" ca="1" si="179"/>
        <v>86653909.269999996</v>
      </c>
      <c r="FC20" s="221">
        <f t="shared" ca="1" si="179"/>
        <v>86653909.269999996</v>
      </c>
    </row>
    <row r="21" spans="4:159" x14ac:dyDescent="0.25">
      <c r="D21" s="75">
        <f t="shared" si="161"/>
        <v>46447</v>
      </c>
      <c r="E21" s="324"/>
      <c r="F21" s="341"/>
      <c r="G21" s="341">
        <v>96</v>
      </c>
      <c r="H21" s="341"/>
      <c r="I21" s="341"/>
      <c r="J21" s="341"/>
      <c r="K21" s="341"/>
      <c r="L21" s="341"/>
      <c r="M21" s="341"/>
      <c r="N21" s="341"/>
      <c r="O21" s="341"/>
      <c r="P21" s="341"/>
      <c r="Q21" s="256">
        <f t="shared" si="162"/>
        <v>96</v>
      </c>
      <c r="S21" s="271">
        <f t="shared" si="96"/>
        <v>46447</v>
      </c>
      <c r="T21" s="256">
        <f t="shared" si="60"/>
        <v>0</v>
      </c>
      <c r="U21" s="256">
        <f>IF(HYPOTHETICAL_SCENARIO="Yes",IF((U$10-SUM(U$13:U20))=U$10,IF(F21&lt;=0,0,ROUND(F$47*LOT_DELIVERY_SCENARIO,0)),MIN(U$10-SUM(U$13:U20),ROUND(F$47*LOT_DELIVERY_SCENARIO,0))),F21)</f>
        <v>0</v>
      </c>
      <c r="V21" s="256">
        <f>IF(HYPOTHETICAL_SCENARIO="Yes",IF((V$10-SUM(V$13:V20))=V$10,IF(G21&lt;=0,0,ROUND(G$47*LOT_DELIVERY_SCENARIO,0)),MIN(V$10-SUM(V$13:V20),ROUND(G$47*LOT_DELIVERY_SCENARIO,0))),G21)</f>
        <v>96</v>
      </c>
      <c r="W21" s="256">
        <f>IF(HYPOTHETICAL_SCENARIO="Yes",IF((W$10-SUM(W$13:W20))=W$10,IF(H21&lt;=0,0,ROUND(H$47*LOT_DELIVERY_SCENARIO,0)),MIN(W$10-SUM(W$13:W20),ROUND(H$47*LOT_DELIVERY_SCENARIO,0))),H21)</f>
        <v>0</v>
      </c>
      <c r="X21" s="256">
        <f>IF(HYPOTHETICAL_SCENARIO="Yes",IF((X$10-SUM(X$13:X20))=X$10,IF(I21&lt;=0,0,ROUND(I$47*LOT_DELIVERY_SCENARIO,0)),MIN(X$10-SUM(X$13:X20),ROUND(I$47*LOT_DELIVERY_SCENARIO,0))),I21)</f>
        <v>0</v>
      </c>
      <c r="Y21" s="256">
        <f>IF(HYPOTHETICAL_SCENARIO="Yes",IF((Y$10-SUM(Y$13:Y20))=Y$10,IF(J21&lt;=0,0,ROUND(J$47*LOT_DELIVERY_SCENARIO,0)),MIN(Y$10-SUM(Y$13:Y20),ROUND(J$47*LOT_DELIVERY_SCENARIO,0))),J21)</f>
        <v>0</v>
      </c>
      <c r="Z21" s="256">
        <f>IF(HYPOTHETICAL_SCENARIO="Yes",IF((Z$10-SUM(Z$13:Z20))=Z$10,IF(K21&lt;=0,0,ROUND(K$47*LOT_DELIVERY_SCENARIO,0)),MIN(Z$10-SUM(Z$13:Z20),ROUND(K$47*LOT_DELIVERY_SCENARIO,0))),K21)</f>
        <v>0</v>
      </c>
      <c r="AA21" s="256">
        <f>IF(HYPOTHETICAL_SCENARIO="Yes",IF((AA$10-SUM(AA$13:AA20))=AA$10,IF(L21&lt;=0,0,ROUND(L$47*LOT_DELIVERY_SCENARIO,0)),MIN(AA$10-SUM(AA$13:AA20),ROUND(L$47*LOT_DELIVERY_SCENARIO,0))),L21)</f>
        <v>0</v>
      </c>
      <c r="AB21" s="256">
        <f>IF(HYPOTHETICAL_SCENARIO="Yes",IF((AB$10-SUM(AB$13:AB20))=AB$10,IF(M21&lt;=0,0,ROUND(M$47*LOT_DELIVERY_SCENARIO,0)),MIN(AB$10-SUM(AB$13:AB20),ROUND(M$47*LOT_DELIVERY_SCENARIO,0))),M21)</f>
        <v>0</v>
      </c>
      <c r="AC21" s="256">
        <f>IF(HYPOTHETICAL_SCENARIO="Yes",IF((AC$10-SUM(AC$13:AC20))=AC$10,IF(N21&lt;=0,0,ROUND(N$47*LOT_DELIVERY_SCENARIO,0)),MIN(AC$10-SUM(AC$13:AC20),ROUND(N$47*LOT_DELIVERY_SCENARIO,0))),N21)</f>
        <v>0</v>
      </c>
      <c r="AD21" s="256">
        <f>IF(HYPOTHETICAL_SCENARIO="Yes",IF((AD$10-SUM(AD$13:AD20))=AD$10,IF(O21&lt;=0,0,ROUND(O$47*LOT_DELIVERY_SCENARIO,0)),MIN(AD$10-SUM(AD$13:AD20),ROUND(O$47*LOT_DELIVERY_SCENARIO,0))),O21)</f>
        <v>0</v>
      </c>
      <c r="AE21" s="256">
        <f>IF(HYPOTHETICAL_SCENARIO="Yes",IF((AE$10-SUM(AE$13:AE20))=AE$10,IF(P21&lt;=0,0,ROUND(P$47*LOT_DELIVERY_SCENARIO,0)),MIN(AE$10-SUM(AE$13:AE20),ROUND(P$47*LOT_DELIVERY_SCENARIO,0))),P21)</f>
        <v>0</v>
      </c>
      <c r="AF21" s="256">
        <f t="shared" si="97"/>
        <v>96</v>
      </c>
      <c r="AH21" s="75">
        <f t="shared" si="163"/>
        <v>46447</v>
      </c>
      <c r="AI21" s="221"/>
      <c r="AJ21" s="221">
        <f>(SUM(F$17:F21)-SUM(CF$17:CF21))*AJ$11</f>
        <v>0</v>
      </c>
      <c r="AK21" s="221">
        <f>(SUM(G$17:G21)-SUM(CG$17:CG21))*AK$11</f>
        <v>3791136</v>
      </c>
      <c r="AL21" s="221">
        <f>(SUM(H$17:H21)-SUM(CH$17:CH21))*AL$11</f>
        <v>0</v>
      </c>
      <c r="AM21" s="221">
        <f>(SUM(I$17:I21)-SUM(CI$17:CI21))*AM$11</f>
        <v>0</v>
      </c>
      <c r="AN21" s="221">
        <f>(SUM(J$17:J21)-SUM(CJ$17:CJ21))*AN$11</f>
        <v>0</v>
      </c>
      <c r="AO21" s="221">
        <f>(SUM(K$17:K21)-SUM(CK$17:CK21))*AO$11</f>
        <v>0</v>
      </c>
      <c r="AP21" s="221">
        <f>(SUM(L$17:L21)-SUM(CL$17:CL21))*AP$11</f>
        <v>0</v>
      </c>
      <c r="AQ21" s="221">
        <f>(SUM(M$17:M21)-SUM(CM$17:CM21))*AQ$11</f>
        <v>0</v>
      </c>
      <c r="AR21" s="221">
        <f>(SUM(N$17:N21)-SUM(CN$17:CN21))*AR$11</f>
        <v>0</v>
      </c>
      <c r="AS21" s="221">
        <f>(SUM(O$17:O21)-SUM(CO$17:CO21))*AS$11</f>
        <v>0</v>
      </c>
      <c r="AT21" s="221">
        <f>(SUM(P$17:P21)-SUM(CP$17:CP21))*AT$11</f>
        <v>0</v>
      </c>
      <c r="AU21" s="221">
        <f t="shared" si="109"/>
        <v>3791136</v>
      </c>
      <c r="AW21" s="75">
        <f t="shared" si="164"/>
        <v>46447</v>
      </c>
      <c r="AX21" s="221">
        <f t="shared" si="165"/>
        <v>0</v>
      </c>
      <c r="AY21" s="221">
        <f t="shared" ca="1" si="110"/>
        <v>1499042</v>
      </c>
      <c r="AZ21" s="221">
        <f t="shared" ca="1" si="71"/>
        <v>2527424</v>
      </c>
      <c r="BA21" s="221">
        <f t="shared" ca="1" si="72"/>
        <v>0</v>
      </c>
      <c r="BB21" s="221">
        <f t="shared" ca="1" si="73"/>
        <v>1574880</v>
      </c>
      <c r="BC21" s="221">
        <f t="shared" ca="1" si="74"/>
        <v>0</v>
      </c>
      <c r="BD21" s="221">
        <f t="shared" ca="1" si="75"/>
        <v>444850</v>
      </c>
      <c r="BE21" s="221">
        <f t="shared" ca="1" si="76"/>
        <v>496869.10000000003</v>
      </c>
      <c r="BF21" s="221">
        <f t="shared" ca="1" si="77"/>
        <v>0</v>
      </c>
      <c r="BG21" s="221">
        <f t="shared" ca="1" si="78"/>
        <v>0</v>
      </c>
      <c r="BH21" s="221">
        <f t="shared" ca="1" si="111"/>
        <v>0</v>
      </c>
      <c r="BI21" s="221">
        <f t="shared" ca="1" si="112"/>
        <v>0</v>
      </c>
      <c r="BJ21" s="221"/>
      <c r="BK21" s="221">
        <f t="shared" ca="1" si="113"/>
        <v>6543065.0999999996</v>
      </c>
      <c r="BM21" s="75">
        <f t="shared" si="166"/>
        <v>46447</v>
      </c>
      <c r="BN21" s="221">
        <f t="shared" ca="1" si="114"/>
        <v>0</v>
      </c>
      <c r="BO21" s="221">
        <f t="shared" ca="1" si="115"/>
        <v>-2193720</v>
      </c>
      <c r="BP21" s="221">
        <f t="shared" ca="1" si="116"/>
        <v>-1895568</v>
      </c>
      <c r="BQ21" s="221">
        <f t="shared" ca="1" si="117"/>
        <v>-260610</v>
      </c>
      <c r="BR21" s="221">
        <f t="shared" ca="1" si="118"/>
        <v>-1771740</v>
      </c>
      <c r="BS21" s="221">
        <f t="shared" ca="1" si="119"/>
        <v>0</v>
      </c>
      <c r="BT21" s="221">
        <f t="shared" ca="1" si="120"/>
        <v>-1906500</v>
      </c>
      <c r="BU21" s="221">
        <f t="shared" ca="1" si="121"/>
        <v>-1561588.6</v>
      </c>
      <c r="BV21" s="221">
        <f t="shared" ca="1" si="122"/>
        <v>0</v>
      </c>
      <c r="BW21" s="221">
        <f t="shared" ca="1" si="123"/>
        <v>0</v>
      </c>
      <c r="BX21" s="221">
        <f t="shared" ca="1" si="124"/>
        <v>0</v>
      </c>
      <c r="BY21" s="221">
        <f t="shared" ca="1" si="125"/>
        <v>0</v>
      </c>
      <c r="BZ21" s="221">
        <f t="shared" si="126"/>
        <v>0</v>
      </c>
      <c r="CA21" s="221">
        <f t="shared" ca="1" si="127"/>
        <v>-9589726.5999999996</v>
      </c>
      <c r="CB21" s="221">
        <f t="shared" ca="1" si="128"/>
        <v>-3046661.5</v>
      </c>
      <c r="CD21" s="75">
        <f t="shared" si="83"/>
        <v>46447</v>
      </c>
      <c r="CE21" s="340"/>
      <c r="CF21" s="343">
        <v>41</v>
      </c>
      <c r="CG21" s="343">
        <v>64</v>
      </c>
      <c r="CH21" s="343"/>
      <c r="CI21" s="343">
        <v>32</v>
      </c>
      <c r="CJ21" s="343"/>
      <c r="CK21" s="343">
        <v>7</v>
      </c>
      <c r="CL21" s="343">
        <v>7</v>
      </c>
      <c r="CM21" s="343"/>
      <c r="CN21" s="343"/>
      <c r="CO21" s="343"/>
      <c r="CP21" s="343"/>
      <c r="CQ21" s="236">
        <f t="shared" si="129"/>
        <v>151</v>
      </c>
      <c r="CS21" s="75">
        <f t="shared" si="130"/>
        <v>46447</v>
      </c>
      <c r="CT21" s="256">
        <f t="shared" si="131"/>
        <v>0</v>
      </c>
      <c r="CU21" s="256">
        <f>IF(HYPOTHETICAL_SCENARIO="Yes",IF((CU$10-SUM(CU$13:CU20))=CU$10,IF(CF21&lt;=0,0,ROUND(CF$47*ABSORPTION_SCENARIO,0)),MIN(CU$10-SUM(CU$13:CU20),ROUND(CF$47*ABSORPTION_SCENARIO,0))),CF21)</f>
        <v>41</v>
      </c>
      <c r="CV21" s="256">
        <f>IF(HYPOTHETICAL_SCENARIO="Yes",IF((CV$10-SUM(CV$13:CV20))=CV$10,IF(CG21&lt;=0,0,ROUND(CG$47*ABSORPTION_SCENARIO,0)),MIN(CV$10-SUM(CV$13:CV20),ROUND(CG$47*ABSORPTION_SCENARIO,0))),CG21)</f>
        <v>64</v>
      </c>
      <c r="CW21" s="256">
        <f>IF(HYPOTHETICAL_SCENARIO="Yes",IF((CW$10-SUM(CW$13:CW20))=CW$10,IF(CH21&lt;=0,0,ROUND(CH$47*ABSORPTION_SCENARIO,0)),MIN(CW$10-SUM(CW$13:CW20),ROUND(CH$47*ABSORPTION_SCENARIO,0))),CH21)</f>
        <v>0</v>
      </c>
      <c r="CX21" s="256">
        <f>IF(HYPOTHETICAL_SCENARIO="Yes",IF((CX$10-SUM(CX$13:CX20))=CX$10,IF(CI21&lt;=0,0,ROUND(CI$47*ABSORPTION_SCENARIO,0)),MIN(CX$10-SUM(CX$13:CX20),ROUND(CI$47*ABSORPTION_SCENARIO,0))),CI21)</f>
        <v>32</v>
      </c>
      <c r="CY21" s="256">
        <f>IF(HYPOTHETICAL_SCENARIO="Yes",IF((CY$10-SUM(CY$13:CY20))=CY$10,IF(CJ21&lt;=0,0,ROUND(CJ$47*ABSORPTION_SCENARIO,0)),MIN(CY$10-SUM(CY$13:CY20),ROUND(CJ$47*ABSORPTION_SCENARIO,0))),CJ21)</f>
        <v>0</v>
      </c>
      <c r="CZ21" s="256">
        <f>IF(HYPOTHETICAL_SCENARIO="Yes",IF((CZ$10-SUM(CZ$13:CZ20))=CZ$10,IF(CK21&lt;=0,0,ROUND(CK$47*ABSORPTION_SCENARIO,0)),MIN(CZ$10-SUM(CZ$13:CZ20),ROUND(CK$47*ABSORPTION_SCENARIO,0))),CK21)</f>
        <v>7</v>
      </c>
      <c r="DA21" s="256">
        <f>IF(HYPOTHETICAL_SCENARIO="Yes",IF((DA$10-SUM(DA$13:DA20))=DA$10,IF(CL21&lt;=0,0,ROUND(CL$47*ABSORPTION_SCENARIO,0)),MIN(DA$10-SUM(DA$13:DA20),ROUND(CL$47*ABSORPTION_SCENARIO,0))),CL21)</f>
        <v>7</v>
      </c>
      <c r="DB21" s="256">
        <f>IF(HYPOTHETICAL_SCENARIO="Yes",IF((DB$10-SUM(DB$13:DB20))=DB$10,IF(CM21&lt;=0,0,ROUND(CM$47*ABSORPTION_SCENARIO,0)),MIN(DB$10-SUM(DB$13:DB20),ROUND(CM$47*ABSORPTION_SCENARIO,0))),CM21)</f>
        <v>0</v>
      </c>
      <c r="DC21" s="256">
        <f>IF(HYPOTHETICAL_SCENARIO="Yes",IF((DC$10-SUM(DC$13:DC20))=DC$10,IF(CN21&lt;=0,0,ROUND(CN$47*ABSORPTION_SCENARIO,0)),MIN(DC$10-SUM(DC$13:DC20),ROUND(CN$47*ABSORPTION_SCENARIO,0))),CN21)</f>
        <v>0</v>
      </c>
      <c r="DD21" s="256">
        <f>IF(HYPOTHETICAL_SCENARIO="Yes",IF((DD$10-SUM(DD$13:DD20))=DD$10,IF(CO21&lt;=0,0,ROUND(CO$47*ABSORPTION_SCENARIO,0)),MIN(DD$10-SUM(DD$13:DD20),ROUND(CO$47*ABSORPTION_SCENARIO,0))),CO21)</f>
        <v>0</v>
      </c>
      <c r="DE21" s="256">
        <f>IF(HYPOTHETICAL_SCENARIO="Yes",IF((DE$10-SUM(DE$13:DE20))=DE$10,IF(CP21&lt;=0,0,ROUND(CP$47*ABSORPTION_SCENARIO,0)),MIN(DE$10-SUM(DE$13:DE20),ROUND(CP$47*ABSORPTION_SCENARIO,0))),CP21)</f>
        <v>0</v>
      </c>
      <c r="DF21" s="256">
        <f t="shared" si="132"/>
        <v>151</v>
      </c>
      <c r="DH21" s="75">
        <f t="shared" si="133"/>
        <v>46447</v>
      </c>
      <c r="DI21" s="75"/>
      <c r="DJ21" s="218">
        <f t="shared" si="178"/>
        <v>399522.84574000002</v>
      </c>
      <c r="DK21" s="218">
        <f t="shared" si="178"/>
        <v>431528.81956999999</v>
      </c>
      <c r="DL21" s="218">
        <f t="shared" si="178"/>
        <v>474625.97245</v>
      </c>
      <c r="DM21" s="218">
        <f t="shared" si="178"/>
        <v>537785.59305000002</v>
      </c>
      <c r="DN21" s="218">
        <f t="shared" si="178"/>
        <v>616024.84624999994</v>
      </c>
      <c r="DO21" s="218">
        <f t="shared" si="178"/>
        <v>694428.0085</v>
      </c>
      <c r="DP21" s="218">
        <f t="shared" si="178"/>
        <v>775631.830051</v>
      </c>
      <c r="DQ21" s="218">
        <f t="shared" si="178"/>
        <v>831634.08880100003</v>
      </c>
      <c r="DR21" s="218">
        <f t="shared" si="178"/>
        <v>0</v>
      </c>
      <c r="DS21" s="218">
        <f t="shared" si="178"/>
        <v>0</v>
      </c>
      <c r="DT21" s="218">
        <f t="shared" si="178"/>
        <v>0</v>
      </c>
      <c r="DW21" s="75">
        <f t="shared" si="144"/>
        <v>46447</v>
      </c>
      <c r="DX21" s="308"/>
      <c r="DY21" s="338"/>
      <c r="DZ21" s="221">
        <f t="shared" si="145"/>
        <v>16380436.675340001</v>
      </c>
      <c r="EA21" s="221">
        <f t="shared" si="146"/>
        <v>27617844.45248</v>
      </c>
      <c r="EB21" s="221">
        <f t="shared" si="147"/>
        <v>0</v>
      </c>
      <c r="EC21" s="221">
        <f t="shared" si="148"/>
        <v>17209138.977600001</v>
      </c>
      <c r="ED21" s="221">
        <f t="shared" si="149"/>
        <v>0</v>
      </c>
      <c r="EE21" s="221">
        <f t="shared" si="150"/>
        <v>4860996.0594999995</v>
      </c>
      <c r="EF21" s="221">
        <f t="shared" si="151"/>
        <v>5429422.8103569997</v>
      </c>
      <c r="EG21" s="221">
        <f t="shared" si="152"/>
        <v>0</v>
      </c>
      <c r="EH21" s="221">
        <f t="shared" si="153"/>
        <v>0</v>
      </c>
      <c r="EI21" s="221">
        <f t="shared" si="154"/>
        <v>0</v>
      </c>
      <c r="EJ21" s="221">
        <f t="shared" si="155"/>
        <v>0</v>
      </c>
      <c r="EK21" s="221">
        <f t="shared" si="156"/>
        <v>71497838.975277007</v>
      </c>
      <c r="EL21" s="221">
        <f t="shared" si="157"/>
        <v>71497838.975277007</v>
      </c>
      <c r="EN21" s="75">
        <f t="shared" si="180"/>
        <v>46447</v>
      </c>
      <c r="EO21" s="308"/>
      <c r="EP21" s="338"/>
      <c r="EQ21" s="221">
        <f t="shared" ca="1" si="181"/>
        <v>23273175.479999997</v>
      </c>
      <c r="ER21" s="221">
        <f t="shared" ca="1" si="179"/>
        <v>20110080.912</v>
      </c>
      <c r="ES21" s="221">
        <f t="shared" ca="1" si="179"/>
        <v>2764811.4899999998</v>
      </c>
      <c r="ET21" s="221">
        <f t="shared" ca="1" si="179"/>
        <v>18796389.66</v>
      </c>
      <c r="EU21" s="221">
        <f t="shared" ca="1" si="179"/>
        <v>0</v>
      </c>
      <c r="EV21" s="221">
        <f t="shared" ca="1" si="179"/>
        <v>20226058.5</v>
      </c>
      <c r="EW21" s="221">
        <f t="shared" ca="1" si="179"/>
        <v>16566893.4574</v>
      </c>
      <c r="EX21" s="221">
        <f t="shared" ca="1" si="179"/>
        <v>0</v>
      </c>
      <c r="EY21" s="221">
        <f t="shared" ca="1" si="179"/>
        <v>0</v>
      </c>
      <c r="EZ21" s="221">
        <f t="shared" ca="1" si="179"/>
        <v>0</v>
      </c>
      <c r="FA21" s="221">
        <f t="shared" ca="1" si="179"/>
        <v>0</v>
      </c>
      <c r="FB21" s="221">
        <f t="shared" ca="1" si="179"/>
        <v>101737409.49939999</v>
      </c>
      <c r="FC21" s="221">
        <f t="shared" ca="1" si="179"/>
        <v>101737409.49939999</v>
      </c>
    </row>
    <row r="22" spans="4:159" x14ac:dyDescent="0.25">
      <c r="D22" s="75">
        <f t="shared" si="161"/>
        <v>46813</v>
      </c>
      <c r="E22" s="324"/>
      <c r="F22" s="341"/>
      <c r="G22" s="341">
        <v>91</v>
      </c>
      <c r="H22" s="341"/>
      <c r="I22" s="341"/>
      <c r="J22" s="341"/>
      <c r="K22" s="341"/>
      <c r="L22" s="341"/>
      <c r="M22" s="341"/>
      <c r="N22" s="341"/>
      <c r="O22" s="341"/>
      <c r="P22" s="341"/>
      <c r="Q22" s="256">
        <f t="shared" si="162"/>
        <v>91</v>
      </c>
      <c r="S22" s="271">
        <f t="shared" si="96"/>
        <v>46813</v>
      </c>
      <c r="T22" s="256">
        <f t="shared" si="60"/>
        <v>0</v>
      </c>
      <c r="U22" s="256">
        <f>IF(HYPOTHETICAL_SCENARIO="Yes",IF((U$10-SUM(U$13:U21))=U$10,IF(F22&lt;=0,0,ROUND(F$47*LOT_DELIVERY_SCENARIO,0)),MIN(U$10-SUM(U$13:U21),ROUND(F$47*LOT_DELIVERY_SCENARIO,0))),F22)</f>
        <v>0</v>
      </c>
      <c r="V22" s="256">
        <f>IF(HYPOTHETICAL_SCENARIO="Yes",IF((V$10-SUM(V$13:V21))=V$10,IF(G22&lt;=0,0,ROUND(G$47*LOT_DELIVERY_SCENARIO,0)),MIN(V$10-SUM(V$13:V21),ROUND(G$47*LOT_DELIVERY_SCENARIO,0))),G22)</f>
        <v>91</v>
      </c>
      <c r="W22" s="256">
        <f>IF(HYPOTHETICAL_SCENARIO="Yes",IF((W$10-SUM(W$13:W21))=W$10,IF(H22&lt;=0,0,ROUND(H$47*LOT_DELIVERY_SCENARIO,0)),MIN(W$10-SUM(W$13:W21),ROUND(H$47*LOT_DELIVERY_SCENARIO,0))),H22)</f>
        <v>0</v>
      </c>
      <c r="X22" s="256">
        <f>IF(HYPOTHETICAL_SCENARIO="Yes",IF((X$10-SUM(X$13:X21))=X$10,IF(I22&lt;=0,0,ROUND(I$47*LOT_DELIVERY_SCENARIO,0)),MIN(X$10-SUM(X$13:X21),ROUND(I$47*LOT_DELIVERY_SCENARIO,0))),I22)</f>
        <v>0</v>
      </c>
      <c r="Y22" s="256">
        <f>IF(HYPOTHETICAL_SCENARIO="Yes",IF((Y$10-SUM(Y$13:Y21))=Y$10,IF(J22&lt;=0,0,ROUND(J$47*LOT_DELIVERY_SCENARIO,0)),MIN(Y$10-SUM(Y$13:Y21),ROUND(J$47*LOT_DELIVERY_SCENARIO,0))),J22)</f>
        <v>0</v>
      </c>
      <c r="Z22" s="256">
        <f>IF(HYPOTHETICAL_SCENARIO="Yes",IF((Z$10-SUM(Z$13:Z21))=Z$10,IF(K22&lt;=0,0,ROUND(K$47*LOT_DELIVERY_SCENARIO,0)),MIN(Z$10-SUM(Z$13:Z21),ROUND(K$47*LOT_DELIVERY_SCENARIO,0))),K22)</f>
        <v>0</v>
      </c>
      <c r="AA22" s="256">
        <f>IF(HYPOTHETICAL_SCENARIO="Yes",IF((AA$10-SUM(AA$13:AA21))=AA$10,IF(L22&lt;=0,0,ROUND(L$47*LOT_DELIVERY_SCENARIO,0)),MIN(AA$10-SUM(AA$13:AA21),ROUND(L$47*LOT_DELIVERY_SCENARIO,0))),L22)</f>
        <v>0</v>
      </c>
      <c r="AB22" s="256">
        <f>IF(HYPOTHETICAL_SCENARIO="Yes",IF((AB$10-SUM(AB$13:AB21))=AB$10,IF(M22&lt;=0,0,ROUND(M$47*LOT_DELIVERY_SCENARIO,0)),MIN(AB$10-SUM(AB$13:AB21),ROUND(M$47*LOT_DELIVERY_SCENARIO,0))),M22)</f>
        <v>0</v>
      </c>
      <c r="AC22" s="256">
        <f>IF(HYPOTHETICAL_SCENARIO="Yes",IF((AC$10-SUM(AC$13:AC21))=AC$10,IF(N22&lt;=0,0,ROUND(N$47*LOT_DELIVERY_SCENARIO,0)),MIN(AC$10-SUM(AC$13:AC21),ROUND(N$47*LOT_DELIVERY_SCENARIO,0))),N22)</f>
        <v>0</v>
      </c>
      <c r="AD22" s="256">
        <f>IF(HYPOTHETICAL_SCENARIO="Yes",IF((AD$10-SUM(AD$13:AD21))=AD$10,IF(O22&lt;=0,0,ROUND(O$47*LOT_DELIVERY_SCENARIO,0)),MIN(AD$10-SUM(AD$13:AD21),ROUND(O$47*LOT_DELIVERY_SCENARIO,0))),O22)</f>
        <v>0</v>
      </c>
      <c r="AE22" s="256">
        <f>IF(HYPOTHETICAL_SCENARIO="Yes",IF((AE$10-SUM(AE$13:AE21))=AE$10,IF(P22&lt;=0,0,ROUND(P$47*LOT_DELIVERY_SCENARIO,0)),MIN(AE$10-SUM(AE$13:AE21),ROUND(P$47*LOT_DELIVERY_SCENARIO,0))),P22)</f>
        <v>0</v>
      </c>
      <c r="AF22" s="256">
        <f t="shared" si="97"/>
        <v>91</v>
      </c>
      <c r="AH22" s="75">
        <f t="shared" si="163"/>
        <v>46813</v>
      </c>
      <c r="AI22" s="221"/>
      <c r="AJ22" s="221">
        <f>(SUM(F$17:F22)-SUM(CF$17:CF22))*AJ$11</f>
        <v>0</v>
      </c>
      <c r="AK22" s="221">
        <f>(SUM(G$17:G22)-SUM(CG$17:CG22))*AK$11</f>
        <v>3593681</v>
      </c>
      <c r="AL22" s="221">
        <f>(SUM(H$17:H22)-SUM(CH$17:CH22))*AL$11</f>
        <v>0</v>
      </c>
      <c r="AM22" s="221">
        <f>(SUM(I$17:I22)-SUM(CI$17:CI22))*AM$11</f>
        <v>0</v>
      </c>
      <c r="AN22" s="221">
        <f>(SUM(J$17:J22)-SUM(CJ$17:CJ22))*AN$11</f>
        <v>0</v>
      </c>
      <c r="AO22" s="221">
        <f>(SUM(K$17:K22)-SUM(CK$17:CK22))*AO$11</f>
        <v>0</v>
      </c>
      <c r="AP22" s="221">
        <f>(SUM(L$17:L22)-SUM(CL$17:CL22))*AP$11</f>
        <v>0</v>
      </c>
      <c r="AQ22" s="221">
        <f>(SUM(M$17:M22)-SUM(CM$17:CM22))*AQ$11</f>
        <v>0</v>
      </c>
      <c r="AR22" s="221">
        <f>(SUM(N$17:N22)-SUM(CN$17:CN22))*AR$11</f>
        <v>0</v>
      </c>
      <c r="AS22" s="221">
        <f>(SUM(O$17:O22)-SUM(CO$17:CO22))*AS$11</f>
        <v>0</v>
      </c>
      <c r="AT22" s="221">
        <f>(SUM(P$17:P22)-SUM(CP$17:CP22))*AT$11</f>
        <v>0</v>
      </c>
      <c r="AU22" s="221">
        <f t="shared" si="109"/>
        <v>3593681</v>
      </c>
      <c r="AW22" s="75">
        <f t="shared" si="164"/>
        <v>46813</v>
      </c>
      <c r="AX22" s="221">
        <f t="shared" si="165"/>
        <v>0</v>
      </c>
      <c r="AY22" s="221">
        <f t="shared" ca="1" si="110"/>
        <v>0</v>
      </c>
      <c r="AZ22" s="221">
        <f t="shared" ca="1" si="71"/>
        <v>3791136</v>
      </c>
      <c r="BA22" s="221">
        <f t="shared" ca="1" si="72"/>
        <v>0</v>
      </c>
      <c r="BB22" s="221">
        <f t="shared" ca="1" si="73"/>
        <v>0</v>
      </c>
      <c r="BC22" s="221">
        <f t="shared" ca="1" si="74"/>
        <v>0</v>
      </c>
      <c r="BD22" s="221">
        <f t="shared" ca="1" si="75"/>
        <v>0</v>
      </c>
      <c r="BE22" s="221">
        <f t="shared" ca="1" si="76"/>
        <v>0</v>
      </c>
      <c r="BF22" s="221">
        <f t="shared" ca="1" si="77"/>
        <v>0</v>
      </c>
      <c r="BG22" s="221">
        <f t="shared" ca="1" si="78"/>
        <v>0</v>
      </c>
      <c r="BH22" s="221">
        <f t="shared" ca="1" si="111"/>
        <v>0</v>
      </c>
      <c r="BI22" s="221">
        <f t="shared" ca="1" si="112"/>
        <v>0</v>
      </c>
      <c r="BJ22" s="221"/>
      <c r="BK22" s="221">
        <f t="shared" ca="1" si="113"/>
        <v>3791136</v>
      </c>
      <c r="BM22" s="75">
        <f t="shared" si="166"/>
        <v>46813</v>
      </c>
      <c r="BN22" s="221">
        <f t="shared" ca="1" si="114"/>
        <v>0</v>
      </c>
      <c r="BO22" s="221">
        <f t="shared" ca="1" si="115"/>
        <v>-1499042</v>
      </c>
      <c r="BP22" s="221">
        <f t="shared" ca="1" si="116"/>
        <v>-2527424</v>
      </c>
      <c r="BQ22" s="221">
        <f t="shared" ca="1" si="117"/>
        <v>0</v>
      </c>
      <c r="BR22" s="221">
        <f t="shared" ca="1" si="118"/>
        <v>-1574880</v>
      </c>
      <c r="BS22" s="221">
        <f t="shared" ca="1" si="119"/>
        <v>0</v>
      </c>
      <c r="BT22" s="221">
        <f t="shared" ca="1" si="120"/>
        <v>-444850</v>
      </c>
      <c r="BU22" s="221">
        <f t="shared" ca="1" si="121"/>
        <v>-496869.10000000003</v>
      </c>
      <c r="BV22" s="221">
        <f ca="1">-OFFSET(BF22,-1,0)</f>
        <v>0</v>
      </c>
      <c r="BW22" s="221">
        <f t="shared" ca="1" si="123"/>
        <v>0</v>
      </c>
      <c r="BX22" s="221">
        <f t="shared" ca="1" si="124"/>
        <v>0</v>
      </c>
      <c r="BY22" s="221">
        <f t="shared" ca="1" si="125"/>
        <v>0</v>
      </c>
      <c r="BZ22" s="221">
        <f t="shared" si="126"/>
        <v>0</v>
      </c>
      <c r="CA22" s="221">
        <f t="shared" ca="1" si="127"/>
        <v>-6543065.0999999996</v>
      </c>
      <c r="CB22" s="221">
        <f t="shared" ca="1" si="128"/>
        <v>-2751929.0999999996</v>
      </c>
      <c r="CD22" s="75">
        <f t="shared" si="83"/>
        <v>46813</v>
      </c>
      <c r="CE22" s="340"/>
      <c r="CF22" s="343"/>
      <c r="CG22" s="343">
        <v>96</v>
      </c>
      <c r="CH22" s="343"/>
      <c r="CI22" s="343"/>
      <c r="CJ22" s="343"/>
      <c r="CK22" s="343"/>
      <c r="CL22" s="343"/>
      <c r="CM22" s="343"/>
      <c r="CN22" s="343"/>
      <c r="CO22" s="343"/>
      <c r="CP22" s="343"/>
      <c r="CQ22" s="236">
        <f t="shared" si="129"/>
        <v>96</v>
      </c>
      <c r="CS22" s="75">
        <f t="shared" si="130"/>
        <v>46813</v>
      </c>
      <c r="CT22" s="256">
        <f t="shared" si="131"/>
        <v>0</v>
      </c>
      <c r="CU22" s="256">
        <f>IF(HYPOTHETICAL_SCENARIO="Yes",IF((CU$10-SUM(CU$13:CU21))=CU$10,IF(CF22&lt;=0,0,ROUND(CF$47*ABSORPTION_SCENARIO,0)),MIN(CU$10-SUM(CU$13:CU21),ROUND(CF$47*ABSORPTION_SCENARIO,0))),CF22)</f>
        <v>0</v>
      </c>
      <c r="CV22" s="256">
        <f>IF(HYPOTHETICAL_SCENARIO="Yes",IF((CV$10-SUM(CV$13:CV21))=CV$10,IF(CG22&lt;=0,0,ROUND(CG$47*ABSORPTION_SCENARIO,0)),MIN(CV$10-SUM(CV$13:CV21),ROUND(CG$47*ABSORPTION_SCENARIO,0))),CG22)</f>
        <v>96</v>
      </c>
      <c r="CW22" s="256">
        <f>IF(HYPOTHETICAL_SCENARIO="Yes",IF((CW$10-SUM(CW$13:CW21))=CW$10,IF(CH22&lt;=0,0,ROUND(CH$47*ABSORPTION_SCENARIO,0)),MIN(CW$10-SUM(CW$13:CW21),ROUND(CH$47*ABSORPTION_SCENARIO,0))),CH22)</f>
        <v>0</v>
      </c>
      <c r="CX22" s="256">
        <f>IF(HYPOTHETICAL_SCENARIO="Yes",IF((CX$10-SUM(CX$13:CX21))=CX$10,IF(CI22&lt;=0,0,ROUND(CI$47*ABSORPTION_SCENARIO,0)),MIN(CX$10-SUM(CX$13:CX21),ROUND(CI$47*ABSORPTION_SCENARIO,0))),CI22)</f>
        <v>0</v>
      </c>
      <c r="CY22" s="256">
        <f>IF(HYPOTHETICAL_SCENARIO="Yes",IF((CY$10-SUM(CY$13:CY21))=CY$10,IF(CJ22&lt;=0,0,ROUND(CJ$47*ABSORPTION_SCENARIO,0)),MIN(CY$10-SUM(CY$13:CY21),ROUND(CJ$47*ABSORPTION_SCENARIO,0))),CJ22)</f>
        <v>0</v>
      </c>
      <c r="CZ22" s="256">
        <f>IF(HYPOTHETICAL_SCENARIO="Yes",IF((CZ$10-SUM(CZ$13:CZ21))=CZ$10,IF(CK22&lt;=0,0,ROUND(CK$47*ABSORPTION_SCENARIO,0)),MIN(CZ$10-SUM(CZ$13:CZ21),ROUND(CK$47*ABSORPTION_SCENARIO,0))),CK22)</f>
        <v>0</v>
      </c>
      <c r="DA22" s="256">
        <f>IF(HYPOTHETICAL_SCENARIO="Yes",IF((DA$10-SUM(DA$13:DA21))=DA$10,IF(CL22&lt;=0,0,ROUND(CL$47*ABSORPTION_SCENARIO,0)),MIN(DA$10-SUM(DA$13:DA21),ROUND(CL$47*ABSORPTION_SCENARIO,0))),CL22)</f>
        <v>0</v>
      </c>
      <c r="DB22" s="256">
        <f>IF(HYPOTHETICAL_SCENARIO="Yes",IF((DB$10-SUM(DB$13:DB21))=DB$10,IF(CM22&lt;=0,0,ROUND(CM$47*ABSORPTION_SCENARIO,0)),MIN(DB$10-SUM(DB$13:DB21),ROUND(CM$47*ABSORPTION_SCENARIO,0))),CM22)</f>
        <v>0</v>
      </c>
      <c r="DC22" s="256">
        <f>IF(HYPOTHETICAL_SCENARIO="Yes",IF((DC$10-SUM(DC$13:DC21))=DC$10,IF(CN22&lt;=0,0,ROUND(CN$47*ABSORPTION_SCENARIO,0)),MIN(DC$10-SUM(DC$13:DC21),ROUND(CN$47*ABSORPTION_SCENARIO,0))),CN22)</f>
        <v>0</v>
      </c>
      <c r="DD22" s="256">
        <f>IF(HYPOTHETICAL_SCENARIO="Yes",IF((DD$10-SUM(DD$13:DD21))=DD$10,IF(CO22&lt;=0,0,ROUND(CO$47*ABSORPTION_SCENARIO,0)),MIN(DD$10-SUM(DD$13:DD21),ROUND(CO$47*ABSORPTION_SCENARIO,0))),CO22)</f>
        <v>0</v>
      </c>
      <c r="DE22" s="256">
        <f>IF(HYPOTHETICAL_SCENARIO="Yes",IF((DE$10-SUM(DE$13:DE21))=DE$10,IF(CP22&lt;=0,0,ROUND(CP$47*ABSORPTION_SCENARIO,0)),MIN(DE$10-SUM(DE$13:DE21),ROUND(CP$47*ABSORPTION_SCENARIO,0))),CP22)</f>
        <v>0</v>
      </c>
      <c r="DF22" s="256">
        <f t="shared" si="132"/>
        <v>96</v>
      </c>
      <c r="DH22" s="75">
        <f t="shared" si="133"/>
        <v>46813</v>
      </c>
      <c r="DI22" s="75"/>
      <c r="DJ22" s="218">
        <f t="shared" si="178"/>
        <v>411508.53111219994</v>
      </c>
      <c r="DK22" s="218">
        <f t="shared" si="178"/>
        <v>444474.68415709998</v>
      </c>
      <c r="DL22" s="218">
        <f t="shared" si="178"/>
        <v>488864.75162349996</v>
      </c>
      <c r="DM22" s="218">
        <f t="shared" si="178"/>
        <v>553919.16084149992</v>
      </c>
      <c r="DN22" s="218">
        <f t="shared" si="178"/>
        <v>634505.59163749998</v>
      </c>
      <c r="DO22" s="218">
        <f t="shared" si="178"/>
        <v>715260.84875499993</v>
      </c>
      <c r="DP22" s="218">
        <f t="shared" si="178"/>
        <v>798900.78495252994</v>
      </c>
      <c r="DQ22" s="218">
        <f t="shared" si="178"/>
        <v>856583.11146502988</v>
      </c>
      <c r="DR22" s="218">
        <f t="shared" si="178"/>
        <v>0</v>
      </c>
      <c r="DS22" s="218">
        <f t="shared" si="178"/>
        <v>0</v>
      </c>
      <c r="DT22" s="218">
        <f t="shared" si="178"/>
        <v>0</v>
      </c>
      <c r="DW22" s="75">
        <f t="shared" si="144"/>
        <v>46813</v>
      </c>
      <c r="DX22" s="308"/>
      <c r="DY22" s="338"/>
      <c r="DZ22" s="221">
        <f t="shared" si="145"/>
        <v>0</v>
      </c>
      <c r="EA22" s="221">
        <f>CV22*DK22</f>
        <v>42669569.679081596</v>
      </c>
      <c r="EB22" s="221">
        <f t="shared" si="147"/>
        <v>0</v>
      </c>
      <c r="EC22" s="221">
        <f t="shared" si="148"/>
        <v>0</v>
      </c>
      <c r="ED22" s="221">
        <f t="shared" si="149"/>
        <v>0</v>
      </c>
      <c r="EE22" s="221">
        <f t="shared" si="150"/>
        <v>0</v>
      </c>
      <c r="EF22" s="221">
        <f t="shared" si="151"/>
        <v>0</v>
      </c>
      <c r="EG22" s="221">
        <f t="shared" si="152"/>
        <v>0</v>
      </c>
      <c r="EH22" s="221">
        <f t="shared" si="153"/>
        <v>0</v>
      </c>
      <c r="EI22" s="221">
        <f t="shared" si="154"/>
        <v>0</v>
      </c>
      <c r="EJ22" s="221">
        <f t="shared" si="155"/>
        <v>0</v>
      </c>
      <c r="EK22" s="221">
        <f t="shared" si="156"/>
        <v>42669569.679081596</v>
      </c>
      <c r="EL22" s="221">
        <f t="shared" si="157"/>
        <v>42669569.679081596</v>
      </c>
      <c r="EN22" s="75">
        <f t="shared" si="180"/>
        <v>46813</v>
      </c>
      <c r="EO22" s="308"/>
      <c r="EP22" s="338"/>
      <c r="EQ22" s="221">
        <f t="shared" ca="1" si="181"/>
        <v>16380436.675340001</v>
      </c>
      <c r="ER22" s="221">
        <f t="shared" ca="1" si="179"/>
        <v>27617844.45248</v>
      </c>
      <c r="ES22" s="221">
        <f t="shared" ca="1" si="179"/>
        <v>0</v>
      </c>
      <c r="ET22" s="221">
        <f t="shared" ca="1" si="179"/>
        <v>17209138.977600001</v>
      </c>
      <c r="EU22" s="221">
        <f t="shared" ca="1" si="179"/>
        <v>0</v>
      </c>
      <c r="EV22" s="221">
        <f t="shared" ca="1" si="179"/>
        <v>4860996.0594999995</v>
      </c>
      <c r="EW22" s="221">
        <f t="shared" ca="1" si="179"/>
        <v>5429422.8103569997</v>
      </c>
      <c r="EX22" s="221">
        <f t="shared" ca="1" si="179"/>
        <v>0</v>
      </c>
      <c r="EY22" s="221">
        <f t="shared" ca="1" si="179"/>
        <v>0</v>
      </c>
      <c r="EZ22" s="221">
        <f t="shared" ca="1" si="179"/>
        <v>0</v>
      </c>
      <c r="FA22" s="221">
        <f t="shared" ca="1" si="179"/>
        <v>0</v>
      </c>
      <c r="FB22" s="221">
        <f t="shared" ca="1" si="179"/>
        <v>71497838.975277007</v>
      </c>
      <c r="FC22" s="221">
        <f t="shared" ca="1" si="179"/>
        <v>71497838.975277007</v>
      </c>
    </row>
    <row r="23" spans="4:159" x14ac:dyDescent="0.25">
      <c r="D23" s="75">
        <f t="shared" si="161"/>
        <v>47178</v>
      </c>
      <c r="E23" s="324"/>
      <c r="F23" s="341"/>
      <c r="G23" s="341"/>
      <c r="H23" s="341"/>
      <c r="I23" s="341"/>
      <c r="J23" s="341"/>
      <c r="K23" s="341"/>
      <c r="L23" s="341"/>
      <c r="M23" s="341"/>
      <c r="N23" s="341"/>
      <c r="O23" s="341"/>
      <c r="P23" s="341"/>
      <c r="Q23" s="256">
        <f t="shared" si="162"/>
        <v>0</v>
      </c>
      <c r="S23" s="271">
        <f t="shared" si="96"/>
        <v>47178</v>
      </c>
      <c r="T23" s="256">
        <f t="shared" si="60"/>
        <v>0</v>
      </c>
      <c r="U23" s="256">
        <f>IF(HYPOTHETICAL_SCENARIO="Yes",IF((U$10-SUM(U$13:U22))=U$10,IF(F23&lt;=0,0,ROUND(F$47*LOT_DELIVERY_SCENARIO,0)),MIN(U$10-SUM(U$13:U22),ROUND(F$47*LOT_DELIVERY_SCENARIO,0))),F23)</f>
        <v>0</v>
      </c>
      <c r="V23" s="256">
        <f>IF(HYPOTHETICAL_SCENARIO="Yes",IF((V$10-SUM(V$13:V22))=V$10,IF(G23&lt;=0,0,ROUND(G$47*LOT_DELIVERY_SCENARIO,0)),MIN(V$10-SUM(V$13:V22),ROUND(G$47*LOT_DELIVERY_SCENARIO,0))),G23)</f>
        <v>0</v>
      </c>
      <c r="W23" s="256">
        <f>IF(HYPOTHETICAL_SCENARIO="Yes",IF((W$10-SUM(W$13:W22))=W$10,IF(H23&lt;=0,0,ROUND(H$47*LOT_DELIVERY_SCENARIO,0)),MIN(W$10-SUM(W$13:W22),ROUND(H$47*LOT_DELIVERY_SCENARIO,0))),H23)</f>
        <v>0</v>
      </c>
      <c r="X23" s="256">
        <f>IF(HYPOTHETICAL_SCENARIO="Yes",IF((X$10-SUM(X$13:X22))=X$10,IF(I23&lt;=0,0,ROUND(I$47*LOT_DELIVERY_SCENARIO,0)),MIN(X$10-SUM(X$13:X22),ROUND(I$47*LOT_DELIVERY_SCENARIO,0))),I23)</f>
        <v>0</v>
      </c>
      <c r="Y23" s="256">
        <f>IF(HYPOTHETICAL_SCENARIO="Yes",IF((Y$10-SUM(Y$13:Y22))=Y$10,IF(J23&lt;=0,0,ROUND(J$47*LOT_DELIVERY_SCENARIO,0)),MIN(Y$10-SUM(Y$13:Y22),ROUND(J$47*LOT_DELIVERY_SCENARIO,0))),J23)</f>
        <v>0</v>
      </c>
      <c r="Z23" s="256">
        <f>IF(HYPOTHETICAL_SCENARIO="Yes",IF((Z$10-SUM(Z$13:Z22))=Z$10,IF(K23&lt;=0,0,ROUND(K$47*LOT_DELIVERY_SCENARIO,0)),MIN(Z$10-SUM(Z$13:Z22),ROUND(K$47*LOT_DELIVERY_SCENARIO,0))),K23)</f>
        <v>0</v>
      </c>
      <c r="AA23" s="256">
        <f>IF(HYPOTHETICAL_SCENARIO="Yes",IF((AA$10-SUM(AA$13:AA22))=AA$10,IF(L23&lt;=0,0,ROUND(L$47*LOT_DELIVERY_SCENARIO,0)),MIN(AA$10-SUM(AA$13:AA22),ROUND(L$47*LOT_DELIVERY_SCENARIO,0))),L23)</f>
        <v>0</v>
      </c>
      <c r="AB23" s="256">
        <f>IF(HYPOTHETICAL_SCENARIO="Yes",IF((AB$10-SUM(AB$13:AB22))=AB$10,IF(M23&lt;=0,0,ROUND(M$47*LOT_DELIVERY_SCENARIO,0)),MIN(AB$10-SUM(AB$13:AB22),ROUND(M$47*LOT_DELIVERY_SCENARIO,0))),M23)</f>
        <v>0</v>
      </c>
      <c r="AC23" s="256">
        <f>IF(HYPOTHETICAL_SCENARIO="Yes",IF((AC$10-SUM(AC$13:AC22))=AC$10,IF(N23&lt;=0,0,ROUND(N$47*LOT_DELIVERY_SCENARIO,0)),MIN(AC$10-SUM(AC$13:AC22),ROUND(N$47*LOT_DELIVERY_SCENARIO,0))),N23)</f>
        <v>0</v>
      </c>
      <c r="AD23" s="256">
        <f>IF(HYPOTHETICAL_SCENARIO="Yes",IF((AD$10-SUM(AD$13:AD22))=AD$10,IF(O23&lt;=0,0,ROUND(O$47*LOT_DELIVERY_SCENARIO,0)),MIN(AD$10-SUM(AD$13:AD22),ROUND(O$47*LOT_DELIVERY_SCENARIO,0))),O23)</f>
        <v>0</v>
      </c>
      <c r="AE23" s="256">
        <f>IF(HYPOTHETICAL_SCENARIO="Yes",IF((AE$10-SUM(AE$13:AE22))=AE$10,IF(P23&lt;=0,0,ROUND(P$47*LOT_DELIVERY_SCENARIO,0)),MIN(AE$10-SUM(AE$13:AE22),ROUND(P$47*LOT_DELIVERY_SCENARIO,0))),P23)</f>
        <v>0</v>
      </c>
      <c r="AF23" s="256">
        <f t="shared" si="97"/>
        <v>0</v>
      </c>
      <c r="AH23" s="75">
        <f t="shared" si="163"/>
        <v>47178</v>
      </c>
      <c r="AI23" s="221"/>
      <c r="AJ23" s="221">
        <f>(SUM(F$17:F23)-SUM(CF$17:CF23))*AJ$11</f>
        <v>0</v>
      </c>
      <c r="AK23" s="221">
        <f>(SUM(G$17:G23)-SUM(CG$17:CG23))*AK$11</f>
        <v>0</v>
      </c>
      <c r="AL23" s="221">
        <f>(SUM(H$17:H23)-SUM(CH$17:CH23))*AL$11</f>
        <v>0</v>
      </c>
      <c r="AM23" s="221">
        <f>(SUM(I$17:I23)-SUM(CI$17:CI23))*AM$11</f>
        <v>0</v>
      </c>
      <c r="AN23" s="221">
        <f>(SUM(J$17:J23)-SUM(CJ$17:CJ23))*AN$11</f>
        <v>0</v>
      </c>
      <c r="AO23" s="221">
        <f>(SUM(K$17:K23)-SUM(CK$17:CK23))*AO$11</f>
        <v>0</v>
      </c>
      <c r="AP23" s="221">
        <f>(SUM(L$17:L23)-SUM(CL$17:CL23))*AP$11</f>
        <v>0</v>
      </c>
      <c r="AQ23" s="221">
        <f>(SUM(M$17:M23)-SUM(CM$17:CM23))*AQ$11</f>
        <v>0</v>
      </c>
      <c r="AR23" s="221">
        <f>(SUM(N$17:N23)-SUM(CN$17:CN23))*AR$11</f>
        <v>0</v>
      </c>
      <c r="AS23" s="221">
        <f>(SUM(O$17:O23)-SUM(CO$17:CO23))*AS$11</f>
        <v>0</v>
      </c>
      <c r="AT23" s="221">
        <f>(SUM(P$17:P23)-SUM(CP$17:CP23))*AT$11</f>
        <v>0</v>
      </c>
      <c r="AU23" s="221">
        <f t="shared" si="109"/>
        <v>0</v>
      </c>
      <c r="AW23" s="75">
        <f t="shared" si="164"/>
        <v>47178</v>
      </c>
      <c r="AX23" s="221">
        <f t="shared" si="165"/>
        <v>0</v>
      </c>
      <c r="AY23" s="221">
        <f ca="1">OFFSET(AJ23,-1,0)</f>
        <v>0</v>
      </c>
      <c r="AZ23" s="221">
        <f t="shared" ca="1" si="71"/>
        <v>3593681</v>
      </c>
      <c r="BA23" s="221">
        <f t="shared" ca="1" si="72"/>
        <v>0</v>
      </c>
      <c r="BB23" s="221">
        <f t="shared" ca="1" si="73"/>
        <v>0</v>
      </c>
      <c r="BC23" s="221">
        <f t="shared" ca="1" si="74"/>
        <v>0</v>
      </c>
      <c r="BD23" s="221">
        <f t="shared" ca="1" si="75"/>
        <v>0</v>
      </c>
      <c r="BE23" s="221">
        <f t="shared" ca="1" si="76"/>
        <v>0</v>
      </c>
      <c r="BF23" s="221">
        <f t="shared" ca="1" si="77"/>
        <v>0</v>
      </c>
      <c r="BG23" s="221">
        <f t="shared" ca="1" si="78"/>
        <v>0</v>
      </c>
      <c r="BH23" s="221">
        <f t="shared" ca="1" si="111"/>
        <v>0</v>
      </c>
      <c r="BI23" s="221">
        <f t="shared" ca="1" si="112"/>
        <v>0</v>
      </c>
      <c r="BJ23" s="221"/>
      <c r="BK23" s="221">
        <f t="shared" ca="1" si="113"/>
        <v>3593681</v>
      </c>
      <c r="BM23" s="75">
        <f t="shared" si="166"/>
        <v>47178</v>
      </c>
      <c r="BN23" s="221">
        <f t="shared" ca="1" si="114"/>
        <v>0</v>
      </c>
      <c r="BO23" s="221">
        <f t="shared" ca="1" si="115"/>
        <v>0</v>
      </c>
      <c r="BP23" s="221">
        <f t="shared" ca="1" si="116"/>
        <v>-3791136</v>
      </c>
      <c r="BQ23" s="221">
        <f t="shared" ca="1" si="117"/>
        <v>0</v>
      </c>
      <c r="BR23" s="221">
        <f t="shared" ca="1" si="118"/>
        <v>0</v>
      </c>
      <c r="BS23" s="221">
        <f t="shared" ca="1" si="119"/>
        <v>0</v>
      </c>
      <c r="BT23" s="221">
        <f t="shared" ca="1" si="120"/>
        <v>0</v>
      </c>
      <c r="BU23" s="221">
        <f t="shared" ca="1" si="121"/>
        <v>0</v>
      </c>
      <c r="BV23" s="221">
        <f t="shared" ca="1" si="122"/>
        <v>0</v>
      </c>
      <c r="BW23" s="221">
        <f t="shared" ca="1" si="123"/>
        <v>0</v>
      </c>
      <c r="BX23" s="221">
        <f t="shared" ca="1" si="124"/>
        <v>0</v>
      </c>
      <c r="BY23" s="221">
        <f t="shared" ca="1" si="125"/>
        <v>0</v>
      </c>
      <c r="BZ23" s="221">
        <f t="shared" si="126"/>
        <v>0</v>
      </c>
      <c r="CA23" s="221">
        <f t="shared" ca="1" si="127"/>
        <v>-3791136</v>
      </c>
      <c r="CB23" s="221">
        <f t="shared" ca="1" si="128"/>
        <v>-197455</v>
      </c>
      <c r="CD23" s="75">
        <f t="shared" si="83"/>
        <v>47178</v>
      </c>
      <c r="CE23" s="340"/>
      <c r="CF23" s="343"/>
      <c r="CG23" s="343">
        <v>91</v>
      </c>
      <c r="CH23" s="343"/>
      <c r="CI23" s="343"/>
      <c r="CJ23" s="343"/>
      <c r="CK23" s="343"/>
      <c r="CL23" s="343"/>
      <c r="CM23" s="343"/>
      <c r="CN23" s="343"/>
      <c r="CO23" s="343"/>
      <c r="CP23" s="343"/>
      <c r="CQ23" s="236">
        <f t="shared" si="129"/>
        <v>91</v>
      </c>
      <c r="CS23" s="75">
        <f t="shared" si="130"/>
        <v>47178</v>
      </c>
      <c r="CT23" s="256">
        <f t="shared" si="131"/>
        <v>0</v>
      </c>
      <c r="CU23" s="256">
        <f>IF(HYPOTHETICAL_SCENARIO="Yes",IF((CU$10-SUM(CU$13:CU22))=CU$10,IF(CF23&lt;=0,0,ROUND(CF$47*ABSORPTION_SCENARIO,0)),MIN(CU$10-SUM(CU$13:CU22),ROUND(CF$47*ABSORPTION_SCENARIO,0))),CF23)</f>
        <v>0</v>
      </c>
      <c r="CV23" s="256">
        <f>IF(HYPOTHETICAL_SCENARIO="Yes",IF((CV$10-SUM(CV$13:CV22))=CV$10,IF(CG23&lt;=0,0,ROUND(CG$47*ABSORPTION_SCENARIO,0)),MIN(CV$10-SUM(CV$13:CV22),ROUND(CG$47*ABSORPTION_SCENARIO,0))),CG23)</f>
        <v>91</v>
      </c>
      <c r="CW23" s="256">
        <f>IF(HYPOTHETICAL_SCENARIO="Yes",IF((CW$10-SUM(CW$13:CW22))=CW$10,IF(CH23&lt;=0,0,ROUND(CH$47*ABSORPTION_SCENARIO,0)),MIN(CW$10-SUM(CW$13:CW22),ROUND(CH$47*ABSORPTION_SCENARIO,0))),CH23)</f>
        <v>0</v>
      </c>
      <c r="CX23" s="256">
        <f>IF(HYPOTHETICAL_SCENARIO="Yes",IF((CX$10-SUM(CX$13:CX22))=CX$10,IF(CI23&lt;=0,0,ROUND(CI$47*ABSORPTION_SCENARIO,0)),MIN(CX$10-SUM(CX$13:CX22),ROUND(CI$47*ABSORPTION_SCENARIO,0))),CI23)</f>
        <v>0</v>
      </c>
      <c r="CY23" s="256">
        <f>IF(HYPOTHETICAL_SCENARIO="Yes",IF((CY$10-SUM(CY$13:CY22))=CY$10,IF(CJ23&lt;=0,0,ROUND(CJ$47*ABSORPTION_SCENARIO,0)),MIN(CY$10-SUM(CY$13:CY22),ROUND(CJ$47*ABSORPTION_SCENARIO,0))),CJ23)</f>
        <v>0</v>
      </c>
      <c r="CZ23" s="256">
        <f>IF(HYPOTHETICAL_SCENARIO="Yes",IF((CZ$10-SUM(CZ$13:CZ22))=CZ$10,IF(CK23&lt;=0,0,ROUND(CK$47*ABSORPTION_SCENARIO,0)),MIN(CZ$10-SUM(CZ$13:CZ22),ROUND(CK$47*ABSORPTION_SCENARIO,0))),CK23)</f>
        <v>0</v>
      </c>
      <c r="DA23" s="256">
        <f>IF(HYPOTHETICAL_SCENARIO="Yes",IF((DA$10-SUM(DA$13:DA22))=DA$10,IF(CL23&lt;=0,0,ROUND(CL$47*ABSORPTION_SCENARIO,0)),MIN(DA$10-SUM(DA$13:DA22),ROUND(CL$47*ABSORPTION_SCENARIO,0))),CL23)</f>
        <v>0</v>
      </c>
      <c r="DB23" s="256">
        <f>IF(HYPOTHETICAL_SCENARIO="Yes",IF((DB$10-SUM(DB$13:DB22))=DB$10,IF(CM23&lt;=0,0,ROUND(CM$47*ABSORPTION_SCENARIO,0)),MIN(DB$10-SUM(DB$13:DB22),ROUND(CM$47*ABSORPTION_SCENARIO,0))),CM23)</f>
        <v>0</v>
      </c>
      <c r="DC23" s="256">
        <f>IF(HYPOTHETICAL_SCENARIO="Yes",IF((DC$10-SUM(DC$13:DC22))=DC$10,IF(CN23&lt;=0,0,ROUND(CN$47*ABSORPTION_SCENARIO,0)),MIN(DC$10-SUM(DC$13:DC22),ROUND(CN$47*ABSORPTION_SCENARIO,0))),CN23)</f>
        <v>0</v>
      </c>
      <c r="DD23" s="256">
        <f>IF(HYPOTHETICAL_SCENARIO="Yes",IF((DD$10-SUM(DD$13:DD22))=DD$10,IF(CO23&lt;=0,0,ROUND(CO$47*ABSORPTION_SCENARIO,0)),MIN(DD$10-SUM(DD$13:DD22),ROUND(CO$47*ABSORPTION_SCENARIO,0))),CO23)</f>
        <v>0</v>
      </c>
      <c r="DE23" s="256">
        <f>IF(HYPOTHETICAL_SCENARIO="Yes",IF((DE$10-SUM(DE$13:DE22))=DE$10,IF(CP23&lt;=0,0,ROUND(CP$47*ABSORPTION_SCENARIO,0)),MIN(DE$10-SUM(DE$13:DE22),ROUND(CP$47*ABSORPTION_SCENARIO,0))),CP23)</f>
        <v>0</v>
      </c>
      <c r="DF23" s="256">
        <f t="shared" si="132"/>
        <v>91</v>
      </c>
      <c r="DH23" s="75">
        <f t="shared" si="133"/>
        <v>47178</v>
      </c>
      <c r="DI23" s="75"/>
      <c r="DJ23" s="218">
        <f t="shared" si="178"/>
        <v>423853.78704556596</v>
      </c>
      <c r="DK23" s="218">
        <f t="shared" si="178"/>
        <v>457808.92468181293</v>
      </c>
      <c r="DL23" s="218">
        <f t="shared" si="178"/>
        <v>503530.69417220494</v>
      </c>
      <c r="DM23" s="218">
        <f t="shared" si="178"/>
        <v>570536.73566674488</v>
      </c>
      <c r="DN23" s="218">
        <f t="shared" si="178"/>
        <v>653540.75938662491</v>
      </c>
      <c r="DO23" s="218">
        <f t="shared" si="178"/>
        <v>736718.67421764985</v>
      </c>
      <c r="DP23" s="218">
        <f t="shared" si="178"/>
        <v>822867.80850110576</v>
      </c>
      <c r="DQ23" s="218">
        <f t="shared" si="178"/>
        <v>882280.60480898083</v>
      </c>
      <c r="DR23" s="218">
        <f t="shared" si="178"/>
        <v>0</v>
      </c>
      <c r="DS23" s="218">
        <f t="shared" si="178"/>
        <v>0</v>
      </c>
      <c r="DT23" s="218">
        <f t="shared" si="178"/>
        <v>0</v>
      </c>
      <c r="DW23" s="75">
        <f t="shared" si="144"/>
        <v>47178</v>
      </c>
      <c r="DX23" s="308"/>
      <c r="DY23" s="338"/>
      <c r="DZ23" s="221">
        <f t="shared" si="145"/>
        <v>0</v>
      </c>
      <c r="EA23" s="221">
        <f t="shared" si="146"/>
        <v>41660612.146044977</v>
      </c>
      <c r="EB23" s="221">
        <f t="shared" si="147"/>
        <v>0</v>
      </c>
      <c r="EC23" s="221">
        <f t="shared" si="148"/>
        <v>0</v>
      </c>
      <c r="ED23" s="221">
        <f t="shared" si="149"/>
        <v>0</v>
      </c>
      <c r="EE23" s="221">
        <f t="shared" si="150"/>
        <v>0</v>
      </c>
      <c r="EF23" s="221">
        <f t="shared" si="151"/>
        <v>0</v>
      </c>
      <c r="EG23" s="221">
        <f t="shared" si="152"/>
        <v>0</v>
      </c>
      <c r="EH23" s="221">
        <f t="shared" si="153"/>
        <v>0</v>
      </c>
      <c r="EI23" s="221">
        <f t="shared" si="154"/>
        <v>0</v>
      </c>
      <c r="EJ23" s="221">
        <f t="shared" si="155"/>
        <v>0</v>
      </c>
      <c r="EK23" s="221">
        <f t="shared" si="156"/>
        <v>41660612.146044977</v>
      </c>
      <c r="EL23" s="221">
        <f t="shared" si="157"/>
        <v>41660612.146044977</v>
      </c>
      <c r="EN23" s="75">
        <f t="shared" si="180"/>
        <v>47178</v>
      </c>
      <c r="EO23" s="308"/>
      <c r="EP23" s="338"/>
      <c r="EQ23" s="221">
        <f t="shared" ca="1" si="181"/>
        <v>0</v>
      </c>
      <c r="ER23" s="221">
        <f t="shared" ca="1" si="179"/>
        <v>42669569.679081596</v>
      </c>
      <c r="ES23" s="221">
        <f t="shared" ca="1" si="179"/>
        <v>0</v>
      </c>
      <c r="ET23" s="221">
        <f t="shared" ca="1" si="179"/>
        <v>0</v>
      </c>
      <c r="EU23" s="221">
        <f t="shared" ca="1" si="179"/>
        <v>0</v>
      </c>
      <c r="EV23" s="221">
        <f t="shared" ca="1" si="179"/>
        <v>0</v>
      </c>
      <c r="EW23" s="221">
        <f t="shared" ca="1" si="179"/>
        <v>0</v>
      </c>
      <c r="EX23" s="221">
        <f t="shared" ca="1" si="179"/>
        <v>0</v>
      </c>
      <c r="EY23" s="221">
        <f t="shared" ca="1" si="179"/>
        <v>0</v>
      </c>
      <c r="EZ23" s="221">
        <f t="shared" ca="1" si="179"/>
        <v>0</v>
      </c>
      <c r="FA23" s="221">
        <f t="shared" ca="1" si="179"/>
        <v>0</v>
      </c>
      <c r="FB23" s="221">
        <f t="shared" ca="1" si="179"/>
        <v>42669569.679081596</v>
      </c>
      <c r="FC23" s="221">
        <f t="shared" ca="1" si="179"/>
        <v>42669569.679081596</v>
      </c>
    </row>
    <row r="24" spans="4:159" x14ac:dyDescent="0.25">
      <c r="D24" s="75">
        <f t="shared" si="161"/>
        <v>47543</v>
      </c>
      <c r="E24" s="324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256">
        <f t="shared" si="162"/>
        <v>0</v>
      </c>
      <c r="S24" s="271">
        <f t="shared" si="96"/>
        <v>47543</v>
      </c>
      <c r="T24" s="256">
        <f t="shared" si="60"/>
        <v>0</v>
      </c>
      <c r="U24" s="256">
        <f>IF(HYPOTHETICAL_SCENARIO="Yes",IF((U$10-SUM(U$13:U23))=U$10,IF(F24&lt;=0,0,ROUND(F$47*LOT_DELIVERY_SCENARIO,0)),MIN(U$10-SUM(U$13:U23),ROUND(F$47*LOT_DELIVERY_SCENARIO,0))),F24)</f>
        <v>0</v>
      </c>
      <c r="V24" s="256">
        <f>IF(HYPOTHETICAL_SCENARIO="Yes",IF((V$10-SUM(V$13:V23))=V$10,IF(G24&lt;=0,0,ROUND(G$47*LOT_DELIVERY_SCENARIO,0)),MIN(V$10-SUM(V$13:V23),ROUND(G$47*LOT_DELIVERY_SCENARIO,0))),G24)</f>
        <v>0</v>
      </c>
      <c r="W24" s="256">
        <f>IF(HYPOTHETICAL_SCENARIO="Yes",IF((W$10-SUM(W$13:W23))=W$10,IF(H24&lt;=0,0,ROUND(H$47*LOT_DELIVERY_SCENARIO,0)),MIN(W$10-SUM(W$13:W23),ROUND(H$47*LOT_DELIVERY_SCENARIO,0))),H24)</f>
        <v>0</v>
      </c>
      <c r="X24" s="256">
        <f>IF(HYPOTHETICAL_SCENARIO="Yes",IF((X$10-SUM(X$13:X23))=X$10,IF(I24&lt;=0,0,ROUND(I$47*LOT_DELIVERY_SCENARIO,0)),MIN(X$10-SUM(X$13:X23),ROUND(I$47*LOT_DELIVERY_SCENARIO,0))),I24)</f>
        <v>0</v>
      </c>
      <c r="Y24" s="256">
        <f>IF(HYPOTHETICAL_SCENARIO="Yes",IF((Y$10-SUM(Y$13:Y23))=Y$10,IF(J24&lt;=0,0,ROUND(J$47*LOT_DELIVERY_SCENARIO,0)),MIN(Y$10-SUM(Y$13:Y23),ROUND(J$47*LOT_DELIVERY_SCENARIO,0))),J24)</f>
        <v>0</v>
      </c>
      <c r="Z24" s="256">
        <f>IF(HYPOTHETICAL_SCENARIO="Yes",IF((Z$10-SUM(Z$13:Z23))=Z$10,IF(K24&lt;=0,0,ROUND(K$47*LOT_DELIVERY_SCENARIO,0)),MIN(Z$10-SUM(Z$13:Z23),ROUND(K$47*LOT_DELIVERY_SCENARIO,0))),K24)</f>
        <v>0</v>
      </c>
      <c r="AA24" s="256">
        <f>IF(HYPOTHETICAL_SCENARIO="Yes",IF((AA$10-SUM(AA$13:AA23))=AA$10,IF(L24&lt;=0,0,ROUND(L$47*LOT_DELIVERY_SCENARIO,0)),MIN(AA$10-SUM(AA$13:AA23),ROUND(L$47*LOT_DELIVERY_SCENARIO,0))),L24)</f>
        <v>0</v>
      </c>
      <c r="AB24" s="256">
        <f>IF(HYPOTHETICAL_SCENARIO="Yes",IF((AB$10-SUM(AB$13:AB23))=AB$10,IF(M24&lt;=0,0,ROUND(M$47*LOT_DELIVERY_SCENARIO,0)),MIN(AB$10-SUM(AB$13:AB23),ROUND(M$47*LOT_DELIVERY_SCENARIO,0))),M24)</f>
        <v>0</v>
      </c>
      <c r="AC24" s="256">
        <f>IF(HYPOTHETICAL_SCENARIO="Yes",IF((AC$10-SUM(AC$13:AC23))=AC$10,IF(N24&lt;=0,0,ROUND(N$47*LOT_DELIVERY_SCENARIO,0)),MIN(AC$10-SUM(AC$13:AC23),ROUND(N$47*LOT_DELIVERY_SCENARIO,0))),N24)</f>
        <v>0</v>
      </c>
      <c r="AD24" s="256">
        <f>IF(HYPOTHETICAL_SCENARIO="Yes",IF((AD$10-SUM(AD$13:AD23))=AD$10,IF(O24&lt;=0,0,ROUND(O$47*LOT_DELIVERY_SCENARIO,0)),MIN(AD$10-SUM(AD$13:AD23),ROUND(O$47*LOT_DELIVERY_SCENARIO,0))),O24)</f>
        <v>0</v>
      </c>
      <c r="AE24" s="256">
        <f>IF(HYPOTHETICAL_SCENARIO="Yes",IF((AE$10-SUM(AE$13:AE23))=AE$10,IF(P24&lt;=0,0,ROUND(P$47*LOT_DELIVERY_SCENARIO,0)),MIN(AE$10-SUM(AE$13:AE23),ROUND(P$47*LOT_DELIVERY_SCENARIO,0))),P24)</f>
        <v>0</v>
      </c>
      <c r="AF24" s="256">
        <f t="shared" si="97"/>
        <v>0</v>
      </c>
      <c r="AH24" s="75">
        <f t="shared" si="163"/>
        <v>47543</v>
      </c>
      <c r="AI24" s="221"/>
      <c r="AJ24" s="221">
        <f>(SUM(F$17:F24)-SUM(CF$17:CF24))*AJ$11</f>
        <v>0</v>
      </c>
      <c r="AK24" s="221">
        <f>(SUM(G$17:G24)-SUM(CG$17:CG24))*AK$11</f>
        <v>0</v>
      </c>
      <c r="AL24" s="221">
        <f>(SUM(H$17:H24)-SUM(CH$17:CH24))*AL$11</f>
        <v>0</v>
      </c>
      <c r="AM24" s="221">
        <f>(SUM(I$17:I24)-SUM(CI$17:CI24))*AM$11</f>
        <v>0</v>
      </c>
      <c r="AN24" s="221">
        <f>(SUM(J$17:J24)-SUM(CJ$17:CJ24))*AN$11</f>
        <v>0</v>
      </c>
      <c r="AO24" s="221">
        <f>(SUM(K$17:K24)-SUM(CK$17:CK24))*AO$11</f>
        <v>0</v>
      </c>
      <c r="AP24" s="221">
        <f>(SUM(L$17:L24)-SUM(CL$17:CL24))*AP$11</f>
        <v>0</v>
      </c>
      <c r="AQ24" s="221">
        <f>(SUM(M$17:M24)-SUM(CM$17:CM24))*AQ$11</f>
        <v>0</v>
      </c>
      <c r="AR24" s="221">
        <f>(SUM(N$17:N24)-SUM(CN$17:CN24))*AR$11</f>
        <v>0</v>
      </c>
      <c r="AS24" s="221">
        <f>(SUM(O$17:O24)-SUM(CO$17:CO24))*AS$11</f>
        <v>0</v>
      </c>
      <c r="AT24" s="221">
        <f>(SUM(P$17:P24)-SUM(CP$17:CP24))*AT$11</f>
        <v>0</v>
      </c>
      <c r="AU24" s="221">
        <f t="shared" si="109"/>
        <v>0</v>
      </c>
      <c r="AW24" s="75">
        <f t="shared" si="164"/>
        <v>47543</v>
      </c>
      <c r="AX24" s="221">
        <f t="shared" si="165"/>
        <v>0</v>
      </c>
      <c r="AY24" s="221">
        <f t="shared" ca="1" si="110"/>
        <v>0</v>
      </c>
      <c r="AZ24" s="221">
        <f t="shared" ca="1" si="71"/>
        <v>0</v>
      </c>
      <c r="BA24" s="221">
        <f t="shared" ca="1" si="72"/>
        <v>0</v>
      </c>
      <c r="BB24" s="221">
        <f t="shared" ca="1" si="73"/>
        <v>0</v>
      </c>
      <c r="BC24" s="221">
        <f t="shared" ca="1" si="74"/>
        <v>0</v>
      </c>
      <c r="BD24" s="221">
        <f t="shared" ca="1" si="75"/>
        <v>0</v>
      </c>
      <c r="BE24" s="221">
        <f t="shared" ca="1" si="76"/>
        <v>0</v>
      </c>
      <c r="BF24" s="221">
        <f t="shared" ca="1" si="77"/>
        <v>0</v>
      </c>
      <c r="BG24" s="221">
        <f t="shared" ca="1" si="78"/>
        <v>0</v>
      </c>
      <c r="BH24" s="221">
        <f t="shared" ca="1" si="111"/>
        <v>0</v>
      </c>
      <c r="BI24" s="221">
        <f t="shared" ca="1" si="112"/>
        <v>0</v>
      </c>
      <c r="BJ24" s="221"/>
      <c r="BK24" s="221">
        <f t="shared" ca="1" si="113"/>
        <v>0</v>
      </c>
      <c r="BM24" s="75">
        <f t="shared" si="166"/>
        <v>47543</v>
      </c>
      <c r="BN24" s="221">
        <f t="shared" ca="1" si="114"/>
        <v>0</v>
      </c>
      <c r="BO24" s="221">
        <f t="shared" ca="1" si="115"/>
        <v>0</v>
      </c>
      <c r="BP24" s="221">
        <f t="shared" ca="1" si="116"/>
        <v>-3593681</v>
      </c>
      <c r="BQ24" s="221">
        <f t="shared" ca="1" si="117"/>
        <v>0</v>
      </c>
      <c r="BR24" s="221">
        <f t="shared" ca="1" si="118"/>
        <v>0</v>
      </c>
      <c r="BS24" s="221">
        <f t="shared" ca="1" si="119"/>
        <v>0</v>
      </c>
      <c r="BT24" s="221">
        <f t="shared" ca="1" si="120"/>
        <v>0</v>
      </c>
      <c r="BU24" s="221">
        <f t="shared" ca="1" si="121"/>
        <v>0</v>
      </c>
      <c r="BV24" s="221">
        <f t="shared" ca="1" si="122"/>
        <v>0</v>
      </c>
      <c r="BW24" s="221">
        <f t="shared" ca="1" si="123"/>
        <v>0</v>
      </c>
      <c r="BX24" s="221">
        <f t="shared" ca="1" si="124"/>
        <v>0</v>
      </c>
      <c r="BY24" s="221">
        <f t="shared" ca="1" si="125"/>
        <v>0</v>
      </c>
      <c r="BZ24" s="221">
        <f t="shared" si="126"/>
        <v>0</v>
      </c>
      <c r="CA24" s="221">
        <f t="shared" ca="1" si="127"/>
        <v>-3593681</v>
      </c>
      <c r="CB24" s="221">
        <f t="shared" ca="1" si="128"/>
        <v>-3593681</v>
      </c>
      <c r="CD24" s="75">
        <f t="shared" si="83"/>
        <v>47543</v>
      </c>
      <c r="CE24" s="340"/>
      <c r="CF24" s="343"/>
      <c r="CG24" s="343"/>
      <c r="CH24" s="343"/>
      <c r="CI24" s="343"/>
      <c r="CJ24" s="343"/>
      <c r="CK24" s="343"/>
      <c r="CL24" s="343"/>
      <c r="CM24" s="343"/>
      <c r="CN24" s="343"/>
      <c r="CO24" s="343"/>
      <c r="CP24" s="343"/>
      <c r="CQ24" s="236">
        <f t="shared" si="129"/>
        <v>0</v>
      </c>
      <c r="CS24" s="75">
        <f t="shared" si="130"/>
        <v>47543</v>
      </c>
      <c r="CT24" s="256">
        <f t="shared" si="131"/>
        <v>0</v>
      </c>
      <c r="CU24" s="256">
        <f>IF(HYPOTHETICAL_SCENARIO="Yes",IF((CU$10-SUM(CU$13:CU23))=CU$10,IF(CF24&lt;=0,0,ROUND(CF$47*ABSORPTION_SCENARIO,0)),MIN(CU$10-SUM(CU$13:CU23),ROUND(CF$47*ABSORPTION_SCENARIO,0))),CF24)</f>
        <v>0</v>
      </c>
      <c r="CV24" s="256">
        <f>IF(HYPOTHETICAL_SCENARIO="Yes",IF((CV$10-SUM(CV$13:CV23))=CV$10,IF(CG24&lt;=0,0,ROUND(CG$47*ABSORPTION_SCENARIO,0)),MIN(CV$10-SUM(CV$13:CV23),ROUND(CG$47*ABSORPTION_SCENARIO,0))),CG24)</f>
        <v>0</v>
      </c>
      <c r="CW24" s="256">
        <f>IF(HYPOTHETICAL_SCENARIO="Yes",IF((CW$10-SUM(CW$13:CW23))=CW$10,IF(CH24&lt;=0,0,ROUND(CH$47*ABSORPTION_SCENARIO,0)),MIN(CW$10-SUM(CW$13:CW23),ROUND(CH$47*ABSORPTION_SCENARIO,0))),CH24)</f>
        <v>0</v>
      </c>
      <c r="CX24" s="256">
        <f>IF(HYPOTHETICAL_SCENARIO="Yes",IF((CX$10-SUM(CX$13:CX23))=CX$10,IF(CI24&lt;=0,0,ROUND(CI$47*ABSORPTION_SCENARIO,0)),MIN(CX$10-SUM(CX$13:CX23),ROUND(CI$47*ABSORPTION_SCENARIO,0))),CI24)</f>
        <v>0</v>
      </c>
      <c r="CY24" s="256">
        <f>IF(HYPOTHETICAL_SCENARIO="Yes",IF((CY$10-SUM(CY$13:CY23))=CY$10,IF(CJ24&lt;=0,0,ROUND(CJ$47*ABSORPTION_SCENARIO,0)),MIN(CY$10-SUM(CY$13:CY23),ROUND(CJ$47*ABSORPTION_SCENARIO,0))),CJ24)</f>
        <v>0</v>
      </c>
      <c r="CZ24" s="256">
        <f>IF(HYPOTHETICAL_SCENARIO="Yes",IF((CZ$10-SUM(CZ$13:CZ23))=CZ$10,IF(CK24&lt;=0,0,ROUND(CK$47*ABSORPTION_SCENARIO,0)),MIN(CZ$10-SUM(CZ$13:CZ23),ROUND(CK$47*ABSORPTION_SCENARIO,0))),CK24)</f>
        <v>0</v>
      </c>
      <c r="DA24" s="256">
        <f>IF(HYPOTHETICAL_SCENARIO="Yes",IF((DA$10-SUM(DA$13:DA23))=DA$10,IF(CL24&lt;=0,0,ROUND(CL$47*ABSORPTION_SCENARIO,0)),MIN(DA$10-SUM(DA$13:DA23),ROUND(CL$47*ABSORPTION_SCENARIO,0))),CL24)</f>
        <v>0</v>
      </c>
      <c r="DB24" s="256">
        <f>IF(HYPOTHETICAL_SCENARIO="Yes",IF((DB$10-SUM(DB$13:DB23))=DB$10,IF(CM24&lt;=0,0,ROUND(CM$47*ABSORPTION_SCENARIO,0)),MIN(DB$10-SUM(DB$13:DB23),ROUND(CM$47*ABSORPTION_SCENARIO,0))),CM24)</f>
        <v>0</v>
      </c>
      <c r="DC24" s="256">
        <f>IF(HYPOTHETICAL_SCENARIO="Yes",IF((DC$10-SUM(DC$13:DC23))=DC$10,IF(CN24&lt;=0,0,ROUND(CN$47*ABSORPTION_SCENARIO,0)),MIN(DC$10-SUM(DC$13:DC23),ROUND(CN$47*ABSORPTION_SCENARIO,0))),CN24)</f>
        <v>0</v>
      </c>
      <c r="DD24" s="256">
        <f>IF(HYPOTHETICAL_SCENARIO="Yes",IF((DD$10-SUM(DD$13:DD23))=DD$10,IF(CO24&lt;=0,0,ROUND(CO$47*ABSORPTION_SCENARIO,0)),MIN(DD$10-SUM(DD$13:DD23),ROUND(CO$47*ABSORPTION_SCENARIO,0))),CO24)</f>
        <v>0</v>
      </c>
      <c r="DE24" s="256">
        <f>IF(HYPOTHETICAL_SCENARIO="Yes",IF((DE$10-SUM(DE$13:DE23))=DE$10,IF(CP24&lt;=0,0,ROUND(CP$47*ABSORPTION_SCENARIO,0)),MIN(DE$10-SUM(DE$13:DE23),ROUND(CP$47*ABSORPTION_SCENARIO,0))),CP24)</f>
        <v>0</v>
      </c>
      <c r="DF24" s="256">
        <f t="shared" si="132"/>
        <v>0</v>
      </c>
      <c r="DH24" s="75">
        <f t="shared" si="133"/>
        <v>47543</v>
      </c>
      <c r="DI24" s="75"/>
      <c r="DJ24" s="218">
        <f t="shared" si="178"/>
        <v>436569.40065693296</v>
      </c>
      <c r="DK24" s="218">
        <f t="shared" si="178"/>
        <v>471543.19242226734</v>
      </c>
      <c r="DL24" s="218">
        <f t="shared" si="178"/>
        <v>518636.6149973711</v>
      </c>
      <c r="DM24" s="218">
        <f t="shared" si="178"/>
        <v>587652.83773674734</v>
      </c>
      <c r="DN24" s="218">
        <f t="shared" si="178"/>
        <v>673146.98216822371</v>
      </c>
      <c r="DO24" s="218">
        <f t="shared" si="178"/>
        <v>758820.23444417946</v>
      </c>
      <c r="DP24" s="218">
        <f t="shared" si="178"/>
        <v>847553.842756139</v>
      </c>
      <c r="DQ24" s="218">
        <f t="shared" si="178"/>
        <v>908749.02295325021</v>
      </c>
      <c r="DR24" s="218">
        <f t="shared" si="178"/>
        <v>0</v>
      </c>
      <c r="DS24" s="218">
        <f t="shared" si="178"/>
        <v>0</v>
      </c>
      <c r="DT24" s="218">
        <f t="shared" si="178"/>
        <v>0</v>
      </c>
      <c r="DW24" s="75">
        <f t="shared" si="144"/>
        <v>47543</v>
      </c>
      <c r="DX24" s="308"/>
      <c r="DY24" s="338"/>
      <c r="DZ24" s="221">
        <f t="shared" si="145"/>
        <v>0</v>
      </c>
      <c r="EA24" s="221">
        <f t="shared" si="146"/>
        <v>0</v>
      </c>
      <c r="EB24" s="221">
        <f t="shared" si="147"/>
        <v>0</v>
      </c>
      <c r="EC24" s="221">
        <f t="shared" si="148"/>
        <v>0</v>
      </c>
      <c r="ED24" s="221">
        <f t="shared" si="149"/>
        <v>0</v>
      </c>
      <c r="EE24" s="221">
        <f t="shared" si="150"/>
        <v>0</v>
      </c>
      <c r="EF24" s="221">
        <f t="shared" si="151"/>
        <v>0</v>
      </c>
      <c r="EG24" s="221">
        <f t="shared" si="152"/>
        <v>0</v>
      </c>
      <c r="EH24" s="221">
        <f t="shared" si="153"/>
        <v>0</v>
      </c>
      <c r="EI24" s="221">
        <f t="shared" si="154"/>
        <v>0</v>
      </c>
      <c r="EJ24" s="221">
        <f t="shared" si="155"/>
        <v>0</v>
      </c>
      <c r="EK24" s="221">
        <f t="shared" si="156"/>
        <v>0</v>
      </c>
      <c r="EL24" s="221">
        <f t="shared" si="157"/>
        <v>0</v>
      </c>
      <c r="EN24" s="75">
        <f t="shared" si="180"/>
        <v>47543</v>
      </c>
      <c r="EO24" s="308"/>
      <c r="EP24" s="338"/>
      <c r="EQ24" s="221">
        <f t="shared" ca="1" si="181"/>
        <v>0</v>
      </c>
      <c r="ER24" s="221">
        <f t="shared" ca="1" si="179"/>
        <v>41660612.146044977</v>
      </c>
      <c r="ES24" s="221">
        <f t="shared" ca="1" si="179"/>
        <v>0</v>
      </c>
      <c r="ET24" s="221">
        <f t="shared" ca="1" si="179"/>
        <v>0</v>
      </c>
      <c r="EU24" s="221">
        <f t="shared" ca="1" si="179"/>
        <v>0</v>
      </c>
      <c r="EV24" s="221">
        <f t="shared" ca="1" si="179"/>
        <v>0</v>
      </c>
      <c r="EW24" s="221">
        <f t="shared" ca="1" si="179"/>
        <v>0</v>
      </c>
      <c r="EX24" s="221">
        <f t="shared" ca="1" si="179"/>
        <v>0</v>
      </c>
      <c r="EY24" s="221">
        <f t="shared" ca="1" si="179"/>
        <v>0</v>
      </c>
      <c r="EZ24" s="221">
        <f t="shared" ca="1" si="179"/>
        <v>0</v>
      </c>
      <c r="FA24" s="221">
        <f t="shared" ca="1" si="179"/>
        <v>0</v>
      </c>
      <c r="FB24" s="221">
        <f t="shared" ca="1" si="179"/>
        <v>41660612.146044977</v>
      </c>
      <c r="FC24" s="221">
        <f t="shared" ca="1" si="179"/>
        <v>41660612.146044977</v>
      </c>
    </row>
    <row r="25" spans="4:159" x14ac:dyDescent="0.25">
      <c r="D25" s="75">
        <f t="shared" si="161"/>
        <v>47908</v>
      </c>
      <c r="E25" s="324"/>
      <c r="F25" s="341"/>
      <c r="G25" s="341"/>
      <c r="H25" s="341"/>
      <c r="I25" s="341"/>
      <c r="J25" s="341"/>
      <c r="K25" s="341"/>
      <c r="L25" s="341"/>
      <c r="M25" s="341"/>
      <c r="N25" s="341"/>
      <c r="O25" s="341"/>
      <c r="P25" s="341"/>
      <c r="Q25" s="256">
        <f t="shared" si="162"/>
        <v>0</v>
      </c>
      <c r="S25" s="271">
        <f t="shared" si="96"/>
        <v>47908</v>
      </c>
      <c r="T25" s="256">
        <f t="shared" si="60"/>
        <v>0</v>
      </c>
      <c r="U25" s="256">
        <f>IF(HYPOTHETICAL_SCENARIO="Yes",IF((U$10-SUM(U$13:U24))=U$10,IF(F25&lt;=0,0,ROUND(F$47*LOT_DELIVERY_SCENARIO,0)),MIN(U$10-SUM(U$13:U24),ROUND(F$47*LOT_DELIVERY_SCENARIO,0))),F25)</f>
        <v>0</v>
      </c>
      <c r="V25" s="256">
        <f>IF(HYPOTHETICAL_SCENARIO="Yes",IF((V$10-SUM(V$13:V24))=V$10,IF(G25&lt;=0,0,ROUND(G$47*LOT_DELIVERY_SCENARIO,0)),MIN(V$10-SUM(V$13:V24),ROUND(G$47*LOT_DELIVERY_SCENARIO,0))),G25)</f>
        <v>0</v>
      </c>
      <c r="W25" s="256">
        <f>IF(HYPOTHETICAL_SCENARIO="Yes",IF((W$10-SUM(W$13:W24))=W$10,IF(H25&lt;=0,0,ROUND(H$47*LOT_DELIVERY_SCENARIO,0)),MIN(W$10-SUM(W$13:W24),ROUND(H$47*LOT_DELIVERY_SCENARIO,0))),H25)</f>
        <v>0</v>
      </c>
      <c r="X25" s="256">
        <f>IF(HYPOTHETICAL_SCENARIO="Yes",IF((X$10-SUM(X$13:X24))=X$10,IF(I25&lt;=0,0,ROUND(I$47*LOT_DELIVERY_SCENARIO,0)),MIN(X$10-SUM(X$13:X24),ROUND(I$47*LOT_DELIVERY_SCENARIO,0))),I25)</f>
        <v>0</v>
      </c>
      <c r="Y25" s="256">
        <f>IF(HYPOTHETICAL_SCENARIO="Yes",IF((Y$10-SUM(Y$13:Y24))=Y$10,IF(J25&lt;=0,0,ROUND(J$47*LOT_DELIVERY_SCENARIO,0)),MIN(Y$10-SUM(Y$13:Y24),ROUND(J$47*LOT_DELIVERY_SCENARIO,0))),J25)</f>
        <v>0</v>
      </c>
      <c r="Z25" s="256">
        <f>IF(HYPOTHETICAL_SCENARIO="Yes",IF((Z$10-SUM(Z$13:Z24))=Z$10,IF(K25&lt;=0,0,ROUND(K$47*LOT_DELIVERY_SCENARIO,0)),MIN(Z$10-SUM(Z$13:Z24),ROUND(K$47*LOT_DELIVERY_SCENARIO,0))),K25)</f>
        <v>0</v>
      </c>
      <c r="AA25" s="256">
        <f>IF(HYPOTHETICAL_SCENARIO="Yes",IF((AA$10-SUM(AA$13:AA24))=AA$10,IF(L25&lt;=0,0,ROUND(L$47*LOT_DELIVERY_SCENARIO,0)),MIN(AA$10-SUM(AA$13:AA24),ROUND(L$47*LOT_DELIVERY_SCENARIO,0))),L25)</f>
        <v>0</v>
      </c>
      <c r="AB25" s="256">
        <f>IF(HYPOTHETICAL_SCENARIO="Yes",IF((AB$10-SUM(AB$13:AB24))=AB$10,IF(M25&lt;=0,0,ROUND(M$47*LOT_DELIVERY_SCENARIO,0)),MIN(AB$10-SUM(AB$13:AB24),ROUND(M$47*LOT_DELIVERY_SCENARIO,0))),M25)</f>
        <v>0</v>
      </c>
      <c r="AC25" s="256">
        <f>IF(HYPOTHETICAL_SCENARIO="Yes",IF((AC$10-SUM(AC$13:AC24))=AC$10,IF(N25&lt;=0,0,ROUND(N$47*LOT_DELIVERY_SCENARIO,0)),MIN(AC$10-SUM(AC$13:AC24),ROUND(N$47*LOT_DELIVERY_SCENARIO,0))),N25)</f>
        <v>0</v>
      </c>
      <c r="AD25" s="256">
        <f>IF(HYPOTHETICAL_SCENARIO="Yes",IF((AD$10-SUM(AD$13:AD24))=AD$10,IF(O25&lt;=0,0,ROUND(O$47*LOT_DELIVERY_SCENARIO,0)),MIN(AD$10-SUM(AD$13:AD24),ROUND(O$47*LOT_DELIVERY_SCENARIO,0))),O25)</f>
        <v>0</v>
      </c>
      <c r="AE25" s="256">
        <f>IF(HYPOTHETICAL_SCENARIO="Yes",IF((AE$10-SUM(AE$13:AE24))=AE$10,IF(P25&lt;=0,0,ROUND(P$47*LOT_DELIVERY_SCENARIO,0)),MIN(AE$10-SUM(AE$13:AE24),ROUND(P$47*LOT_DELIVERY_SCENARIO,0))),P25)</f>
        <v>0</v>
      </c>
      <c r="AF25" s="256">
        <f t="shared" si="97"/>
        <v>0</v>
      </c>
      <c r="AH25" s="75">
        <f t="shared" si="163"/>
        <v>47908</v>
      </c>
      <c r="AI25" s="221"/>
      <c r="AJ25" s="221">
        <f>(SUM(F$17:F25)-SUM(CF$17:CF25))*AJ$11</f>
        <v>0</v>
      </c>
      <c r="AK25" s="221">
        <f>(SUM(G$17:G25)-SUM(CG$17:CG25))*AK$11</f>
        <v>0</v>
      </c>
      <c r="AL25" s="221">
        <f>(SUM(H$17:H25)-SUM(CH$17:CH25))*AL$11</f>
        <v>0</v>
      </c>
      <c r="AM25" s="221">
        <f>(SUM(I$17:I25)-SUM(CI$17:CI25))*AM$11</f>
        <v>0</v>
      </c>
      <c r="AN25" s="221">
        <f>(SUM(J$17:J25)-SUM(CJ$17:CJ25))*AN$11</f>
        <v>0</v>
      </c>
      <c r="AO25" s="221">
        <f>(SUM(K$17:K25)-SUM(CK$17:CK25))*AO$11</f>
        <v>0</v>
      </c>
      <c r="AP25" s="221">
        <f>(SUM(L$17:L25)-SUM(CL$17:CL25))*AP$11</f>
        <v>0</v>
      </c>
      <c r="AQ25" s="221">
        <f>(SUM(M$17:M25)-SUM(CM$17:CM25))*AQ$11</f>
        <v>0</v>
      </c>
      <c r="AR25" s="221">
        <f>(SUM(N$17:N25)-SUM(CN$17:CN25))*AR$11</f>
        <v>0</v>
      </c>
      <c r="AS25" s="221">
        <f>(SUM(O$17:O25)-SUM(CO$17:CO25))*AS$11</f>
        <v>0</v>
      </c>
      <c r="AT25" s="221">
        <f>(SUM(P$17:P25)-SUM(CP$17:CP25))*AT$11</f>
        <v>0</v>
      </c>
      <c r="AU25" s="221">
        <f t="shared" si="109"/>
        <v>0</v>
      </c>
      <c r="AW25" s="75">
        <f t="shared" si="164"/>
        <v>47908</v>
      </c>
      <c r="AX25" s="221">
        <f t="shared" si="165"/>
        <v>0</v>
      </c>
      <c r="AY25" s="221">
        <f t="shared" ca="1" si="110"/>
        <v>0</v>
      </c>
      <c r="AZ25" s="221">
        <f t="shared" ca="1" si="71"/>
        <v>0</v>
      </c>
      <c r="BA25" s="221">
        <f t="shared" ca="1" si="72"/>
        <v>0</v>
      </c>
      <c r="BB25" s="221">
        <f t="shared" ca="1" si="73"/>
        <v>0</v>
      </c>
      <c r="BC25" s="221">
        <f t="shared" ca="1" si="74"/>
        <v>0</v>
      </c>
      <c r="BD25" s="221">
        <f t="shared" ca="1" si="75"/>
        <v>0</v>
      </c>
      <c r="BE25" s="221">
        <f t="shared" ca="1" si="76"/>
        <v>0</v>
      </c>
      <c r="BF25" s="221">
        <f t="shared" ca="1" si="77"/>
        <v>0</v>
      </c>
      <c r="BG25" s="221">
        <f t="shared" ca="1" si="78"/>
        <v>0</v>
      </c>
      <c r="BH25" s="221">
        <f t="shared" ca="1" si="111"/>
        <v>0</v>
      </c>
      <c r="BI25" s="221">
        <f t="shared" ca="1" si="112"/>
        <v>0</v>
      </c>
      <c r="BJ25" s="221"/>
      <c r="BK25" s="221">
        <f t="shared" ca="1" si="113"/>
        <v>0</v>
      </c>
      <c r="BM25" s="75">
        <f t="shared" si="166"/>
        <v>47908</v>
      </c>
      <c r="BN25" s="221">
        <f t="shared" ca="1" si="114"/>
        <v>0</v>
      </c>
      <c r="BO25" s="221">
        <f t="shared" ca="1" si="115"/>
        <v>0</v>
      </c>
      <c r="BP25" s="221">
        <f t="shared" ca="1" si="116"/>
        <v>0</v>
      </c>
      <c r="BQ25" s="221">
        <f t="shared" ca="1" si="117"/>
        <v>0</v>
      </c>
      <c r="BR25" s="221">
        <f t="shared" ca="1" si="118"/>
        <v>0</v>
      </c>
      <c r="BS25" s="221">
        <f t="shared" ca="1" si="119"/>
        <v>0</v>
      </c>
      <c r="BT25" s="221">
        <f t="shared" ca="1" si="120"/>
        <v>0</v>
      </c>
      <c r="BU25" s="221">
        <f t="shared" ca="1" si="121"/>
        <v>0</v>
      </c>
      <c r="BV25" s="221">
        <f t="shared" ca="1" si="122"/>
        <v>0</v>
      </c>
      <c r="BW25" s="221">
        <f t="shared" ca="1" si="123"/>
        <v>0</v>
      </c>
      <c r="BX25" s="221">
        <f t="shared" ca="1" si="124"/>
        <v>0</v>
      </c>
      <c r="BY25" s="221">
        <f t="shared" ca="1" si="125"/>
        <v>0</v>
      </c>
      <c r="BZ25" s="221">
        <f t="shared" si="126"/>
        <v>0</v>
      </c>
      <c r="CA25" s="221">
        <f t="shared" ca="1" si="127"/>
        <v>0</v>
      </c>
      <c r="CB25" s="221">
        <f t="shared" ca="1" si="128"/>
        <v>0</v>
      </c>
      <c r="CD25" s="75">
        <f t="shared" si="83"/>
        <v>47908</v>
      </c>
      <c r="CE25" s="340"/>
      <c r="CF25" s="343"/>
      <c r="CG25" s="343"/>
      <c r="CH25" s="343"/>
      <c r="CI25" s="343"/>
      <c r="CJ25" s="343"/>
      <c r="CK25" s="343"/>
      <c r="CL25" s="343"/>
      <c r="CM25" s="343"/>
      <c r="CN25" s="343"/>
      <c r="CO25" s="343"/>
      <c r="CP25" s="343"/>
      <c r="CQ25" s="236">
        <f t="shared" si="129"/>
        <v>0</v>
      </c>
      <c r="CS25" s="75">
        <f t="shared" si="130"/>
        <v>47908</v>
      </c>
      <c r="CT25" s="256">
        <f t="shared" si="131"/>
        <v>0</v>
      </c>
      <c r="CU25" s="256">
        <f>IF(HYPOTHETICAL_SCENARIO="Yes",IF((CU$10-SUM(CU$13:CU24))=CU$10,IF(CF25&lt;=0,0,ROUND(CF$47*ABSORPTION_SCENARIO,0)),MIN(CU$10-SUM(CU$13:CU24),ROUND(CF$47*ABSORPTION_SCENARIO,0))),CF25)</f>
        <v>0</v>
      </c>
      <c r="CV25" s="256">
        <f>IF(HYPOTHETICAL_SCENARIO="Yes",IF((CV$10-SUM(CV$13:CV24))=CV$10,IF(CG25&lt;=0,0,ROUND(CG$47*ABSORPTION_SCENARIO,0)),MIN(CV$10-SUM(CV$13:CV24),ROUND(CG$47*ABSORPTION_SCENARIO,0))),CG25)</f>
        <v>0</v>
      </c>
      <c r="CW25" s="256">
        <f>IF(HYPOTHETICAL_SCENARIO="Yes",IF((CW$10-SUM(CW$13:CW24))=CW$10,IF(CH25&lt;=0,0,ROUND(CH$47*ABSORPTION_SCENARIO,0)),MIN(CW$10-SUM(CW$13:CW24),ROUND(CH$47*ABSORPTION_SCENARIO,0))),CH25)</f>
        <v>0</v>
      </c>
      <c r="CX25" s="256">
        <f>IF(HYPOTHETICAL_SCENARIO="Yes",IF((CX$10-SUM(CX$13:CX24))=CX$10,IF(CI25&lt;=0,0,ROUND(CI$47*ABSORPTION_SCENARIO,0)),MIN(CX$10-SUM(CX$13:CX24),ROUND(CI$47*ABSORPTION_SCENARIO,0))),CI25)</f>
        <v>0</v>
      </c>
      <c r="CY25" s="256">
        <f>IF(HYPOTHETICAL_SCENARIO="Yes",IF((CY$10-SUM(CY$13:CY24))=CY$10,IF(CJ25&lt;=0,0,ROUND(CJ$47*ABSORPTION_SCENARIO,0)),MIN(CY$10-SUM(CY$13:CY24),ROUND(CJ$47*ABSORPTION_SCENARIO,0))),CJ25)</f>
        <v>0</v>
      </c>
      <c r="CZ25" s="256">
        <f>IF(HYPOTHETICAL_SCENARIO="Yes",IF((CZ$10-SUM(CZ$13:CZ24))=CZ$10,IF(CK25&lt;=0,0,ROUND(CK$47*ABSORPTION_SCENARIO,0)),MIN(CZ$10-SUM(CZ$13:CZ24),ROUND(CK$47*ABSORPTION_SCENARIO,0))),CK25)</f>
        <v>0</v>
      </c>
      <c r="DA25" s="256">
        <f>IF(HYPOTHETICAL_SCENARIO="Yes",IF((DA$10-SUM(DA$13:DA24))=DA$10,IF(CL25&lt;=0,0,ROUND(CL$47*ABSORPTION_SCENARIO,0)),MIN(DA$10-SUM(DA$13:DA24),ROUND(CL$47*ABSORPTION_SCENARIO,0))),CL25)</f>
        <v>0</v>
      </c>
      <c r="DB25" s="256">
        <f>IF(HYPOTHETICAL_SCENARIO="Yes",IF((DB$10-SUM(DB$13:DB24))=DB$10,IF(CM25&lt;=0,0,ROUND(CM$47*ABSORPTION_SCENARIO,0)),MIN(DB$10-SUM(DB$13:DB24),ROUND(CM$47*ABSORPTION_SCENARIO,0))),CM25)</f>
        <v>0</v>
      </c>
      <c r="DC25" s="256">
        <f>IF(HYPOTHETICAL_SCENARIO="Yes",IF((DC$10-SUM(DC$13:DC24))=DC$10,IF(CN25&lt;=0,0,ROUND(CN$47*ABSORPTION_SCENARIO,0)),MIN(DC$10-SUM(DC$13:DC24),ROUND(CN$47*ABSORPTION_SCENARIO,0))),CN25)</f>
        <v>0</v>
      </c>
      <c r="DD25" s="256">
        <f>IF(HYPOTHETICAL_SCENARIO="Yes",IF((DD$10-SUM(DD$13:DD24))=DD$10,IF(CO25&lt;=0,0,ROUND(CO$47*ABSORPTION_SCENARIO,0)),MIN(DD$10-SUM(DD$13:DD24),ROUND(CO$47*ABSORPTION_SCENARIO,0))),CO25)</f>
        <v>0</v>
      </c>
      <c r="DE25" s="256">
        <f>IF(HYPOTHETICAL_SCENARIO="Yes",IF((DE$10-SUM(DE$13:DE24))=DE$10,IF(CP25&lt;=0,0,ROUND(CP$47*ABSORPTION_SCENARIO,0)),MIN(DE$10-SUM(DE$13:DE24),ROUND(CP$47*ABSORPTION_SCENARIO,0))),CP25)</f>
        <v>0</v>
      </c>
      <c r="DF25" s="256">
        <f t="shared" si="132"/>
        <v>0</v>
      </c>
      <c r="DH25" s="75">
        <f t="shared" si="133"/>
        <v>47908</v>
      </c>
      <c r="DI25" s="75"/>
      <c r="DJ25" s="218">
        <f t="shared" si="178"/>
        <v>449666.48267664097</v>
      </c>
      <c r="DK25" s="218">
        <f t="shared" si="178"/>
        <v>485689.48819493543</v>
      </c>
      <c r="DL25" s="218">
        <f t="shared" si="178"/>
        <v>534195.71344729234</v>
      </c>
      <c r="DM25" s="218">
        <f t="shared" si="178"/>
        <v>605282.42286884971</v>
      </c>
      <c r="DN25" s="218">
        <f t="shared" si="178"/>
        <v>693341.39163327042</v>
      </c>
      <c r="DO25" s="218">
        <f t="shared" si="178"/>
        <v>781584.84147750493</v>
      </c>
      <c r="DP25" s="218">
        <f t="shared" si="178"/>
        <v>872980.45803882321</v>
      </c>
      <c r="DQ25" s="218">
        <f t="shared" si="178"/>
        <v>936011.49364184786</v>
      </c>
      <c r="DR25" s="218">
        <f t="shared" si="178"/>
        <v>0</v>
      </c>
      <c r="DS25" s="218">
        <f t="shared" si="178"/>
        <v>0</v>
      </c>
      <c r="DT25" s="218">
        <f t="shared" si="178"/>
        <v>0</v>
      </c>
      <c r="DW25" s="75">
        <f t="shared" si="144"/>
        <v>47908</v>
      </c>
      <c r="DX25" s="308"/>
      <c r="DY25" s="338"/>
      <c r="DZ25" s="221">
        <f t="shared" si="145"/>
        <v>0</v>
      </c>
      <c r="EA25" s="221">
        <f t="shared" si="146"/>
        <v>0</v>
      </c>
      <c r="EB25" s="221">
        <f t="shared" si="147"/>
        <v>0</v>
      </c>
      <c r="EC25" s="221">
        <f t="shared" si="148"/>
        <v>0</v>
      </c>
      <c r="ED25" s="221">
        <f t="shared" si="149"/>
        <v>0</v>
      </c>
      <c r="EE25" s="221">
        <f t="shared" si="150"/>
        <v>0</v>
      </c>
      <c r="EF25" s="221">
        <f t="shared" si="151"/>
        <v>0</v>
      </c>
      <c r="EG25" s="221">
        <f t="shared" si="152"/>
        <v>0</v>
      </c>
      <c r="EH25" s="221">
        <f t="shared" si="153"/>
        <v>0</v>
      </c>
      <c r="EI25" s="221">
        <f t="shared" si="154"/>
        <v>0</v>
      </c>
      <c r="EJ25" s="221">
        <f t="shared" si="155"/>
        <v>0</v>
      </c>
      <c r="EK25" s="221">
        <f t="shared" si="156"/>
        <v>0</v>
      </c>
      <c r="EL25" s="221">
        <f t="shared" si="157"/>
        <v>0</v>
      </c>
      <c r="EN25" s="75">
        <f t="shared" si="180"/>
        <v>47908</v>
      </c>
      <c r="EO25" s="308"/>
      <c r="EP25" s="338"/>
      <c r="EQ25" s="221">
        <f t="shared" ca="1" si="181"/>
        <v>0</v>
      </c>
      <c r="ER25" s="221">
        <f t="shared" ca="1" si="179"/>
        <v>0</v>
      </c>
      <c r="ES25" s="221">
        <f t="shared" ca="1" si="179"/>
        <v>0</v>
      </c>
      <c r="ET25" s="221">
        <f t="shared" ca="1" si="179"/>
        <v>0</v>
      </c>
      <c r="EU25" s="221">
        <f t="shared" ca="1" si="179"/>
        <v>0</v>
      </c>
      <c r="EV25" s="221">
        <f t="shared" ca="1" si="179"/>
        <v>0</v>
      </c>
      <c r="EW25" s="221">
        <f t="shared" ca="1" si="179"/>
        <v>0</v>
      </c>
      <c r="EX25" s="221">
        <f t="shared" ca="1" si="179"/>
        <v>0</v>
      </c>
      <c r="EY25" s="221">
        <f t="shared" ca="1" si="179"/>
        <v>0</v>
      </c>
      <c r="EZ25" s="221">
        <f t="shared" ca="1" si="179"/>
        <v>0</v>
      </c>
      <c r="FA25" s="221">
        <f t="shared" ca="1" si="179"/>
        <v>0</v>
      </c>
      <c r="FB25" s="221">
        <f t="shared" ca="1" si="179"/>
        <v>0</v>
      </c>
      <c r="FC25" s="221">
        <f t="shared" ca="1" si="179"/>
        <v>0</v>
      </c>
    </row>
    <row r="26" spans="4:159" x14ac:dyDescent="0.25">
      <c r="D26" s="75">
        <f t="shared" si="161"/>
        <v>48274</v>
      </c>
      <c r="E26" s="324"/>
      <c r="F26" s="341"/>
      <c r="G26" s="341"/>
      <c r="H26" s="341"/>
      <c r="I26" s="341"/>
      <c r="J26" s="341"/>
      <c r="K26" s="341"/>
      <c r="L26" s="341"/>
      <c r="M26" s="341"/>
      <c r="N26" s="341"/>
      <c r="O26" s="341"/>
      <c r="P26" s="341"/>
      <c r="Q26" s="256">
        <f t="shared" si="162"/>
        <v>0</v>
      </c>
      <c r="S26" s="271">
        <f t="shared" si="96"/>
        <v>48274</v>
      </c>
      <c r="T26" s="256">
        <f t="shared" si="60"/>
        <v>0</v>
      </c>
      <c r="U26" s="256">
        <f>IF(HYPOTHETICAL_SCENARIO="Yes",IF((U$10-SUM(U$13:U25))=U$10,IF(F26&lt;=0,0,ROUND(F$47*LOT_DELIVERY_SCENARIO,0)),MIN(U$10-SUM(U$13:U25),ROUND(F$47*LOT_DELIVERY_SCENARIO,0))),F26)</f>
        <v>0</v>
      </c>
      <c r="V26" s="256">
        <f>IF(HYPOTHETICAL_SCENARIO="Yes",IF((V$10-SUM(V$13:V25))=V$10,IF(G26&lt;=0,0,ROUND(G$47*LOT_DELIVERY_SCENARIO,0)),MIN(V$10-SUM(V$13:V25),ROUND(G$47*LOT_DELIVERY_SCENARIO,0))),G26)</f>
        <v>0</v>
      </c>
      <c r="W26" s="256">
        <f>IF(HYPOTHETICAL_SCENARIO="Yes",IF((W$10-SUM(W$13:W25))=W$10,IF(H26&lt;=0,0,ROUND(H$47*LOT_DELIVERY_SCENARIO,0)),MIN(W$10-SUM(W$13:W25),ROUND(H$47*LOT_DELIVERY_SCENARIO,0))),H26)</f>
        <v>0</v>
      </c>
      <c r="X26" s="256">
        <f>IF(HYPOTHETICAL_SCENARIO="Yes",IF((X$10-SUM(X$13:X25))=X$10,IF(I26&lt;=0,0,ROUND(I$47*LOT_DELIVERY_SCENARIO,0)),MIN(X$10-SUM(X$13:X25),ROUND(I$47*LOT_DELIVERY_SCENARIO,0))),I26)</f>
        <v>0</v>
      </c>
      <c r="Y26" s="256">
        <f>IF(HYPOTHETICAL_SCENARIO="Yes",IF((Y$10-SUM(Y$13:Y25))=Y$10,IF(J26&lt;=0,0,ROUND(J$47*LOT_DELIVERY_SCENARIO,0)),MIN(Y$10-SUM(Y$13:Y25),ROUND(J$47*LOT_DELIVERY_SCENARIO,0))),J26)</f>
        <v>0</v>
      </c>
      <c r="Z26" s="256">
        <f>IF(HYPOTHETICAL_SCENARIO="Yes",IF((Z$10-SUM(Z$13:Z25))=Z$10,IF(K26&lt;=0,0,ROUND(K$47*LOT_DELIVERY_SCENARIO,0)),MIN(Z$10-SUM(Z$13:Z25),ROUND(K$47*LOT_DELIVERY_SCENARIO,0))),K26)</f>
        <v>0</v>
      </c>
      <c r="AA26" s="256">
        <f>IF(HYPOTHETICAL_SCENARIO="Yes",IF((AA$10-SUM(AA$13:AA25))=AA$10,IF(L26&lt;=0,0,ROUND(L$47*LOT_DELIVERY_SCENARIO,0)),MIN(AA$10-SUM(AA$13:AA25),ROUND(L$47*LOT_DELIVERY_SCENARIO,0))),L26)</f>
        <v>0</v>
      </c>
      <c r="AB26" s="256">
        <f>IF(HYPOTHETICAL_SCENARIO="Yes",IF((AB$10-SUM(AB$13:AB25))=AB$10,IF(M26&lt;=0,0,ROUND(M$47*LOT_DELIVERY_SCENARIO,0)),MIN(AB$10-SUM(AB$13:AB25),ROUND(M$47*LOT_DELIVERY_SCENARIO,0))),M26)</f>
        <v>0</v>
      </c>
      <c r="AC26" s="256">
        <f>IF(HYPOTHETICAL_SCENARIO="Yes",IF((AC$10-SUM(AC$13:AC25))=AC$10,IF(N26&lt;=0,0,ROUND(N$47*LOT_DELIVERY_SCENARIO,0)),MIN(AC$10-SUM(AC$13:AC25),ROUND(N$47*LOT_DELIVERY_SCENARIO,0))),N26)</f>
        <v>0</v>
      </c>
      <c r="AD26" s="256">
        <f>IF(HYPOTHETICAL_SCENARIO="Yes",IF((AD$10-SUM(AD$13:AD25))=AD$10,IF(O26&lt;=0,0,ROUND(O$47*LOT_DELIVERY_SCENARIO,0)),MIN(AD$10-SUM(AD$13:AD25),ROUND(O$47*LOT_DELIVERY_SCENARIO,0))),O26)</f>
        <v>0</v>
      </c>
      <c r="AE26" s="256">
        <f>IF(HYPOTHETICAL_SCENARIO="Yes",IF((AE$10-SUM(AE$13:AE25))=AE$10,IF(P26&lt;=0,0,ROUND(P$47*LOT_DELIVERY_SCENARIO,0)),MIN(AE$10-SUM(AE$13:AE25),ROUND(P$47*LOT_DELIVERY_SCENARIO,0))),P26)</f>
        <v>0</v>
      </c>
      <c r="AF26" s="256">
        <f t="shared" si="97"/>
        <v>0</v>
      </c>
      <c r="AH26" s="75">
        <f t="shared" si="163"/>
        <v>48274</v>
      </c>
      <c r="AI26" s="221"/>
      <c r="AJ26" s="221">
        <f>(SUM(F$17:F26)-SUM(CF$17:CF26))*AJ$11</f>
        <v>0</v>
      </c>
      <c r="AK26" s="221">
        <f>(SUM(G$17:G26)-SUM(CG$17:CG26))*AK$11</f>
        <v>0</v>
      </c>
      <c r="AL26" s="221">
        <f>(SUM(H$17:H26)-SUM(CH$17:CH26))*AL$11</f>
        <v>0</v>
      </c>
      <c r="AM26" s="221">
        <f>(SUM(I$17:I26)-SUM(CI$17:CI26))*AM$11</f>
        <v>0</v>
      </c>
      <c r="AN26" s="221">
        <f>(SUM(J$17:J26)-SUM(CJ$17:CJ26))*AN$11</f>
        <v>0</v>
      </c>
      <c r="AO26" s="221">
        <f>(SUM(K$17:K26)-SUM(CK$17:CK26))*AO$11</f>
        <v>0</v>
      </c>
      <c r="AP26" s="221">
        <f>(SUM(L$17:L26)-SUM(CL$17:CL26))*AP$11</f>
        <v>0</v>
      </c>
      <c r="AQ26" s="221">
        <f>(SUM(M$17:M26)-SUM(CM$17:CM26))*AQ$11</f>
        <v>0</v>
      </c>
      <c r="AR26" s="221">
        <f>(SUM(N$17:N26)-SUM(CN$17:CN26))*AR$11</f>
        <v>0</v>
      </c>
      <c r="AS26" s="221">
        <f>(SUM(O$17:O26)-SUM(CO$17:CO26))*AS$11</f>
        <v>0</v>
      </c>
      <c r="AT26" s="221">
        <f>(SUM(P$17:P26)-SUM(CP$17:CP26))*AT$11</f>
        <v>0</v>
      </c>
      <c r="AU26" s="221">
        <f t="shared" si="109"/>
        <v>0</v>
      </c>
      <c r="AW26" s="75">
        <f t="shared" si="164"/>
        <v>48274</v>
      </c>
      <c r="AX26" s="221">
        <f t="shared" si="165"/>
        <v>0</v>
      </c>
      <c r="AY26" s="221">
        <f t="shared" ca="1" si="110"/>
        <v>0</v>
      </c>
      <c r="AZ26" s="221">
        <f t="shared" ca="1" si="71"/>
        <v>0</v>
      </c>
      <c r="BA26" s="221">
        <f t="shared" ca="1" si="72"/>
        <v>0</v>
      </c>
      <c r="BB26" s="221">
        <f t="shared" ca="1" si="73"/>
        <v>0</v>
      </c>
      <c r="BC26" s="221">
        <f t="shared" ca="1" si="74"/>
        <v>0</v>
      </c>
      <c r="BD26" s="221">
        <f t="shared" ca="1" si="75"/>
        <v>0</v>
      </c>
      <c r="BE26" s="221">
        <f t="shared" ca="1" si="76"/>
        <v>0</v>
      </c>
      <c r="BF26" s="221">
        <f t="shared" ca="1" si="77"/>
        <v>0</v>
      </c>
      <c r="BG26" s="221">
        <f t="shared" ca="1" si="78"/>
        <v>0</v>
      </c>
      <c r="BH26" s="221">
        <f t="shared" ca="1" si="111"/>
        <v>0</v>
      </c>
      <c r="BI26" s="221">
        <f t="shared" ca="1" si="112"/>
        <v>0</v>
      </c>
      <c r="BJ26" s="221"/>
      <c r="BK26" s="221">
        <f t="shared" ca="1" si="113"/>
        <v>0</v>
      </c>
      <c r="BM26" s="75">
        <f t="shared" si="166"/>
        <v>48274</v>
      </c>
      <c r="BN26" s="221">
        <f t="shared" ca="1" si="114"/>
        <v>0</v>
      </c>
      <c r="BO26" s="221">
        <f t="shared" ca="1" si="115"/>
        <v>0</v>
      </c>
      <c r="BP26" s="221">
        <f t="shared" ca="1" si="116"/>
        <v>0</v>
      </c>
      <c r="BQ26" s="221">
        <f t="shared" ca="1" si="117"/>
        <v>0</v>
      </c>
      <c r="BR26" s="221">
        <f t="shared" ca="1" si="118"/>
        <v>0</v>
      </c>
      <c r="BS26" s="221">
        <f t="shared" ca="1" si="119"/>
        <v>0</v>
      </c>
      <c r="BT26" s="221">
        <f t="shared" ca="1" si="120"/>
        <v>0</v>
      </c>
      <c r="BU26" s="221">
        <f t="shared" ca="1" si="121"/>
        <v>0</v>
      </c>
      <c r="BV26" s="221">
        <f t="shared" ca="1" si="122"/>
        <v>0</v>
      </c>
      <c r="BW26" s="221">
        <f t="shared" ca="1" si="123"/>
        <v>0</v>
      </c>
      <c r="BX26" s="221">
        <f t="shared" ca="1" si="124"/>
        <v>0</v>
      </c>
      <c r="BY26" s="221">
        <f t="shared" ca="1" si="125"/>
        <v>0</v>
      </c>
      <c r="BZ26" s="221">
        <f t="shared" si="126"/>
        <v>0</v>
      </c>
      <c r="CA26" s="221">
        <f t="shared" ca="1" si="127"/>
        <v>0</v>
      </c>
      <c r="CB26" s="221">
        <f t="shared" ca="1" si="128"/>
        <v>0</v>
      </c>
      <c r="CD26" s="75">
        <f t="shared" si="83"/>
        <v>48274</v>
      </c>
      <c r="CE26" s="340"/>
      <c r="CF26" s="343"/>
      <c r="CG26" s="343"/>
      <c r="CH26" s="343"/>
      <c r="CI26" s="343"/>
      <c r="CJ26" s="343"/>
      <c r="CK26" s="343"/>
      <c r="CL26" s="343"/>
      <c r="CM26" s="343"/>
      <c r="CN26" s="343"/>
      <c r="CO26" s="343"/>
      <c r="CP26" s="343"/>
      <c r="CQ26" s="236">
        <f t="shared" si="129"/>
        <v>0</v>
      </c>
      <c r="CS26" s="75">
        <f t="shared" si="130"/>
        <v>48274</v>
      </c>
      <c r="CT26" s="256">
        <f t="shared" si="131"/>
        <v>0</v>
      </c>
      <c r="CU26" s="256">
        <f>IF(HYPOTHETICAL_SCENARIO="Yes",IF((CU$10-SUM(CU$13:CU25))=CU$10,IF(CF26&lt;=0,0,ROUND(CF$47*ABSORPTION_SCENARIO,0)),MIN(CU$10-SUM(CU$13:CU25),ROUND(CF$47*ABSORPTION_SCENARIO,0))),CF26)</f>
        <v>0</v>
      </c>
      <c r="CV26" s="256">
        <f>IF(HYPOTHETICAL_SCENARIO="Yes",IF((CV$10-SUM(CV$13:CV25))=CV$10,IF(CG26&lt;=0,0,ROUND(CG$47*ABSORPTION_SCENARIO,0)),MIN(CV$10-SUM(CV$13:CV25),ROUND(CG$47*ABSORPTION_SCENARIO,0))),CG26)</f>
        <v>0</v>
      </c>
      <c r="CW26" s="256">
        <f>IF(HYPOTHETICAL_SCENARIO="Yes",IF((CW$10-SUM(CW$13:CW25))=CW$10,IF(CH26&lt;=0,0,ROUND(CH$47*ABSORPTION_SCENARIO,0)),MIN(CW$10-SUM(CW$13:CW25),ROUND(CH$47*ABSORPTION_SCENARIO,0))),CH26)</f>
        <v>0</v>
      </c>
      <c r="CX26" s="256">
        <f>IF(HYPOTHETICAL_SCENARIO="Yes",IF((CX$10-SUM(CX$13:CX25))=CX$10,IF(CI26&lt;=0,0,ROUND(CI$47*ABSORPTION_SCENARIO,0)),MIN(CX$10-SUM(CX$13:CX25),ROUND(CI$47*ABSORPTION_SCENARIO,0))),CI26)</f>
        <v>0</v>
      </c>
      <c r="CY26" s="256">
        <f>IF(HYPOTHETICAL_SCENARIO="Yes",IF((CY$10-SUM(CY$13:CY25))=CY$10,IF(CJ26&lt;=0,0,ROUND(CJ$47*ABSORPTION_SCENARIO,0)),MIN(CY$10-SUM(CY$13:CY25),ROUND(CJ$47*ABSORPTION_SCENARIO,0))),CJ26)</f>
        <v>0</v>
      </c>
      <c r="CZ26" s="256">
        <f>IF(HYPOTHETICAL_SCENARIO="Yes",IF((CZ$10-SUM(CZ$13:CZ25))=CZ$10,IF(CK26&lt;=0,0,ROUND(CK$47*ABSORPTION_SCENARIO,0)),MIN(CZ$10-SUM(CZ$13:CZ25),ROUND(CK$47*ABSORPTION_SCENARIO,0))),CK26)</f>
        <v>0</v>
      </c>
      <c r="DA26" s="256">
        <f>IF(HYPOTHETICAL_SCENARIO="Yes",IF((DA$10-SUM(DA$13:DA25))=DA$10,IF(CL26&lt;=0,0,ROUND(CL$47*ABSORPTION_SCENARIO,0)),MIN(DA$10-SUM(DA$13:DA25),ROUND(CL$47*ABSORPTION_SCENARIO,0))),CL26)</f>
        <v>0</v>
      </c>
      <c r="DB26" s="256">
        <f>IF(HYPOTHETICAL_SCENARIO="Yes",IF((DB$10-SUM(DB$13:DB25))=DB$10,IF(CM26&lt;=0,0,ROUND(CM$47*ABSORPTION_SCENARIO,0)),MIN(DB$10-SUM(DB$13:DB25),ROUND(CM$47*ABSORPTION_SCENARIO,0))),CM26)</f>
        <v>0</v>
      </c>
      <c r="DC26" s="256">
        <f>IF(HYPOTHETICAL_SCENARIO="Yes",IF((DC$10-SUM(DC$13:DC25))=DC$10,IF(CN26&lt;=0,0,ROUND(CN$47*ABSORPTION_SCENARIO,0)),MIN(DC$10-SUM(DC$13:DC25),ROUND(CN$47*ABSORPTION_SCENARIO,0))),CN26)</f>
        <v>0</v>
      </c>
      <c r="DD26" s="256">
        <f>IF(HYPOTHETICAL_SCENARIO="Yes",IF((DD$10-SUM(DD$13:DD25))=DD$10,IF(CO26&lt;=0,0,ROUND(CO$47*ABSORPTION_SCENARIO,0)),MIN(DD$10-SUM(DD$13:DD25),ROUND(CO$47*ABSORPTION_SCENARIO,0))),CO26)</f>
        <v>0</v>
      </c>
      <c r="DE26" s="256">
        <f>IF(HYPOTHETICAL_SCENARIO="Yes",IF((DE$10-SUM(DE$13:DE25))=DE$10,IF(CP26&lt;=0,0,ROUND(CP$47*ABSORPTION_SCENARIO,0)),MIN(DE$10-SUM(DE$13:DE25),ROUND(CP$47*ABSORPTION_SCENARIO,0))),CP26)</f>
        <v>0</v>
      </c>
      <c r="DF26" s="256">
        <f t="shared" si="132"/>
        <v>0</v>
      </c>
      <c r="DH26" s="75">
        <f t="shared" si="133"/>
        <v>48274</v>
      </c>
      <c r="DI26" s="75"/>
      <c r="DJ26" s="218">
        <f t="shared" si="178"/>
        <v>463156.47715694015</v>
      </c>
      <c r="DK26" s="218">
        <f t="shared" si="178"/>
        <v>500260.17284078343</v>
      </c>
      <c r="DL26" s="218">
        <f t="shared" si="178"/>
        <v>550221.58485071093</v>
      </c>
      <c r="DM26" s="218">
        <f t="shared" si="178"/>
        <v>623440.89555491519</v>
      </c>
      <c r="DN26" s="218">
        <f t="shared" si="178"/>
        <v>714141.63338226848</v>
      </c>
      <c r="DO26" s="218">
        <f t="shared" si="178"/>
        <v>805032.38672182988</v>
      </c>
      <c r="DP26" s="218">
        <f t="shared" si="178"/>
        <v>899169.87177998782</v>
      </c>
      <c r="DQ26" s="218">
        <f t="shared" si="178"/>
        <v>964091.83845110319</v>
      </c>
      <c r="DR26" s="218">
        <f t="shared" si="178"/>
        <v>0</v>
      </c>
      <c r="DS26" s="218">
        <f t="shared" si="178"/>
        <v>0</v>
      </c>
      <c r="DT26" s="218">
        <f t="shared" si="178"/>
        <v>0</v>
      </c>
      <c r="DW26" s="75">
        <f t="shared" si="144"/>
        <v>48274</v>
      </c>
      <c r="DX26" s="308"/>
      <c r="DY26" s="338"/>
      <c r="DZ26" s="221">
        <f t="shared" si="145"/>
        <v>0</v>
      </c>
      <c r="EA26" s="221">
        <f t="shared" si="146"/>
        <v>0</v>
      </c>
      <c r="EB26" s="221">
        <f t="shared" si="147"/>
        <v>0</v>
      </c>
      <c r="EC26" s="221">
        <f t="shared" si="148"/>
        <v>0</v>
      </c>
      <c r="ED26" s="221">
        <f t="shared" si="149"/>
        <v>0</v>
      </c>
      <c r="EE26" s="221">
        <f t="shared" si="150"/>
        <v>0</v>
      </c>
      <c r="EF26" s="221">
        <f t="shared" si="151"/>
        <v>0</v>
      </c>
      <c r="EG26" s="221">
        <f t="shared" si="152"/>
        <v>0</v>
      </c>
      <c r="EH26" s="221">
        <f t="shared" si="153"/>
        <v>0</v>
      </c>
      <c r="EI26" s="221">
        <f t="shared" si="154"/>
        <v>0</v>
      </c>
      <c r="EJ26" s="221">
        <f t="shared" si="155"/>
        <v>0</v>
      </c>
      <c r="EK26" s="221">
        <f t="shared" si="156"/>
        <v>0</v>
      </c>
      <c r="EL26" s="221">
        <f t="shared" si="157"/>
        <v>0</v>
      </c>
      <c r="EN26" s="75">
        <f t="shared" si="180"/>
        <v>48274</v>
      </c>
      <c r="EO26" s="308"/>
      <c r="EP26" s="338"/>
      <c r="EQ26" s="221">
        <f t="shared" ca="1" si="181"/>
        <v>0</v>
      </c>
      <c r="ER26" s="221">
        <f t="shared" ca="1" si="179"/>
        <v>0</v>
      </c>
      <c r="ES26" s="221">
        <f t="shared" ca="1" si="179"/>
        <v>0</v>
      </c>
      <c r="ET26" s="221">
        <f t="shared" ca="1" si="179"/>
        <v>0</v>
      </c>
      <c r="EU26" s="221">
        <f t="shared" ca="1" si="179"/>
        <v>0</v>
      </c>
      <c r="EV26" s="221">
        <f t="shared" ca="1" si="179"/>
        <v>0</v>
      </c>
      <c r="EW26" s="221">
        <f t="shared" ca="1" si="179"/>
        <v>0</v>
      </c>
      <c r="EX26" s="221">
        <f t="shared" ca="1" si="179"/>
        <v>0</v>
      </c>
      <c r="EY26" s="221">
        <f t="shared" ca="1" si="179"/>
        <v>0</v>
      </c>
      <c r="EZ26" s="221">
        <f t="shared" ca="1" si="179"/>
        <v>0</v>
      </c>
      <c r="FA26" s="221">
        <f t="shared" ca="1" si="179"/>
        <v>0</v>
      </c>
      <c r="FB26" s="221">
        <f t="shared" ca="1" si="179"/>
        <v>0</v>
      </c>
      <c r="FC26" s="221">
        <f t="shared" ca="1" si="179"/>
        <v>0</v>
      </c>
    </row>
    <row r="27" spans="4:159" x14ac:dyDescent="0.25">
      <c r="D27" s="75">
        <f t="shared" si="161"/>
        <v>48639</v>
      </c>
      <c r="E27" s="324"/>
      <c r="F27" s="341"/>
      <c r="G27" s="341"/>
      <c r="H27" s="341"/>
      <c r="I27" s="341"/>
      <c r="J27" s="341"/>
      <c r="K27" s="341"/>
      <c r="L27" s="341"/>
      <c r="M27" s="341"/>
      <c r="N27" s="341"/>
      <c r="O27" s="341"/>
      <c r="P27" s="341"/>
      <c r="Q27" s="256">
        <f t="shared" si="162"/>
        <v>0</v>
      </c>
      <c r="S27" s="271">
        <f t="shared" si="96"/>
        <v>48639</v>
      </c>
      <c r="T27" s="256">
        <f t="shared" si="60"/>
        <v>0</v>
      </c>
      <c r="U27" s="256">
        <f>IF(HYPOTHETICAL_SCENARIO="Yes",IF((U$10-SUM(U$13:U26))=U$10,IF(F27&lt;=0,0,ROUND(F$47*LOT_DELIVERY_SCENARIO,0)),MIN(U$10-SUM(U$13:U26),ROUND(F$47*LOT_DELIVERY_SCENARIO,0))),F27)</f>
        <v>0</v>
      </c>
      <c r="V27" s="256">
        <f>IF(HYPOTHETICAL_SCENARIO="Yes",IF((V$10-SUM(V$13:V26))=V$10,IF(G27&lt;=0,0,ROUND(G$47*LOT_DELIVERY_SCENARIO,0)),MIN(V$10-SUM(V$13:V26),ROUND(G$47*LOT_DELIVERY_SCENARIO,0))),G27)</f>
        <v>0</v>
      </c>
      <c r="W27" s="256">
        <f>IF(HYPOTHETICAL_SCENARIO="Yes",IF((W$10-SUM(W$13:W26))=W$10,IF(H27&lt;=0,0,ROUND(H$47*LOT_DELIVERY_SCENARIO,0)),MIN(W$10-SUM(W$13:W26),ROUND(H$47*LOT_DELIVERY_SCENARIO,0))),H27)</f>
        <v>0</v>
      </c>
      <c r="X27" s="256">
        <f>IF(HYPOTHETICAL_SCENARIO="Yes",IF((X$10-SUM(X$13:X26))=X$10,IF(I27&lt;=0,0,ROUND(I$47*LOT_DELIVERY_SCENARIO,0)),MIN(X$10-SUM(X$13:X26),ROUND(I$47*LOT_DELIVERY_SCENARIO,0))),I27)</f>
        <v>0</v>
      </c>
      <c r="Y27" s="256">
        <f>IF(HYPOTHETICAL_SCENARIO="Yes",IF((Y$10-SUM(Y$13:Y26))=Y$10,IF(J27&lt;=0,0,ROUND(J$47*LOT_DELIVERY_SCENARIO,0)),MIN(Y$10-SUM(Y$13:Y26),ROUND(J$47*LOT_DELIVERY_SCENARIO,0))),J27)</f>
        <v>0</v>
      </c>
      <c r="Z27" s="256">
        <f>IF(HYPOTHETICAL_SCENARIO="Yes",IF((Z$10-SUM(Z$13:Z26))=Z$10,IF(K27&lt;=0,0,ROUND(K$47*LOT_DELIVERY_SCENARIO,0)),MIN(Z$10-SUM(Z$13:Z26),ROUND(K$47*LOT_DELIVERY_SCENARIO,0))),K27)</f>
        <v>0</v>
      </c>
      <c r="AA27" s="256">
        <f>IF(HYPOTHETICAL_SCENARIO="Yes",IF((AA$10-SUM(AA$13:AA26))=AA$10,IF(L27&lt;=0,0,ROUND(L$47*LOT_DELIVERY_SCENARIO,0)),MIN(AA$10-SUM(AA$13:AA26),ROUND(L$47*LOT_DELIVERY_SCENARIO,0))),L27)</f>
        <v>0</v>
      </c>
      <c r="AB27" s="256">
        <f>IF(HYPOTHETICAL_SCENARIO="Yes",IF((AB$10-SUM(AB$13:AB26))=AB$10,IF(M27&lt;=0,0,ROUND(M$47*LOT_DELIVERY_SCENARIO,0)),MIN(AB$10-SUM(AB$13:AB26),ROUND(M$47*LOT_DELIVERY_SCENARIO,0))),M27)</f>
        <v>0</v>
      </c>
      <c r="AC27" s="256">
        <f>IF(HYPOTHETICAL_SCENARIO="Yes",IF((AC$10-SUM(AC$13:AC26))=AC$10,IF(N27&lt;=0,0,ROUND(N$47*LOT_DELIVERY_SCENARIO,0)),MIN(AC$10-SUM(AC$13:AC26),ROUND(N$47*LOT_DELIVERY_SCENARIO,0))),N27)</f>
        <v>0</v>
      </c>
      <c r="AD27" s="256">
        <f>IF(HYPOTHETICAL_SCENARIO="Yes",IF((AD$10-SUM(AD$13:AD26))=AD$10,IF(O27&lt;=0,0,ROUND(O$47*LOT_DELIVERY_SCENARIO,0)),MIN(AD$10-SUM(AD$13:AD26),ROUND(O$47*LOT_DELIVERY_SCENARIO,0))),O27)</f>
        <v>0</v>
      </c>
      <c r="AE27" s="256">
        <f>IF(HYPOTHETICAL_SCENARIO="Yes",IF((AE$10-SUM(AE$13:AE26))=AE$10,IF(P27&lt;=0,0,ROUND(P$47*LOT_DELIVERY_SCENARIO,0)),MIN(AE$10-SUM(AE$13:AE26),ROUND(P$47*LOT_DELIVERY_SCENARIO,0))),P27)</f>
        <v>0</v>
      </c>
      <c r="AF27" s="256">
        <f t="shared" si="97"/>
        <v>0</v>
      </c>
      <c r="AH27" s="75">
        <f t="shared" si="163"/>
        <v>48639</v>
      </c>
      <c r="AI27" s="221"/>
      <c r="AJ27" s="221">
        <f>(SUM(F$17:F27)-SUM(CF$17:CF27))*AJ$11</f>
        <v>0</v>
      </c>
      <c r="AK27" s="221">
        <f>(SUM(G$17:G27)-SUM(CG$17:CG27))*AK$11</f>
        <v>0</v>
      </c>
      <c r="AL27" s="221">
        <f>(SUM(H$17:H27)-SUM(CH$17:CH27))*AL$11</f>
        <v>0</v>
      </c>
      <c r="AM27" s="221">
        <f>(SUM(I$17:I27)-SUM(CI$17:CI27))*AM$11</f>
        <v>0</v>
      </c>
      <c r="AN27" s="221">
        <f>(SUM(J$17:J27)-SUM(CJ$17:CJ27))*AN$11</f>
        <v>0</v>
      </c>
      <c r="AO27" s="221">
        <f>(SUM(K$17:K27)-SUM(CK$17:CK27))*AO$11</f>
        <v>0</v>
      </c>
      <c r="AP27" s="221">
        <f>(SUM(L$17:L27)-SUM(CL$17:CL27))*AP$11</f>
        <v>0</v>
      </c>
      <c r="AQ27" s="221">
        <f>(SUM(M$17:M27)-SUM(CM$17:CM27))*AQ$11</f>
        <v>0</v>
      </c>
      <c r="AR27" s="221">
        <f>(SUM(N$17:N27)-SUM(CN$17:CN27))*AR$11</f>
        <v>0</v>
      </c>
      <c r="AS27" s="221">
        <f>(SUM(O$17:O27)-SUM(CO$17:CO27))*AS$11</f>
        <v>0</v>
      </c>
      <c r="AT27" s="221">
        <f>(SUM(P$17:P27)-SUM(CP$17:CP27))*AT$11</f>
        <v>0</v>
      </c>
      <c r="AU27" s="221">
        <f t="shared" si="109"/>
        <v>0</v>
      </c>
      <c r="AW27" s="75">
        <f t="shared" si="164"/>
        <v>48639</v>
      </c>
      <c r="AX27" s="221">
        <f t="shared" si="165"/>
        <v>0</v>
      </c>
      <c r="AY27" s="221">
        <f t="shared" ca="1" si="110"/>
        <v>0</v>
      </c>
      <c r="AZ27" s="221">
        <f t="shared" ca="1" si="71"/>
        <v>0</v>
      </c>
      <c r="BA27" s="221">
        <f t="shared" ca="1" si="72"/>
        <v>0</v>
      </c>
      <c r="BB27" s="221">
        <f t="shared" ca="1" si="73"/>
        <v>0</v>
      </c>
      <c r="BC27" s="221">
        <f t="shared" ca="1" si="74"/>
        <v>0</v>
      </c>
      <c r="BD27" s="221">
        <f t="shared" ca="1" si="75"/>
        <v>0</v>
      </c>
      <c r="BE27" s="221">
        <f t="shared" ca="1" si="76"/>
        <v>0</v>
      </c>
      <c r="BF27" s="221">
        <f t="shared" ca="1" si="77"/>
        <v>0</v>
      </c>
      <c r="BG27" s="221">
        <f t="shared" ca="1" si="78"/>
        <v>0</v>
      </c>
      <c r="BH27" s="221">
        <f t="shared" ca="1" si="111"/>
        <v>0</v>
      </c>
      <c r="BI27" s="221">
        <f t="shared" ca="1" si="112"/>
        <v>0</v>
      </c>
      <c r="BJ27" s="221"/>
      <c r="BK27" s="221">
        <f t="shared" ca="1" si="113"/>
        <v>0</v>
      </c>
      <c r="BM27" s="75">
        <f t="shared" si="166"/>
        <v>48639</v>
      </c>
      <c r="BN27" s="221">
        <f t="shared" ca="1" si="114"/>
        <v>0</v>
      </c>
      <c r="BO27" s="221">
        <f t="shared" ca="1" si="115"/>
        <v>0</v>
      </c>
      <c r="BP27" s="221">
        <f t="shared" ca="1" si="116"/>
        <v>0</v>
      </c>
      <c r="BQ27" s="221">
        <f t="shared" ca="1" si="117"/>
        <v>0</v>
      </c>
      <c r="BR27" s="221">
        <f t="shared" ca="1" si="118"/>
        <v>0</v>
      </c>
      <c r="BS27" s="221">
        <f t="shared" ca="1" si="119"/>
        <v>0</v>
      </c>
      <c r="BT27" s="221">
        <f t="shared" ca="1" si="120"/>
        <v>0</v>
      </c>
      <c r="BU27" s="221">
        <f t="shared" ca="1" si="121"/>
        <v>0</v>
      </c>
      <c r="BV27" s="221">
        <f t="shared" ca="1" si="122"/>
        <v>0</v>
      </c>
      <c r="BW27" s="221">
        <f t="shared" ca="1" si="123"/>
        <v>0</v>
      </c>
      <c r="BX27" s="221">
        <f t="shared" ca="1" si="124"/>
        <v>0</v>
      </c>
      <c r="BY27" s="221">
        <f t="shared" ca="1" si="125"/>
        <v>0</v>
      </c>
      <c r="BZ27" s="221">
        <f t="shared" si="126"/>
        <v>0</v>
      </c>
      <c r="CA27" s="221">
        <f t="shared" ca="1" si="127"/>
        <v>0</v>
      </c>
      <c r="CB27" s="221">
        <f t="shared" ca="1" si="128"/>
        <v>0</v>
      </c>
      <c r="CD27" s="75">
        <f t="shared" si="83"/>
        <v>48639</v>
      </c>
      <c r="CE27" s="340"/>
      <c r="CF27" s="343"/>
      <c r="CG27" s="343"/>
      <c r="CH27" s="343"/>
      <c r="CI27" s="343"/>
      <c r="CJ27" s="343"/>
      <c r="CK27" s="343"/>
      <c r="CL27" s="343"/>
      <c r="CM27" s="343"/>
      <c r="CN27" s="343"/>
      <c r="CO27" s="343"/>
      <c r="CP27" s="343"/>
      <c r="CQ27" s="236">
        <f t="shared" si="129"/>
        <v>0</v>
      </c>
      <c r="CS27" s="75">
        <f t="shared" si="130"/>
        <v>48639</v>
      </c>
      <c r="CT27" s="256">
        <f t="shared" si="131"/>
        <v>0</v>
      </c>
      <c r="CU27" s="256">
        <f>IF(HYPOTHETICAL_SCENARIO="Yes",IF((CU$10-SUM(CU$13:CU26))=CU$10,IF(CF27&lt;=0,0,ROUND(CF$47*ABSORPTION_SCENARIO,0)),MIN(CU$10-SUM(CU$13:CU26),ROUND(CF$47*ABSORPTION_SCENARIO,0))),CF27)</f>
        <v>0</v>
      </c>
      <c r="CV27" s="256">
        <f>IF(HYPOTHETICAL_SCENARIO="Yes",IF((CV$10-SUM(CV$13:CV26))=CV$10,IF(CG27&lt;=0,0,ROUND(CG$47*ABSORPTION_SCENARIO,0)),MIN(CV$10-SUM(CV$13:CV26),ROUND(CG$47*ABSORPTION_SCENARIO,0))),CG27)</f>
        <v>0</v>
      </c>
      <c r="CW27" s="256">
        <f>IF(HYPOTHETICAL_SCENARIO="Yes",IF((CW$10-SUM(CW$13:CW26))=CW$10,IF(CH27&lt;=0,0,ROUND(CH$47*ABSORPTION_SCENARIO,0)),MIN(CW$10-SUM(CW$13:CW26),ROUND(CH$47*ABSORPTION_SCENARIO,0))),CH27)</f>
        <v>0</v>
      </c>
      <c r="CX27" s="256">
        <f>IF(HYPOTHETICAL_SCENARIO="Yes",IF((CX$10-SUM(CX$13:CX26))=CX$10,IF(CI27&lt;=0,0,ROUND(CI$47*ABSORPTION_SCENARIO,0)),MIN(CX$10-SUM(CX$13:CX26),ROUND(CI$47*ABSORPTION_SCENARIO,0))),CI27)</f>
        <v>0</v>
      </c>
      <c r="CY27" s="256">
        <f>IF(HYPOTHETICAL_SCENARIO="Yes",IF((CY$10-SUM(CY$13:CY26))=CY$10,IF(CJ27&lt;=0,0,ROUND(CJ$47*ABSORPTION_SCENARIO,0)),MIN(CY$10-SUM(CY$13:CY26),ROUND(CJ$47*ABSORPTION_SCENARIO,0))),CJ27)</f>
        <v>0</v>
      </c>
      <c r="CZ27" s="256">
        <f>IF(HYPOTHETICAL_SCENARIO="Yes",IF((CZ$10-SUM(CZ$13:CZ26))=CZ$10,IF(CK27&lt;=0,0,ROUND(CK$47*ABSORPTION_SCENARIO,0)),MIN(CZ$10-SUM(CZ$13:CZ26),ROUND(CK$47*ABSORPTION_SCENARIO,0))),CK27)</f>
        <v>0</v>
      </c>
      <c r="DA27" s="256">
        <f>IF(HYPOTHETICAL_SCENARIO="Yes",IF((DA$10-SUM(DA$13:DA26))=DA$10,IF(CL27&lt;=0,0,ROUND(CL$47*ABSORPTION_SCENARIO,0)),MIN(DA$10-SUM(DA$13:DA26),ROUND(CL$47*ABSORPTION_SCENARIO,0))),CL27)</f>
        <v>0</v>
      </c>
      <c r="DB27" s="256">
        <f>IF(HYPOTHETICAL_SCENARIO="Yes",IF((DB$10-SUM(DB$13:DB26))=DB$10,IF(CM27&lt;=0,0,ROUND(CM$47*ABSORPTION_SCENARIO,0)),MIN(DB$10-SUM(DB$13:DB26),ROUND(CM$47*ABSORPTION_SCENARIO,0))),CM27)</f>
        <v>0</v>
      </c>
      <c r="DC27" s="256">
        <f>IF(HYPOTHETICAL_SCENARIO="Yes",IF((DC$10-SUM(DC$13:DC26))=DC$10,IF(CN27&lt;=0,0,ROUND(CN$47*ABSORPTION_SCENARIO,0)),MIN(DC$10-SUM(DC$13:DC26),ROUND(CN$47*ABSORPTION_SCENARIO,0))),CN27)</f>
        <v>0</v>
      </c>
      <c r="DD27" s="256">
        <f>IF(HYPOTHETICAL_SCENARIO="Yes",IF((DD$10-SUM(DD$13:DD26))=DD$10,IF(CO27&lt;=0,0,ROUND(CO$47*ABSORPTION_SCENARIO,0)),MIN(DD$10-SUM(DD$13:DD26),ROUND(CO$47*ABSORPTION_SCENARIO,0))),CO27)</f>
        <v>0</v>
      </c>
      <c r="DE27" s="256">
        <f>IF(HYPOTHETICAL_SCENARIO="Yes",IF((DE$10-SUM(DE$13:DE26))=DE$10,IF(CP27&lt;=0,0,ROUND(CP$47*ABSORPTION_SCENARIO,0)),MIN(DE$10-SUM(DE$13:DE26),ROUND(CP$47*ABSORPTION_SCENARIO,0))),CP27)</f>
        <v>0</v>
      </c>
      <c r="DF27" s="256">
        <f t="shared" si="132"/>
        <v>0</v>
      </c>
      <c r="DH27" s="75">
        <f t="shared" si="133"/>
        <v>48639</v>
      </c>
      <c r="DI27" s="75"/>
      <c r="DJ27" s="218">
        <f t="shared" ref="DJ27:DT38" si="182">MAX(DJ$11,IF(YEAR(RESID_DELIVERY_YEAR)=YEAR($DH27),DJ$11,DJ$11*((1+DJ$10)^(((YEAR($DH27)-YEAR(RESID_DELIVERY_YEAR)))))))</f>
        <v>477051.17147164838</v>
      </c>
      <c r="DK27" s="218">
        <f t="shared" si="182"/>
        <v>515267.97802600695</v>
      </c>
      <c r="DL27" s="218">
        <f t="shared" si="182"/>
        <v>566728.23239623231</v>
      </c>
      <c r="DM27" s="218">
        <f t="shared" si="182"/>
        <v>642144.12242156267</v>
      </c>
      <c r="DN27" s="218">
        <f t="shared" si="182"/>
        <v>735565.88238373655</v>
      </c>
      <c r="DO27" s="218">
        <f t="shared" si="182"/>
        <v>829183.35832348489</v>
      </c>
      <c r="DP27" s="218">
        <f t="shared" si="182"/>
        <v>926144.9679333875</v>
      </c>
      <c r="DQ27" s="218">
        <f t="shared" si="182"/>
        <v>993014.59360463626</v>
      </c>
      <c r="DR27" s="218">
        <f t="shared" si="182"/>
        <v>0</v>
      </c>
      <c r="DS27" s="218">
        <f t="shared" si="182"/>
        <v>0</v>
      </c>
      <c r="DT27" s="218">
        <f t="shared" si="182"/>
        <v>0</v>
      </c>
      <c r="DW27" s="75">
        <f t="shared" si="144"/>
        <v>48639</v>
      </c>
      <c r="DX27" s="308"/>
      <c r="DY27" s="338"/>
      <c r="DZ27" s="221">
        <f t="shared" si="145"/>
        <v>0</v>
      </c>
      <c r="EA27" s="221">
        <f t="shared" si="146"/>
        <v>0</v>
      </c>
      <c r="EB27" s="221">
        <f t="shared" si="147"/>
        <v>0</v>
      </c>
      <c r="EC27" s="221">
        <f t="shared" si="148"/>
        <v>0</v>
      </c>
      <c r="ED27" s="221">
        <f t="shared" si="149"/>
        <v>0</v>
      </c>
      <c r="EE27" s="221">
        <f t="shared" si="150"/>
        <v>0</v>
      </c>
      <c r="EF27" s="221">
        <f t="shared" si="151"/>
        <v>0</v>
      </c>
      <c r="EG27" s="221">
        <f t="shared" si="152"/>
        <v>0</v>
      </c>
      <c r="EH27" s="221">
        <f t="shared" si="153"/>
        <v>0</v>
      </c>
      <c r="EI27" s="221">
        <f t="shared" si="154"/>
        <v>0</v>
      </c>
      <c r="EJ27" s="221">
        <f t="shared" si="155"/>
        <v>0</v>
      </c>
      <c r="EK27" s="221">
        <f t="shared" si="156"/>
        <v>0</v>
      </c>
      <c r="EL27" s="221">
        <f t="shared" si="157"/>
        <v>0</v>
      </c>
      <c r="EN27" s="75">
        <f t="shared" si="180"/>
        <v>48639</v>
      </c>
      <c r="EO27" s="308"/>
      <c r="EP27" s="338"/>
      <c r="EQ27" s="221">
        <f t="shared" ca="1" si="181"/>
        <v>0</v>
      </c>
      <c r="ER27" s="221">
        <f t="shared" ca="1" si="179"/>
        <v>0</v>
      </c>
      <c r="ES27" s="221">
        <f t="shared" ca="1" si="179"/>
        <v>0</v>
      </c>
      <c r="ET27" s="221">
        <f t="shared" ca="1" si="179"/>
        <v>0</v>
      </c>
      <c r="EU27" s="221">
        <f t="shared" ca="1" si="179"/>
        <v>0</v>
      </c>
      <c r="EV27" s="221">
        <f t="shared" ca="1" si="179"/>
        <v>0</v>
      </c>
      <c r="EW27" s="221">
        <f t="shared" ca="1" si="179"/>
        <v>0</v>
      </c>
      <c r="EX27" s="221">
        <f t="shared" ca="1" si="179"/>
        <v>0</v>
      </c>
      <c r="EY27" s="221">
        <f t="shared" ca="1" si="179"/>
        <v>0</v>
      </c>
      <c r="EZ27" s="221">
        <f t="shared" ca="1" si="179"/>
        <v>0</v>
      </c>
      <c r="FA27" s="221">
        <f t="shared" ca="1" si="179"/>
        <v>0</v>
      </c>
      <c r="FB27" s="221">
        <f t="shared" ca="1" si="179"/>
        <v>0</v>
      </c>
      <c r="FC27" s="221">
        <f t="shared" ca="1" si="179"/>
        <v>0</v>
      </c>
    </row>
    <row r="28" spans="4:159" x14ac:dyDescent="0.25">
      <c r="D28" s="75">
        <f t="shared" si="161"/>
        <v>49004</v>
      </c>
      <c r="E28" s="324"/>
      <c r="F28" s="341"/>
      <c r="G28" s="341"/>
      <c r="H28" s="341"/>
      <c r="I28" s="341"/>
      <c r="J28" s="341"/>
      <c r="K28" s="341"/>
      <c r="L28" s="341"/>
      <c r="M28" s="341"/>
      <c r="N28" s="341"/>
      <c r="O28" s="341"/>
      <c r="P28" s="341"/>
      <c r="Q28" s="256">
        <f t="shared" si="162"/>
        <v>0</v>
      </c>
      <c r="S28" s="271">
        <f t="shared" si="96"/>
        <v>49004</v>
      </c>
      <c r="T28" s="256">
        <f t="shared" si="60"/>
        <v>0</v>
      </c>
      <c r="U28" s="256">
        <f>IF(HYPOTHETICAL_SCENARIO="Yes",IF((U$10-SUM(U$13:U27))=U$10,IF(F28&lt;=0,0,ROUND(F$47*LOT_DELIVERY_SCENARIO,0)),MIN(U$10-SUM(U$13:U27),ROUND(F$47*LOT_DELIVERY_SCENARIO,0))),F28)</f>
        <v>0</v>
      </c>
      <c r="V28" s="256">
        <f>IF(HYPOTHETICAL_SCENARIO="Yes",IF((V$10-SUM(V$13:V27))=V$10,IF(G28&lt;=0,0,ROUND(G$47*LOT_DELIVERY_SCENARIO,0)),MIN(V$10-SUM(V$13:V27),ROUND(G$47*LOT_DELIVERY_SCENARIO,0))),G28)</f>
        <v>0</v>
      </c>
      <c r="W28" s="256">
        <f>IF(HYPOTHETICAL_SCENARIO="Yes",IF((W$10-SUM(W$13:W27))=W$10,IF(H28&lt;=0,0,ROUND(H$47*LOT_DELIVERY_SCENARIO,0)),MIN(W$10-SUM(W$13:W27),ROUND(H$47*LOT_DELIVERY_SCENARIO,0))),H28)</f>
        <v>0</v>
      </c>
      <c r="X28" s="256">
        <f>IF(HYPOTHETICAL_SCENARIO="Yes",IF((X$10-SUM(X$13:X27))=X$10,IF(I28&lt;=0,0,ROUND(I$47*LOT_DELIVERY_SCENARIO,0)),MIN(X$10-SUM(X$13:X27),ROUND(I$47*LOT_DELIVERY_SCENARIO,0))),I28)</f>
        <v>0</v>
      </c>
      <c r="Y28" s="256">
        <f>IF(HYPOTHETICAL_SCENARIO="Yes",IF((Y$10-SUM(Y$13:Y27))=Y$10,IF(J28&lt;=0,0,ROUND(J$47*LOT_DELIVERY_SCENARIO,0)),MIN(Y$10-SUM(Y$13:Y27),ROUND(J$47*LOT_DELIVERY_SCENARIO,0))),J28)</f>
        <v>0</v>
      </c>
      <c r="Z28" s="256">
        <f>IF(HYPOTHETICAL_SCENARIO="Yes",IF((Z$10-SUM(Z$13:Z27))=Z$10,IF(K28&lt;=0,0,ROUND(K$47*LOT_DELIVERY_SCENARIO,0)),MIN(Z$10-SUM(Z$13:Z27),ROUND(K$47*LOT_DELIVERY_SCENARIO,0))),K28)</f>
        <v>0</v>
      </c>
      <c r="AA28" s="256">
        <f>IF(HYPOTHETICAL_SCENARIO="Yes",IF((AA$10-SUM(AA$13:AA27))=AA$10,IF(L28&lt;=0,0,ROUND(L$47*LOT_DELIVERY_SCENARIO,0)),MIN(AA$10-SUM(AA$13:AA27),ROUND(L$47*LOT_DELIVERY_SCENARIO,0))),L28)</f>
        <v>0</v>
      </c>
      <c r="AB28" s="256">
        <f>IF(HYPOTHETICAL_SCENARIO="Yes",IF((AB$10-SUM(AB$13:AB27))=AB$10,IF(M28&lt;=0,0,ROUND(M$47*LOT_DELIVERY_SCENARIO,0)),MIN(AB$10-SUM(AB$13:AB27),ROUND(M$47*LOT_DELIVERY_SCENARIO,0))),M28)</f>
        <v>0</v>
      </c>
      <c r="AC28" s="256">
        <f>IF(HYPOTHETICAL_SCENARIO="Yes",IF((AC$10-SUM(AC$13:AC27))=AC$10,IF(N28&lt;=0,0,ROUND(N$47*LOT_DELIVERY_SCENARIO,0)),MIN(AC$10-SUM(AC$13:AC27),ROUND(N$47*LOT_DELIVERY_SCENARIO,0))),N28)</f>
        <v>0</v>
      </c>
      <c r="AD28" s="256">
        <f>IF(HYPOTHETICAL_SCENARIO="Yes",IF((AD$10-SUM(AD$13:AD27))=AD$10,IF(O28&lt;=0,0,ROUND(O$47*LOT_DELIVERY_SCENARIO,0)),MIN(AD$10-SUM(AD$13:AD27),ROUND(O$47*LOT_DELIVERY_SCENARIO,0))),O28)</f>
        <v>0</v>
      </c>
      <c r="AE28" s="256">
        <f>IF(HYPOTHETICAL_SCENARIO="Yes",IF((AE$10-SUM(AE$13:AE27))=AE$10,IF(P28&lt;=0,0,ROUND(P$47*LOT_DELIVERY_SCENARIO,0)),MIN(AE$10-SUM(AE$13:AE27),ROUND(P$47*LOT_DELIVERY_SCENARIO,0))),P28)</f>
        <v>0</v>
      </c>
      <c r="AF28" s="256">
        <f t="shared" si="97"/>
        <v>0</v>
      </c>
      <c r="AH28" s="75">
        <f t="shared" si="163"/>
        <v>49004</v>
      </c>
      <c r="AI28" s="221"/>
      <c r="AJ28" s="221">
        <f>(SUM(F$17:F28)-SUM(CF$17:CF28))*AJ$11</f>
        <v>0</v>
      </c>
      <c r="AK28" s="221">
        <f>(SUM(G$17:G28)-SUM(CG$17:CG28))*AK$11</f>
        <v>0</v>
      </c>
      <c r="AL28" s="221">
        <f>(SUM(H$17:H28)-SUM(CH$17:CH28))*AL$11</f>
        <v>0</v>
      </c>
      <c r="AM28" s="221">
        <f>(SUM(I$17:I28)-SUM(CI$17:CI28))*AM$11</f>
        <v>0</v>
      </c>
      <c r="AN28" s="221">
        <f>(SUM(J$17:J28)-SUM(CJ$17:CJ28))*AN$11</f>
        <v>0</v>
      </c>
      <c r="AO28" s="221">
        <f>(SUM(K$17:K28)-SUM(CK$17:CK28))*AO$11</f>
        <v>0</v>
      </c>
      <c r="AP28" s="221">
        <f>(SUM(L$17:L28)-SUM(CL$17:CL28))*AP$11</f>
        <v>0</v>
      </c>
      <c r="AQ28" s="221">
        <f>(SUM(M$17:M28)-SUM(CM$17:CM28))*AQ$11</f>
        <v>0</v>
      </c>
      <c r="AR28" s="221">
        <f>(SUM(N$17:N28)-SUM(CN$17:CN28))*AR$11</f>
        <v>0</v>
      </c>
      <c r="AS28" s="221">
        <f>(SUM(O$17:O28)-SUM(CO$17:CO28))*AS$11</f>
        <v>0</v>
      </c>
      <c r="AT28" s="221">
        <f>(SUM(P$17:P28)-SUM(CP$17:CP28))*AT$11</f>
        <v>0</v>
      </c>
      <c r="AU28" s="221">
        <f t="shared" si="109"/>
        <v>0</v>
      </c>
      <c r="AW28" s="75">
        <f t="shared" si="164"/>
        <v>49004</v>
      </c>
      <c r="AX28" s="221">
        <f t="shared" si="165"/>
        <v>0</v>
      </c>
      <c r="AY28" s="221">
        <f t="shared" ca="1" si="110"/>
        <v>0</v>
      </c>
      <c r="AZ28" s="221">
        <f t="shared" ca="1" si="71"/>
        <v>0</v>
      </c>
      <c r="BA28" s="221">
        <f t="shared" ca="1" si="72"/>
        <v>0</v>
      </c>
      <c r="BB28" s="221">
        <f t="shared" ca="1" si="73"/>
        <v>0</v>
      </c>
      <c r="BC28" s="221">
        <f t="shared" ca="1" si="74"/>
        <v>0</v>
      </c>
      <c r="BD28" s="221">
        <f t="shared" ca="1" si="75"/>
        <v>0</v>
      </c>
      <c r="BE28" s="221">
        <f t="shared" ca="1" si="76"/>
        <v>0</v>
      </c>
      <c r="BF28" s="221">
        <f t="shared" ca="1" si="77"/>
        <v>0</v>
      </c>
      <c r="BG28" s="221">
        <f t="shared" ca="1" si="78"/>
        <v>0</v>
      </c>
      <c r="BH28" s="221">
        <f t="shared" ca="1" si="111"/>
        <v>0</v>
      </c>
      <c r="BI28" s="221">
        <f t="shared" ca="1" si="112"/>
        <v>0</v>
      </c>
      <c r="BJ28" s="221"/>
      <c r="BK28" s="221">
        <f t="shared" ca="1" si="113"/>
        <v>0</v>
      </c>
      <c r="BM28" s="75">
        <f t="shared" si="166"/>
        <v>49004</v>
      </c>
      <c r="BN28" s="221">
        <f t="shared" ca="1" si="114"/>
        <v>0</v>
      </c>
      <c r="BO28" s="221">
        <f t="shared" ca="1" si="115"/>
        <v>0</v>
      </c>
      <c r="BP28" s="221">
        <f t="shared" ca="1" si="116"/>
        <v>0</v>
      </c>
      <c r="BQ28" s="221">
        <f t="shared" ca="1" si="117"/>
        <v>0</v>
      </c>
      <c r="BR28" s="221">
        <f t="shared" ca="1" si="118"/>
        <v>0</v>
      </c>
      <c r="BS28" s="221">
        <f t="shared" ca="1" si="119"/>
        <v>0</v>
      </c>
      <c r="BT28" s="221">
        <f t="shared" ca="1" si="120"/>
        <v>0</v>
      </c>
      <c r="BU28" s="221">
        <f t="shared" ca="1" si="121"/>
        <v>0</v>
      </c>
      <c r="BV28" s="221">
        <f t="shared" ca="1" si="122"/>
        <v>0</v>
      </c>
      <c r="BW28" s="221">
        <f t="shared" ca="1" si="123"/>
        <v>0</v>
      </c>
      <c r="BX28" s="221">
        <f t="shared" ca="1" si="124"/>
        <v>0</v>
      </c>
      <c r="BY28" s="221">
        <f t="shared" ca="1" si="125"/>
        <v>0</v>
      </c>
      <c r="BZ28" s="221">
        <f>BJ28</f>
        <v>0</v>
      </c>
      <c r="CA28" s="221">
        <f t="shared" ca="1" si="127"/>
        <v>0</v>
      </c>
      <c r="CB28" s="221">
        <f t="shared" ca="1" si="128"/>
        <v>0</v>
      </c>
      <c r="CD28" s="75">
        <f t="shared" si="83"/>
        <v>49004</v>
      </c>
      <c r="CE28" s="340"/>
      <c r="CF28" s="343"/>
      <c r="CG28" s="343"/>
      <c r="CH28" s="343"/>
      <c r="CI28" s="343"/>
      <c r="CJ28" s="343"/>
      <c r="CK28" s="343"/>
      <c r="CL28" s="343"/>
      <c r="CM28" s="343"/>
      <c r="CN28" s="343"/>
      <c r="CO28" s="343"/>
      <c r="CP28" s="343"/>
      <c r="CQ28" s="236">
        <f t="shared" si="129"/>
        <v>0</v>
      </c>
      <c r="CS28" s="75">
        <f t="shared" si="130"/>
        <v>49004</v>
      </c>
      <c r="CT28" s="256">
        <f t="shared" si="131"/>
        <v>0</v>
      </c>
      <c r="CU28" s="256">
        <f>IF(HYPOTHETICAL_SCENARIO="Yes",IF((CU$10-SUM(CU$13:CU27))=CU$10,IF(CF28&lt;=0,0,ROUND(CF$47*ABSORPTION_SCENARIO,0)),MIN(CU$10-SUM(CU$13:CU27),ROUND(CF$47*ABSORPTION_SCENARIO,0))),CF28)</f>
        <v>0</v>
      </c>
      <c r="CV28" s="256">
        <f>IF(HYPOTHETICAL_SCENARIO="Yes",IF((CV$10-SUM(CV$13:CV27))=CV$10,IF(CG28&lt;=0,0,ROUND(CG$47*ABSORPTION_SCENARIO,0)),MIN(CV$10-SUM(CV$13:CV27),ROUND(CG$47*ABSORPTION_SCENARIO,0))),CG28)</f>
        <v>0</v>
      </c>
      <c r="CW28" s="256">
        <f>IF(HYPOTHETICAL_SCENARIO="Yes",IF((CW$10-SUM(CW$13:CW27))=CW$10,IF(CH28&lt;=0,0,ROUND(CH$47*ABSORPTION_SCENARIO,0)),MIN(CW$10-SUM(CW$13:CW27),ROUND(CH$47*ABSORPTION_SCENARIO,0))),CH28)</f>
        <v>0</v>
      </c>
      <c r="CX28" s="256">
        <f>IF(HYPOTHETICAL_SCENARIO="Yes",IF((CX$10-SUM(CX$13:CX27))=CX$10,IF(CI28&lt;=0,0,ROUND(CI$47*ABSORPTION_SCENARIO,0)),MIN(CX$10-SUM(CX$13:CX27),ROUND(CI$47*ABSORPTION_SCENARIO,0))),CI28)</f>
        <v>0</v>
      </c>
      <c r="CY28" s="256">
        <f>IF(HYPOTHETICAL_SCENARIO="Yes",IF((CY$10-SUM(CY$13:CY27))=CY$10,IF(CJ28&lt;=0,0,ROUND(CJ$47*ABSORPTION_SCENARIO,0)),MIN(CY$10-SUM(CY$13:CY27),ROUND(CJ$47*ABSORPTION_SCENARIO,0))),CJ28)</f>
        <v>0</v>
      </c>
      <c r="CZ28" s="256">
        <f>IF(HYPOTHETICAL_SCENARIO="Yes",IF((CZ$10-SUM(CZ$13:CZ27))=CZ$10,IF(CK28&lt;=0,0,ROUND(CK$47*ABSORPTION_SCENARIO,0)),MIN(CZ$10-SUM(CZ$13:CZ27),ROUND(CK$47*ABSORPTION_SCENARIO,0))),CK28)</f>
        <v>0</v>
      </c>
      <c r="DA28" s="256">
        <f>IF(HYPOTHETICAL_SCENARIO="Yes",IF((DA$10-SUM(DA$13:DA27))=DA$10,IF(CL28&lt;=0,0,ROUND(CL$47*ABSORPTION_SCENARIO,0)),MIN(DA$10-SUM(DA$13:DA27),ROUND(CL$47*ABSORPTION_SCENARIO,0))),CL28)</f>
        <v>0</v>
      </c>
      <c r="DB28" s="256">
        <f>IF(HYPOTHETICAL_SCENARIO="Yes",IF((DB$10-SUM(DB$13:DB27))=DB$10,IF(CM28&lt;=0,0,ROUND(CM$47*ABSORPTION_SCENARIO,0)),MIN(DB$10-SUM(DB$13:DB27),ROUND(CM$47*ABSORPTION_SCENARIO,0))),CM28)</f>
        <v>0</v>
      </c>
      <c r="DC28" s="256">
        <f>IF(HYPOTHETICAL_SCENARIO="Yes",IF((DC$10-SUM(DC$13:DC27))=DC$10,IF(CN28&lt;=0,0,ROUND(CN$47*ABSORPTION_SCENARIO,0)),MIN(DC$10-SUM(DC$13:DC27),ROUND(CN$47*ABSORPTION_SCENARIO,0))),CN28)</f>
        <v>0</v>
      </c>
      <c r="DD28" s="256">
        <f>IF(HYPOTHETICAL_SCENARIO="Yes",IF((DD$10-SUM(DD$13:DD27))=DD$10,IF(CO28&lt;=0,0,ROUND(CO$47*ABSORPTION_SCENARIO,0)),MIN(DD$10-SUM(DD$13:DD27),ROUND(CO$47*ABSORPTION_SCENARIO,0))),CO28)</f>
        <v>0</v>
      </c>
      <c r="DE28" s="256">
        <f>IF(HYPOTHETICAL_SCENARIO="Yes",IF((DE$10-SUM(DE$13:DE27))=DE$10,IF(CP28&lt;=0,0,ROUND(CP$47*ABSORPTION_SCENARIO,0)),MIN(DE$10-SUM(DE$13:DE27),ROUND(CP$47*ABSORPTION_SCENARIO,0))),CP28)</f>
        <v>0</v>
      </c>
      <c r="DF28" s="256">
        <f t="shared" si="132"/>
        <v>0</v>
      </c>
      <c r="DH28" s="75">
        <f t="shared" si="133"/>
        <v>49004</v>
      </c>
      <c r="DI28" s="75"/>
      <c r="DJ28" s="218">
        <f t="shared" si="182"/>
        <v>491362.70661579783</v>
      </c>
      <c r="DK28" s="218">
        <f t="shared" si="182"/>
        <v>530726.01736678719</v>
      </c>
      <c r="DL28" s="218">
        <f t="shared" si="182"/>
        <v>583730.07936811924</v>
      </c>
      <c r="DM28" s="218">
        <f t="shared" si="182"/>
        <v>661408.44609420956</v>
      </c>
      <c r="DN28" s="218">
        <f t="shared" si="182"/>
        <v>757632.85885524866</v>
      </c>
      <c r="DO28" s="218">
        <f t="shared" si="182"/>
        <v>854058.85907318944</v>
      </c>
      <c r="DP28" s="218">
        <f t="shared" si="182"/>
        <v>953929.31697138911</v>
      </c>
      <c r="DQ28" s="218">
        <f t="shared" si="182"/>
        <v>1022805.0314127754</v>
      </c>
      <c r="DR28" s="218">
        <f t="shared" si="182"/>
        <v>0</v>
      </c>
      <c r="DS28" s="218">
        <f t="shared" si="182"/>
        <v>0</v>
      </c>
      <c r="DT28" s="218">
        <f t="shared" si="182"/>
        <v>0</v>
      </c>
      <c r="DW28" s="75">
        <f t="shared" si="144"/>
        <v>49004</v>
      </c>
      <c r="DX28" s="308"/>
      <c r="DY28" s="338"/>
      <c r="DZ28" s="221">
        <f t="shared" si="145"/>
        <v>0</v>
      </c>
      <c r="EA28" s="221">
        <f t="shared" si="146"/>
        <v>0</v>
      </c>
      <c r="EB28" s="221">
        <f t="shared" si="147"/>
        <v>0</v>
      </c>
      <c r="EC28" s="221">
        <f t="shared" si="148"/>
        <v>0</v>
      </c>
      <c r="ED28" s="221">
        <f t="shared" si="149"/>
        <v>0</v>
      </c>
      <c r="EE28" s="221">
        <f t="shared" si="150"/>
        <v>0</v>
      </c>
      <c r="EF28" s="221">
        <f t="shared" si="151"/>
        <v>0</v>
      </c>
      <c r="EG28" s="221">
        <f t="shared" si="152"/>
        <v>0</v>
      </c>
      <c r="EH28" s="221">
        <f t="shared" si="153"/>
        <v>0</v>
      </c>
      <c r="EI28" s="221">
        <f t="shared" si="154"/>
        <v>0</v>
      </c>
      <c r="EJ28" s="221">
        <f t="shared" si="155"/>
        <v>0</v>
      </c>
      <c r="EK28" s="221">
        <f t="shared" si="156"/>
        <v>0</v>
      </c>
      <c r="EL28" s="221">
        <f t="shared" si="157"/>
        <v>0</v>
      </c>
      <c r="EN28" s="75">
        <f t="shared" si="180"/>
        <v>49004</v>
      </c>
      <c r="EO28" s="308"/>
      <c r="EP28" s="338"/>
      <c r="EQ28" s="221">
        <f t="shared" ca="1" si="181"/>
        <v>0</v>
      </c>
      <c r="ER28" s="221">
        <f t="shared" ca="1" si="179"/>
        <v>0</v>
      </c>
      <c r="ES28" s="221">
        <f t="shared" ca="1" si="179"/>
        <v>0</v>
      </c>
      <c r="ET28" s="221">
        <f t="shared" ca="1" si="179"/>
        <v>0</v>
      </c>
      <c r="EU28" s="221">
        <f t="shared" ca="1" si="179"/>
        <v>0</v>
      </c>
      <c r="EV28" s="221">
        <f t="shared" ca="1" si="179"/>
        <v>0</v>
      </c>
      <c r="EW28" s="221">
        <f t="shared" ca="1" si="179"/>
        <v>0</v>
      </c>
      <c r="EX28" s="221">
        <f t="shared" ca="1" si="179"/>
        <v>0</v>
      </c>
      <c r="EY28" s="221">
        <f t="shared" ca="1" si="179"/>
        <v>0</v>
      </c>
      <c r="EZ28" s="221">
        <f t="shared" ca="1" si="179"/>
        <v>0</v>
      </c>
      <c r="FA28" s="221">
        <f t="shared" ca="1" si="179"/>
        <v>0</v>
      </c>
      <c r="FB28" s="221">
        <f t="shared" ca="1" si="179"/>
        <v>0</v>
      </c>
      <c r="FC28" s="221">
        <f t="shared" ca="1" si="179"/>
        <v>0</v>
      </c>
    </row>
    <row r="29" spans="4:159" x14ac:dyDescent="0.25">
      <c r="D29" s="75">
        <f t="shared" si="161"/>
        <v>49369</v>
      </c>
      <c r="E29" s="324"/>
      <c r="F29" s="341"/>
      <c r="G29" s="341"/>
      <c r="H29" s="341"/>
      <c r="I29" s="341"/>
      <c r="J29" s="341"/>
      <c r="K29" s="341"/>
      <c r="L29" s="341"/>
      <c r="M29" s="341"/>
      <c r="N29" s="341"/>
      <c r="O29" s="341"/>
      <c r="P29" s="341"/>
      <c r="Q29" s="256">
        <f t="shared" si="162"/>
        <v>0</v>
      </c>
      <c r="S29" s="271">
        <f t="shared" si="96"/>
        <v>49369</v>
      </c>
      <c r="T29" s="256">
        <f t="shared" si="60"/>
        <v>0</v>
      </c>
      <c r="U29" s="256">
        <f>IF(HYPOTHETICAL_SCENARIO="Yes",IF((U$10-SUM(U$13:U28))=U$10,IF(F29&lt;=0,0,ROUND(F$47*LOT_DELIVERY_SCENARIO,0)),MIN(U$10-SUM(U$13:U28),ROUND(F$47*LOT_DELIVERY_SCENARIO,0))),F29)</f>
        <v>0</v>
      </c>
      <c r="V29" s="256">
        <f>IF(HYPOTHETICAL_SCENARIO="Yes",IF((V$10-SUM(V$13:V28))=V$10,IF(G29&lt;=0,0,ROUND(G$47*LOT_DELIVERY_SCENARIO,0)),MIN(V$10-SUM(V$13:V28),ROUND(G$47*LOT_DELIVERY_SCENARIO,0))),G29)</f>
        <v>0</v>
      </c>
      <c r="W29" s="256">
        <f>IF(HYPOTHETICAL_SCENARIO="Yes",IF((W$10-SUM(W$13:W28))=W$10,IF(H29&lt;=0,0,ROUND(H$47*LOT_DELIVERY_SCENARIO,0)),MIN(W$10-SUM(W$13:W28),ROUND(H$47*LOT_DELIVERY_SCENARIO,0))),H29)</f>
        <v>0</v>
      </c>
      <c r="X29" s="256">
        <f>IF(HYPOTHETICAL_SCENARIO="Yes",IF((X$10-SUM(X$13:X28))=X$10,IF(I29&lt;=0,0,ROUND(I$47*LOT_DELIVERY_SCENARIO,0)),MIN(X$10-SUM(X$13:X28),ROUND(I$47*LOT_DELIVERY_SCENARIO,0))),I29)</f>
        <v>0</v>
      </c>
      <c r="Y29" s="256">
        <f>IF(HYPOTHETICAL_SCENARIO="Yes",IF((Y$10-SUM(Y$13:Y28))=Y$10,IF(J29&lt;=0,0,ROUND(J$47*LOT_DELIVERY_SCENARIO,0)),MIN(Y$10-SUM(Y$13:Y28),ROUND(J$47*LOT_DELIVERY_SCENARIO,0))),J29)</f>
        <v>0</v>
      </c>
      <c r="Z29" s="256">
        <f>IF(HYPOTHETICAL_SCENARIO="Yes",IF((Z$10-SUM(Z$13:Z28))=Z$10,IF(K29&lt;=0,0,ROUND(K$47*LOT_DELIVERY_SCENARIO,0)),MIN(Z$10-SUM(Z$13:Z28),ROUND(K$47*LOT_DELIVERY_SCENARIO,0))),K29)</f>
        <v>0</v>
      </c>
      <c r="AA29" s="256">
        <f>IF(HYPOTHETICAL_SCENARIO="Yes",IF((AA$10-SUM(AA$13:AA28))=AA$10,IF(L29&lt;=0,0,ROUND(L$47*LOT_DELIVERY_SCENARIO,0)),MIN(AA$10-SUM(AA$13:AA28),ROUND(L$47*LOT_DELIVERY_SCENARIO,0))),L29)</f>
        <v>0</v>
      </c>
      <c r="AB29" s="256">
        <f>IF(HYPOTHETICAL_SCENARIO="Yes",IF((AB$10-SUM(AB$13:AB28))=AB$10,IF(M29&lt;=0,0,ROUND(M$47*LOT_DELIVERY_SCENARIO,0)),MIN(AB$10-SUM(AB$13:AB28),ROUND(M$47*LOT_DELIVERY_SCENARIO,0))),M29)</f>
        <v>0</v>
      </c>
      <c r="AC29" s="256">
        <f>IF(HYPOTHETICAL_SCENARIO="Yes",IF((AC$10-SUM(AC$13:AC28))=AC$10,IF(N29&lt;=0,0,ROUND(N$47*LOT_DELIVERY_SCENARIO,0)),MIN(AC$10-SUM(AC$13:AC28),ROUND(N$47*LOT_DELIVERY_SCENARIO,0))),N29)</f>
        <v>0</v>
      </c>
      <c r="AD29" s="256">
        <f>IF(HYPOTHETICAL_SCENARIO="Yes",IF((AD$10-SUM(AD$13:AD28))=AD$10,IF(O29&lt;=0,0,ROUND(O$47*LOT_DELIVERY_SCENARIO,0)),MIN(AD$10-SUM(AD$13:AD28),ROUND(O$47*LOT_DELIVERY_SCENARIO,0))),O29)</f>
        <v>0</v>
      </c>
      <c r="AE29" s="256">
        <f>IF(HYPOTHETICAL_SCENARIO="Yes",IF((AE$10-SUM(AE$13:AE28))=AE$10,IF(P29&lt;=0,0,ROUND(P$47*LOT_DELIVERY_SCENARIO,0)),MIN(AE$10-SUM(AE$13:AE28),ROUND(P$47*LOT_DELIVERY_SCENARIO,0))),P29)</f>
        <v>0</v>
      </c>
      <c r="AF29" s="256">
        <f t="shared" si="97"/>
        <v>0</v>
      </c>
      <c r="AH29" s="75">
        <f t="shared" si="163"/>
        <v>49369</v>
      </c>
      <c r="AI29" s="221"/>
      <c r="AJ29" s="221">
        <f>(SUM(F$17:F29)-SUM(CF$17:CF29))*AJ$11</f>
        <v>0</v>
      </c>
      <c r="AK29" s="221">
        <f>(SUM(G$17:G29)-SUM(CG$17:CG29))*AK$11</f>
        <v>0</v>
      </c>
      <c r="AL29" s="221">
        <f>(SUM(H$17:H29)-SUM(CH$17:CH29))*AL$11</f>
        <v>0</v>
      </c>
      <c r="AM29" s="221">
        <f>(SUM(I$17:I29)-SUM(CI$17:CI29))*AM$11</f>
        <v>0</v>
      </c>
      <c r="AN29" s="221">
        <f>(SUM(J$17:J29)-SUM(CJ$17:CJ29))*AN$11</f>
        <v>0</v>
      </c>
      <c r="AO29" s="221">
        <f>(SUM(K$17:K29)-SUM(CK$17:CK29))*AO$11</f>
        <v>0</v>
      </c>
      <c r="AP29" s="221">
        <f>(SUM(L$17:L29)-SUM(CL$17:CL29))*AP$11</f>
        <v>0</v>
      </c>
      <c r="AQ29" s="221">
        <f>(SUM(M$17:M29)-SUM(CM$17:CM29))*AQ$11</f>
        <v>0</v>
      </c>
      <c r="AR29" s="221">
        <f>(SUM(N$17:N29)-SUM(CN$17:CN29))*AR$11</f>
        <v>0</v>
      </c>
      <c r="AS29" s="221">
        <f>(SUM(O$17:O29)-SUM(CO$17:CO29))*AS$11</f>
        <v>0</v>
      </c>
      <c r="AT29" s="221">
        <f>(SUM(P$17:P29)-SUM(CP$17:CP29))*AT$11</f>
        <v>0</v>
      </c>
      <c r="AU29" s="221">
        <f t="shared" si="109"/>
        <v>0</v>
      </c>
      <c r="AW29" s="75">
        <f t="shared" si="164"/>
        <v>49369</v>
      </c>
      <c r="AX29" s="221">
        <f t="shared" si="165"/>
        <v>0</v>
      </c>
      <c r="AY29" s="221">
        <f t="shared" ca="1" si="110"/>
        <v>0</v>
      </c>
      <c r="AZ29" s="221">
        <f t="shared" ca="1" si="71"/>
        <v>0</v>
      </c>
      <c r="BA29" s="221">
        <f t="shared" ca="1" si="72"/>
        <v>0</v>
      </c>
      <c r="BB29" s="221">
        <f t="shared" ca="1" si="73"/>
        <v>0</v>
      </c>
      <c r="BC29" s="221">
        <f t="shared" ca="1" si="74"/>
        <v>0</v>
      </c>
      <c r="BD29" s="221">
        <f t="shared" ca="1" si="75"/>
        <v>0</v>
      </c>
      <c r="BE29" s="221">
        <f t="shared" ca="1" si="76"/>
        <v>0</v>
      </c>
      <c r="BF29" s="221">
        <f t="shared" ca="1" si="77"/>
        <v>0</v>
      </c>
      <c r="BG29" s="221">
        <f t="shared" ca="1" si="78"/>
        <v>0</v>
      </c>
      <c r="BH29" s="221">
        <f t="shared" ca="1" si="111"/>
        <v>0</v>
      </c>
      <c r="BI29" s="221">
        <f t="shared" ca="1" si="112"/>
        <v>0</v>
      </c>
      <c r="BJ29" s="221"/>
      <c r="BK29" s="221">
        <f t="shared" ca="1" si="113"/>
        <v>0</v>
      </c>
      <c r="BM29" s="75">
        <f t="shared" si="166"/>
        <v>49369</v>
      </c>
      <c r="BN29" s="221">
        <f t="shared" ca="1" si="114"/>
        <v>0</v>
      </c>
      <c r="BO29" s="221">
        <f t="shared" ca="1" si="115"/>
        <v>0</v>
      </c>
      <c r="BP29" s="221">
        <f t="shared" ca="1" si="116"/>
        <v>0</v>
      </c>
      <c r="BQ29" s="221">
        <f t="shared" ca="1" si="117"/>
        <v>0</v>
      </c>
      <c r="BR29" s="221">
        <f t="shared" ca="1" si="118"/>
        <v>0</v>
      </c>
      <c r="BS29" s="221">
        <f t="shared" ca="1" si="119"/>
        <v>0</v>
      </c>
      <c r="BT29" s="221">
        <f t="shared" ca="1" si="120"/>
        <v>0</v>
      </c>
      <c r="BU29" s="221">
        <f t="shared" ca="1" si="121"/>
        <v>0</v>
      </c>
      <c r="BV29" s="221">
        <f t="shared" ca="1" si="122"/>
        <v>0</v>
      </c>
      <c r="BW29" s="221">
        <f t="shared" ca="1" si="123"/>
        <v>0</v>
      </c>
      <c r="BX29" s="221">
        <f t="shared" ca="1" si="124"/>
        <v>0</v>
      </c>
      <c r="BY29" s="221">
        <f t="shared" ca="1" si="125"/>
        <v>0</v>
      </c>
      <c r="BZ29" s="221">
        <f t="shared" si="126"/>
        <v>0</v>
      </c>
      <c r="CA29" s="221">
        <f t="shared" ca="1" si="127"/>
        <v>0</v>
      </c>
      <c r="CB29" s="221">
        <f t="shared" ca="1" si="128"/>
        <v>0</v>
      </c>
      <c r="CD29" s="75">
        <f t="shared" si="83"/>
        <v>49369</v>
      </c>
      <c r="CE29" s="340"/>
      <c r="CF29" s="343"/>
      <c r="CG29" s="343"/>
      <c r="CH29" s="343"/>
      <c r="CI29" s="343"/>
      <c r="CJ29" s="343"/>
      <c r="CK29" s="343"/>
      <c r="CL29" s="343"/>
      <c r="CM29" s="343"/>
      <c r="CN29" s="343"/>
      <c r="CO29" s="343"/>
      <c r="CP29" s="343"/>
      <c r="CQ29" s="236">
        <f t="shared" si="129"/>
        <v>0</v>
      </c>
      <c r="CS29" s="75">
        <f t="shared" si="130"/>
        <v>49369</v>
      </c>
      <c r="CT29" s="256">
        <f t="shared" si="131"/>
        <v>0</v>
      </c>
      <c r="CU29" s="256">
        <f>IF(HYPOTHETICAL_SCENARIO="Yes",IF((CU$10-SUM(CU$13:CU28))=CU$10,IF(CF29&lt;=0,0,ROUND(CF$47*ABSORPTION_SCENARIO,0)),MIN(CU$10-SUM(CU$13:CU28),ROUND(CF$47*ABSORPTION_SCENARIO,0))),CF29)</f>
        <v>0</v>
      </c>
      <c r="CV29" s="256">
        <f>IF(HYPOTHETICAL_SCENARIO="Yes",IF((CV$10-SUM(CV$13:CV28))=CV$10,IF(CG29&lt;=0,0,ROUND(CG$47*ABSORPTION_SCENARIO,0)),MIN(CV$10-SUM(CV$13:CV28),ROUND(CG$47*ABSORPTION_SCENARIO,0))),CG29)</f>
        <v>0</v>
      </c>
      <c r="CW29" s="256">
        <f>IF(HYPOTHETICAL_SCENARIO="Yes",IF((CW$10-SUM(CW$13:CW28))=CW$10,IF(CH29&lt;=0,0,ROUND(CH$47*ABSORPTION_SCENARIO,0)),MIN(CW$10-SUM(CW$13:CW28),ROUND(CH$47*ABSORPTION_SCENARIO,0))),CH29)</f>
        <v>0</v>
      </c>
      <c r="CX29" s="256">
        <f>IF(HYPOTHETICAL_SCENARIO="Yes",IF((CX$10-SUM(CX$13:CX28))=CX$10,IF(CI29&lt;=0,0,ROUND(CI$47*ABSORPTION_SCENARIO,0)),MIN(CX$10-SUM(CX$13:CX28),ROUND(CI$47*ABSORPTION_SCENARIO,0))),CI29)</f>
        <v>0</v>
      </c>
      <c r="CY29" s="256">
        <f>IF(HYPOTHETICAL_SCENARIO="Yes",IF((CY$10-SUM(CY$13:CY28))=CY$10,IF(CJ29&lt;=0,0,ROUND(CJ$47*ABSORPTION_SCENARIO,0)),MIN(CY$10-SUM(CY$13:CY28),ROUND(CJ$47*ABSORPTION_SCENARIO,0))),CJ29)</f>
        <v>0</v>
      </c>
      <c r="CZ29" s="256">
        <f>IF(HYPOTHETICAL_SCENARIO="Yes",IF((CZ$10-SUM(CZ$13:CZ28))=CZ$10,IF(CK29&lt;=0,0,ROUND(CK$47*ABSORPTION_SCENARIO,0)),MIN(CZ$10-SUM(CZ$13:CZ28),ROUND(CK$47*ABSORPTION_SCENARIO,0))),CK29)</f>
        <v>0</v>
      </c>
      <c r="DA29" s="256">
        <f>IF(HYPOTHETICAL_SCENARIO="Yes",IF((DA$10-SUM(DA$13:DA28))=DA$10,IF(CL29&lt;=0,0,ROUND(CL$47*ABSORPTION_SCENARIO,0)),MIN(DA$10-SUM(DA$13:DA28),ROUND(CL$47*ABSORPTION_SCENARIO,0))),CL29)</f>
        <v>0</v>
      </c>
      <c r="DB29" s="256">
        <f>IF(HYPOTHETICAL_SCENARIO="Yes",IF((DB$10-SUM(DB$13:DB28))=DB$10,IF(CM29&lt;=0,0,ROUND(CM$47*ABSORPTION_SCENARIO,0)),MIN(DB$10-SUM(DB$13:DB28),ROUND(CM$47*ABSORPTION_SCENARIO,0))),CM29)</f>
        <v>0</v>
      </c>
      <c r="DC29" s="256">
        <f>IF(HYPOTHETICAL_SCENARIO="Yes",IF((DC$10-SUM(DC$13:DC28))=DC$10,IF(CN29&lt;=0,0,ROUND(CN$47*ABSORPTION_SCENARIO,0)),MIN(DC$10-SUM(DC$13:DC28),ROUND(CN$47*ABSORPTION_SCENARIO,0))),CN29)</f>
        <v>0</v>
      </c>
      <c r="DD29" s="256">
        <f>IF(HYPOTHETICAL_SCENARIO="Yes",IF((DD$10-SUM(DD$13:DD28))=DD$10,IF(CO29&lt;=0,0,ROUND(CO$47*ABSORPTION_SCENARIO,0)),MIN(DD$10-SUM(DD$13:DD28),ROUND(CO$47*ABSORPTION_SCENARIO,0))),CO29)</f>
        <v>0</v>
      </c>
      <c r="DE29" s="256">
        <f>IF(HYPOTHETICAL_SCENARIO="Yes",IF((DE$10-SUM(DE$13:DE28))=DE$10,IF(CP29&lt;=0,0,ROUND(CP$47*ABSORPTION_SCENARIO,0)),MIN(DE$10-SUM(DE$13:DE28),ROUND(CP$47*ABSORPTION_SCENARIO,0))),CP29)</f>
        <v>0</v>
      </c>
      <c r="DF29" s="256">
        <f t="shared" si="132"/>
        <v>0</v>
      </c>
      <c r="DH29" s="75">
        <f t="shared" si="133"/>
        <v>49369</v>
      </c>
      <c r="DI29" s="75"/>
      <c r="DJ29" s="218">
        <f t="shared" si="182"/>
        <v>506103.58781427174</v>
      </c>
      <c r="DK29" s="218">
        <f t="shared" si="182"/>
        <v>546647.79788779072</v>
      </c>
      <c r="DL29" s="218">
        <f t="shared" si="182"/>
        <v>601241.98174916289</v>
      </c>
      <c r="DM29" s="218">
        <f t="shared" si="182"/>
        <v>681250.6994770359</v>
      </c>
      <c r="DN29" s="218">
        <f t="shared" si="182"/>
        <v>780361.84462090617</v>
      </c>
      <c r="DO29" s="218">
        <f t="shared" si="182"/>
        <v>879680.62484538509</v>
      </c>
      <c r="DP29" s="218">
        <f t="shared" si="182"/>
        <v>982547.19648053078</v>
      </c>
      <c r="DQ29" s="218">
        <f t="shared" si="182"/>
        <v>1053489.1823551587</v>
      </c>
      <c r="DR29" s="218">
        <f t="shared" si="182"/>
        <v>0</v>
      </c>
      <c r="DS29" s="218">
        <f t="shared" si="182"/>
        <v>0</v>
      </c>
      <c r="DT29" s="218">
        <f t="shared" si="182"/>
        <v>0</v>
      </c>
      <c r="DW29" s="75">
        <f t="shared" si="144"/>
        <v>49369</v>
      </c>
      <c r="DX29" s="308"/>
      <c r="DY29" s="338"/>
      <c r="DZ29" s="221">
        <f t="shared" si="145"/>
        <v>0</v>
      </c>
      <c r="EA29" s="221">
        <f t="shared" si="146"/>
        <v>0</v>
      </c>
      <c r="EB29" s="221">
        <f t="shared" si="147"/>
        <v>0</v>
      </c>
      <c r="EC29" s="221">
        <f t="shared" si="148"/>
        <v>0</v>
      </c>
      <c r="ED29" s="221">
        <f t="shared" si="149"/>
        <v>0</v>
      </c>
      <c r="EE29" s="221">
        <f t="shared" si="150"/>
        <v>0</v>
      </c>
      <c r="EF29" s="221">
        <f t="shared" si="151"/>
        <v>0</v>
      </c>
      <c r="EG29" s="221">
        <f t="shared" si="152"/>
        <v>0</v>
      </c>
      <c r="EH29" s="221">
        <f t="shared" si="153"/>
        <v>0</v>
      </c>
      <c r="EI29" s="221">
        <f t="shared" si="154"/>
        <v>0</v>
      </c>
      <c r="EJ29" s="221">
        <f t="shared" si="155"/>
        <v>0</v>
      </c>
      <c r="EK29" s="221">
        <f t="shared" si="156"/>
        <v>0</v>
      </c>
      <c r="EL29" s="221">
        <f t="shared" si="157"/>
        <v>0</v>
      </c>
      <c r="EN29" s="75">
        <f t="shared" si="180"/>
        <v>49369</v>
      </c>
      <c r="EO29" s="308"/>
      <c r="EP29" s="338"/>
      <c r="EQ29" s="221">
        <f t="shared" ca="1" si="181"/>
        <v>0</v>
      </c>
      <c r="ER29" s="221">
        <f t="shared" ca="1" si="179"/>
        <v>0</v>
      </c>
      <c r="ES29" s="221">
        <f t="shared" ca="1" si="179"/>
        <v>0</v>
      </c>
      <c r="ET29" s="221">
        <f t="shared" ca="1" si="179"/>
        <v>0</v>
      </c>
      <c r="EU29" s="221">
        <f t="shared" ca="1" si="179"/>
        <v>0</v>
      </c>
      <c r="EV29" s="221">
        <f t="shared" ca="1" si="179"/>
        <v>0</v>
      </c>
      <c r="EW29" s="221">
        <f t="shared" ca="1" si="179"/>
        <v>0</v>
      </c>
      <c r="EX29" s="221">
        <f t="shared" ca="1" si="179"/>
        <v>0</v>
      </c>
      <c r="EY29" s="221">
        <f t="shared" ca="1" si="179"/>
        <v>0</v>
      </c>
      <c r="EZ29" s="221">
        <f t="shared" ca="1" si="179"/>
        <v>0</v>
      </c>
      <c r="FA29" s="221">
        <f t="shared" ca="1" si="179"/>
        <v>0</v>
      </c>
      <c r="FB29" s="221">
        <f t="shared" ca="1" si="179"/>
        <v>0</v>
      </c>
      <c r="FC29" s="221">
        <f t="shared" ca="1" si="179"/>
        <v>0</v>
      </c>
    </row>
    <row r="30" spans="4:159" x14ac:dyDescent="0.25">
      <c r="D30" s="75">
        <f t="shared" si="161"/>
        <v>49735</v>
      </c>
      <c r="E30" s="324"/>
      <c r="F30" s="341"/>
      <c r="G30" s="341"/>
      <c r="H30" s="341"/>
      <c r="I30" s="341"/>
      <c r="J30" s="341"/>
      <c r="K30" s="341"/>
      <c r="L30" s="341"/>
      <c r="M30" s="341"/>
      <c r="N30" s="341"/>
      <c r="O30" s="341"/>
      <c r="P30" s="341"/>
      <c r="Q30" s="256">
        <f t="shared" si="162"/>
        <v>0</v>
      </c>
      <c r="S30" s="271">
        <f t="shared" si="96"/>
        <v>49735</v>
      </c>
      <c r="T30" s="256">
        <f t="shared" si="60"/>
        <v>0</v>
      </c>
      <c r="U30" s="256">
        <f>IF(HYPOTHETICAL_SCENARIO="Yes",IF((U$10-SUM(U$13:U29))=U$10,IF(F30&lt;=0,0,ROUND(F$47*LOT_DELIVERY_SCENARIO,0)),MIN(U$10-SUM(U$13:U29),ROUND(F$47*LOT_DELIVERY_SCENARIO,0))),F30)</f>
        <v>0</v>
      </c>
      <c r="V30" s="256">
        <f>IF(HYPOTHETICAL_SCENARIO="Yes",IF((V$10-SUM(V$13:V29))=V$10,IF(G30&lt;=0,0,ROUND(G$47*LOT_DELIVERY_SCENARIO,0)),MIN(V$10-SUM(V$13:V29),ROUND(G$47*LOT_DELIVERY_SCENARIO,0))),G30)</f>
        <v>0</v>
      </c>
      <c r="W30" s="256">
        <f>IF(HYPOTHETICAL_SCENARIO="Yes",IF((W$10-SUM(W$13:W29))=W$10,IF(H30&lt;=0,0,ROUND(H$47*LOT_DELIVERY_SCENARIO,0)),MIN(W$10-SUM(W$13:W29),ROUND(H$47*LOT_DELIVERY_SCENARIO,0))),H30)</f>
        <v>0</v>
      </c>
      <c r="X30" s="256">
        <f>IF(HYPOTHETICAL_SCENARIO="Yes",IF((X$10-SUM(X$13:X29))=X$10,IF(I30&lt;=0,0,ROUND(I$47*LOT_DELIVERY_SCENARIO,0)),MIN(X$10-SUM(X$13:X29),ROUND(I$47*LOT_DELIVERY_SCENARIO,0))),I30)</f>
        <v>0</v>
      </c>
      <c r="Y30" s="256">
        <f>IF(HYPOTHETICAL_SCENARIO="Yes",IF((Y$10-SUM(Y$13:Y29))=Y$10,IF(J30&lt;=0,0,ROUND(J$47*LOT_DELIVERY_SCENARIO,0)),MIN(Y$10-SUM(Y$13:Y29),ROUND(J$47*LOT_DELIVERY_SCENARIO,0))),J30)</f>
        <v>0</v>
      </c>
      <c r="Z30" s="256">
        <f>IF(HYPOTHETICAL_SCENARIO="Yes",IF((Z$10-SUM(Z$13:Z29))=Z$10,IF(K30&lt;=0,0,ROUND(K$47*LOT_DELIVERY_SCENARIO,0)),MIN(Z$10-SUM(Z$13:Z29),ROUND(K$47*LOT_DELIVERY_SCENARIO,0))),K30)</f>
        <v>0</v>
      </c>
      <c r="AA30" s="256">
        <f>IF(HYPOTHETICAL_SCENARIO="Yes",IF((AA$10-SUM(AA$13:AA29))=AA$10,IF(L30&lt;=0,0,ROUND(L$47*LOT_DELIVERY_SCENARIO,0)),MIN(AA$10-SUM(AA$13:AA29),ROUND(L$47*LOT_DELIVERY_SCENARIO,0))),L30)</f>
        <v>0</v>
      </c>
      <c r="AB30" s="256">
        <f>IF(HYPOTHETICAL_SCENARIO="Yes",IF((AB$10-SUM(AB$13:AB29))=AB$10,IF(M30&lt;=0,0,ROUND(M$47*LOT_DELIVERY_SCENARIO,0)),MIN(AB$10-SUM(AB$13:AB29),ROUND(M$47*LOT_DELIVERY_SCENARIO,0))),M30)</f>
        <v>0</v>
      </c>
      <c r="AC30" s="256">
        <f>IF(HYPOTHETICAL_SCENARIO="Yes",IF((AC$10-SUM(AC$13:AC29))=AC$10,IF(N30&lt;=0,0,ROUND(N$47*LOT_DELIVERY_SCENARIO,0)),MIN(AC$10-SUM(AC$13:AC29),ROUND(N$47*LOT_DELIVERY_SCENARIO,0))),N30)</f>
        <v>0</v>
      </c>
      <c r="AD30" s="256">
        <f>IF(HYPOTHETICAL_SCENARIO="Yes",IF((AD$10-SUM(AD$13:AD29))=AD$10,IF(O30&lt;=0,0,ROUND(O$47*LOT_DELIVERY_SCENARIO,0)),MIN(AD$10-SUM(AD$13:AD29),ROUND(O$47*LOT_DELIVERY_SCENARIO,0))),O30)</f>
        <v>0</v>
      </c>
      <c r="AE30" s="256">
        <f>IF(HYPOTHETICAL_SCENARIO="Yes",IF((AE$10-SUM(AE$13:AE29))=AE$10,IF(P30&lt;=0,0,ROUND(P$47*LOT_DELIVERY_SCENARIO,0)),MIN(AE$10-SUM(AE$13:AE29),ROUND(P$47*LOT_DELIVERY_SCENARIO,0))),P30)</f>
        <v>0</v>
      </c>
      <c r="AF30" s="256">
        <f t="shared" si="97"/>
        <v>0</v>
      </c>
      <c r="AH30" s="75">
        <f t="shared" si="163"/>
        <v>49735</v>
      </c>
      <c r="AI30" s="221"/>
      <c r="AJ30" s="221">
        <f>(SUM(F$17:F30)-SUM(CF$17:CF30))*AJ$11</f>
        <v>0</v>
      </c>
      <c r="AK30" s="221">
        <f>(SUM(G$17:G30)-SUM(CG$17:CG30))*AK$11</f>
        <v>0</v>
      </c>
      <c r="AL30" s="221">
        <f>(SUM(H$17:H30)-SUM(CH$17:CH30))*AL$11</f>
        <v>0</v>
      </c>
      <c r="AM30" s="221">
        <f>(SUM(I$17:I30)-SUM(CI$17:CI30))*AM$11</f>
        <v>0</v>
      </c>
      <c r="AN30" s="221">
        <f>(SUM(J$17:J30)-SUM(CJ$17:CJ30))*AN$11</f>
        <v>0</v>
      </c>
      <c r="AO30" s="221">
        <f>(SUM(K$17:K30)-SUM(CK$17:CK30))*AO$11</f>
        <v>0</v>
      </c>
      <c r="AP30" s="221">
        <f>(SUM(L$17:L30)-SUM(CL$17:CL30))*AP$11</f>
        <v>0</v>
      </c>
      <c r="AQ30" s="221">
        <f>(SUM(M$17:M30)-SUM(CM$17:CM30))*AQ$11</f>
        <v>0</v>
      </c>
      <c r="AR30" s="221">
        <f>(SUM(N$17:N30)-SUM(CN$17:CN30))*AR$11</f>
        <v>0</v>
      </c>
      <c r="AS30" s="221">
        <f>(SUM(O$17:O30)-SUM(CO$17:CO30))*AS$11</f>
        <v>0</v>
      </c>
      <c r="AT30" s="221">
        <f>(SUM(P$17:P30)-SUM(CP$17:CP30))*AT$11</f>
        <v>0</v>
      </c>
      <c r="AU30" s="221">
        <f t="shared" si="109"/>
        <v>0</v>
      </c>
      <c r="AW30" s="75">
        <f t="shared" si="164"/>
        <v>49735</v>
      </c>
      <c r="AX30" s="221">
        <f t="shared" si="165"/>
        <v>0</v>
      </c>
      <c r="AY30" s="221">
        <f t="shared" ca="1" si="110"/>
        <v>0</v>
      </c>
      <c r="AZ30" s="221">
        <f t="shared" ca="1" si="71"/>
        <v>0</v>
      </c>
      <c r="BA30" s="221">
        <f t="shared" ca="1" si="72"/>
        <v>0</v>
      </c>
      <c r="BB30" s="221">
        <f t="shared" ca="1" si="73"/>
        <v>0</v>
      </c>
      <c r="BC30" s="221">
        <f t="shared" ca="1" si="74"/>
        <v>0</v>
      </c>
      <c r="BD30" s="221">
        <f t="shared" ca="1" si="75"/>
        <v>0</v>
      </c>
      <c r="BE30" s="221">
        <f t="shared" ca="1" si="76"/>
        <v>0</v>
      </c>
      <c r="BF30" s="221">
        <f t="shared" ca="1" si="77"/>
        <v>0</v>
      </c>
      <c r="BG30" s="221">
        <f t="shared" ca="1" si="78"/>
        <v>0</v>
      </c>
      <c r="BH30" s="221">
        <f t="shared" ca="1" si="111"/>
        <v>0</v>
      </c>
      <c r="BI30" s="221">
        <f t="shared" ca="1" si="112"/>
        <v>0</v>
      </c>
      <c r="BJ30" s="221"/>
      <c r="BK30" s="221">
        <f t="shared" ca="1" si="113"/>
        <v>0</v>
      </c>
      <c r="BM30" s="75">
        <f t="shared" si="166"/>
        <v>49735</v>
      </c>
      <c r="BN30" s="221">
        <f t="shared" ca="1" si="114"/>
        <v>0</v>
      </c>
      <c r="BO30" s="221">
        <f t="shared" ca="1" si="115"/>
        <v>0</v>
      </c>
      <c r="BP30" s="221">
        <f t="shared" ca="1" si="116"/>
        <v>0</v>
      </c>
      <c r="BQ30" s="221">
        <f t="shared" ca="1" si="117"/>
        <v>0</v>
      </c>
      <c r="BR30" s="221">
        <f t="shared" ca="1" si="118"/>
        <v>0</v>
      </c>
      <c r="BS30" s="221">
        <f t="shared" ca="1" si="119"/>
        <v>0</v>
      </c>
      <c r="BT30" s="221">
        <f t="shared" ca="1" si="120"/>
        <v>0</v>
      </c>
      <c r="BU30" s="221">
        <f t="shared" ca="1" si="121"/>
        <v>0</v>
      </c>
      <c r="BV30" s="221">
        <f t="shared" ca="1" si="122"/>
        <v>0</v>
      </c>
      <c r="BW30" s="221">
        <f t="shared" ca="1" si="123"/>
        <v>0</v>
      </c>
      <c r="BX30" s="221">
        <f t="shared" ca="1" si="124"/>
        <v>0</v>
      </c>
      <c r="BY30" s="221">
        <f t="shared" ca="1" si="125"/>
        <v>0</v>
      </c>
      <c r="BZ30" s="221">
        <f t="shared" si="126"/>
        <v>0</v>
      </c>
      <c r="CA30" s="221">
        <f t="shared" ca="1" si="127"/>
        <v>0</v>
      </c>
      <c r="CB30" s="221">
        <f t="shared" ca="1" si="128"/>
        <v>0</v>
      </c>
      <c r="CD30" s="75">
        <f t="shared" si="83"/>
        <v>49735</v>
      </c>
      <c r="CE30" s="340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236">
        <f t="shared" si="129"/>
        <v>0</v>
      </c>
      <c r="CS30" s="75">
        <f t="shared" si="130"/>
        <v>49735</v>
      </c>
      <c r="CT30" s="256">
        <f t="shared" si="131"/>
        <v>0</v>
      </c>
      <c r="CU30" s="256">
        <f>IF(HYPOTHETICAL_SCENARIO="Yes",IF((CU$10-SUM(CU$13:CU29))=CU$10,IF(CF30&lt;=0,0,ROUND(CF$47*ABSORPTION_SCENARIO,0)),MIN(CU$10-SUM(CU$13:CU29),ROUND(CF$47*ABSORPTION_SCENARIO,0))),CF30)</f>
        <v>0</v>
      </c>
      <c r="CV30" s="256">
        <f>IF(HYPOTHETICAL_SCENARIO="Yes",IF((CV$10-SUM(CV$13:CV29))=CV$10,IF(CG30&lt;=0,0,ROUND(CG$47*ABSORPTION_SCENARIO,0)),MIN(CV$10-SUM(CV$13:CV29),ROUND(CG$47*ABSORPTION_SCENARIO,0))),CG30)</f>
        <v>0</v>
      </c>
      <c r="CW30" s="256">
        <f>IF(HYPOTHETICAL_SCENARIO="Yes",IF((CW$10-SUM(CW$13:CW29))=CW$10,IF(CH30&lt;=0,0,ROUND(CH$47*ABSORPTION_SCENARIO,0)),MIN(CW$10-SUM(CW$13:CW29),ROUND(CH$47*ABSORPTION_SCENARIO,0))),CH30)</f>
        <v>0</v>
      </c>
      <c r="CX30" s="256">
        <f>IF(HYPOTHETICAL_SCENARIO="Yes",IF((CX$10-SUM(CX$13:CX29))=CX$10,IF(CI30&lt;=0,0,ROUND(CI$47*ABSORPTION_SCENARIO,0)),MIN(CX$10-SUM(CX$13:CX29),ROUND(CI$47*ABSORPTION_SCENARIO,0))),CI30)</f>
        <v>0</v>
      </c>
      <c r="CY30" s="256">
        <f>IF(HYPOTHETICAL_SCENARIO="Yes",IF((CY$10-SUM(CY$13:CY29))=CY$10,IF(CJ30&lt;=0,0,ROUND(CJ$47*ABSORPTION_SCENARIO,0)),MIN(CY$10-SUM(CY$13:CY29),ROUND(CJ$47*ABSORPTION_SCENARIO,0))),CJ30)</f>
        <v>0</v>
      </c>
      <c r="CZ30" s="256">
        <f>IF(HYPOTHETICAL_SCENARIO="Yes",IF((CZ$10-SUM(CZ$13:CZ29))=CZ$10,IF(CK30&lt;=0,0,ROUND(CK$47*ABSORPTION_SCENARIO,0)),MIN(CZ$10-SUM(CZ$13:CZ29),ROUND(CK$47*ABSORPTION_SCENARIO,0))),CK30)</f>
        <v>0</v>
      </c>
      <c r="DA30" s="256">
        <f>IF(HYPOTHETICAL_SCENARIO="Yes",IF((DA$10-SUM(DA$13:DA29))=DA$10,IF(CL30&lt;=0,0,ROUND(CL$47*ABSORPTION_SCENARIO,0)),MIN(DA$10-SUM(DA$13:DA29),ROUND(CL$47*ABSORPTION_SCENARIO,0))),CL30)</f>
        <v>0</v>
      </c>
      <c r="DB30" s="256">
        <f>IF(HYPOTHETICAL_SCENARIO="Yes",IF((DB$10-SUM(DB$13:DB29))=DB$10,IF(CM30&lt;=0,0,ROUND(CM$47*ABSORPTION_SCENARIO,0)),MIN(DB$10-SUM(DB$13:DB29),ROUND(CM$47*ABSORPTION_SCENARIO,0))),CM30)</f>
        <v>0</v>
      </c>
      <c r="DC30" s="256">
        <f>IF(HYPOTHETICAL_SCENARIO="Yes",IF((DC$10-SUM(DC$13:DC29))=DC$10,IF(CN30&lt;=0,0,ROUND(CN$47*ABSORPTION_SCENARIO,0)),MIN(DC$10-SUM(DC$13:DC29),ROUND(CN$47*ABSORPTION_SCENARIO,0))),CN30)</f>
        <v>0</v>
      </c>
      <c r="DD30" s="256">
        <f>IF(HYPOTHETICAL_SCENARIO="Yes",IF((DD$10-SUM(DD$13:DD29))=DD$10,IF(CO30&lt;=0,0,ROUND(CO$47*ABSORPTION_SCENARIO,0)),MIN(DD$10-SUM(DD$13:DD29),ROUND(CO$47*ABSORPTION_SCENARIO,0))),CO30)</f>
        <v>0</v>
      </c>
      <c r="DE30" s="256">
        <f>IF(HYPOTHETICAL_SCENARIO="Yes",IF((DE$10-SUM(DE$13:DE29))=DE$10,IF(CP30&lt;=0,0,ROUND(CP$47*ABSORPTION_SCENARIO,0)),MIN(DE$10-SUM(DE$13:DE29),ROUND(CP$47*ABSORPTION_SCENARIO,0))),CP30)</f>
        <v>0</v>
      </c>
      <c r="DF30" s="256">
        <f t="shared" si="132"/>
        <v>0</v>
      </c>
      <c r="DH30" s="75">
        <f t="shared" si="133"/>
        <v>49735</v>
      </c>
      <c r="DI30" s="75"/>
      <c r="DJ30" s="218">
        <f t="shared" si="182"/>
        <v>521286.69544869981</v>
      </c>
      <c r="DK30" s="218">
        <f t="shared" si="182"/>
        <v>563047.23182442435</v>
      </c>
      <c r="DL30" s="218">
        <f t="shared" si="182"/>
        <v>619279.24120163766</v>
      </c>
      <c r="DM30" s="218">
        <f t="shared" si="182"/>
        <v>701688.22046134679</v>
      </c>
      <c r="DN30" s="218">
        <f t="shared" si="182"/>
        <v>803772.69995953317</v>
      </c>
      <c r="DO30" s="218">
        <f t="shared" si="182"/>
        <v>906071.04359074647</v>
      </c>
      <c r="DP30" s="218">
        <f t="shared" si="182"/>
        <v>1012023.6123749466</v>
      </c>
      <c r="DQ30" s="218">
        <f t="shared" si="182"/>
        <v>1085093.8578258133</v>
      </c>
      <c r="DR30" s="218">
        <f t="shared" si="182"/>
        <v>0</v>
      </c>
      <c r="DS30" s="218">
        <f t="shared" si="182"/>
        <v>0</v>
      </c>
      <c r="DT30" s="218">
        <f t="shared" si="182"/>
        <v>0</v>
      </c>
      <c r="DW30" s="75">
        <f t="shared" si="144"/>
        <v>49735</v>
      </c>
      <c r="DX30" s="308"/>
      <c r="DY30" s="338"/>
      <c r="DZ30" s="221">
        <f t="shared" si="145"/>
        <v>0</v>
      </c>
      <c r="EA30" s="221">
        <f t="shared" si="146"/>
        <v>0</v>
      </c>
      <c r="EB30" s="221">
        <f t="shared" si="147"/>
        <v>0</v>
      </c>
      <c r="EC30" s="221">
        <f t="shared" si="148"/>
        <v>0</v>
      </c>
      <c r="ED30" s="221">
        <f t="shared" si="149"/>
        <v>0</v>
      </c>
      <c r="EE30" s="221">
        <f t="shared" si="150"/>
        <v>0</v>
      </c>
      <c r="EF30" s="221">
        <f t="shared" si="151"/>
        <v>0</v>
      </c>
      <c r="EG30" s="221">
        <f t="shared" si="152"/>
        <v>0</v>
      </c>
      <c r="EH30" s="221">
        <f t="shared" si="153"/>
        <v>0</v>
      </c>
      <c r="EI30" s="221">
        <f t="shared" si="154"/>
        <v>0</v>
      </c>
      <c r="EJ30" s="221">
        <f t="shared" si="155"/>
        <v>0</v>
      </c>
      <c r="EK30" s="221">
        <f t="shared" si="156"/>
        <v>0</v>
      </c>
      <c r="EL30" s="221">
        <f t="shared" si="157"/>
        <v>0</v>
      </c>
      <c r="EN30" s="75">
        <f t="shared" si="180"/>
        <v>49735</v>
      </c>
      <c r="EO30" s="308"/>
      <c r="EP30" s="338"/>
      <c r="EQ30" s="221">
        <f t="shared" ca="1" si="181"/>
        <v>0</v>
      </c>
      <c r="ER30" s="221">
        <f t="shared" ca="1" si="179"/>
        <v>0</v>
      </c>
      <c r="ES30" s="221">
        <f t="shared" ca="1" si="179"/>
        <v>0</v>
      </c>
      <c r="ET30" s="221">
        <f t="shared" ca="1" si="179"/>
        <v>0</v>
      </c>
      <c r="EU30" s="221">
        <f t="shared" ca="1" si="179"/>
        <v>0</v>
      </c>
      <c r="EV30" s="221">
        <f t="shared" ca="1" si="179"/>
        <v>0</v>
      </c>
      <c r="EW30" s="221">
        <f t="shared" ca="1" si="179"/>
        <v>0</v>
      </c>
      <c r="EX30" s="221">
        <f t="shared" ca="1" si="179"/>
        <v>0</v>
      </c>
      <c r="EY30" s="221">
        <f t="shared" ca="1" si="179"/>
        <v>0</v>
      </c>
      <c r="EZ30" s="221">
        <f t="shared" ca="1" si="179"/>
        <v>0</v>
      </c>
      <c r="FA30" s="221">
        <f t="shared" ca="1" si="179"/>
        <v>0</v>
      </c>
      <c r="FB30" s="221">
        <f t="shared" ca="1" si="179"/>
        <v>0</v>
      </c>
      <c r="FC30" s="221">
        <f t="shared" ca="1" si="179"/>
        <v>0</v>
      </c>
    </row>
    <row r="31" spans="4:159" x14ac:dyDescent="0.25">
      <c r="D31" s="75">
        <f t="shared" si="161"/>
        <v>50100</v>
      </c>
      <c r="E31" s="324"/>
      <c r="F31" s="341"/>
      <c r="G31" s="341"/>
      <c r="H31" s="341"/>
      <c r="I31" s="341"/>
      <c r="J31" s="341"/>
      <c r="K31" s="341"/>
      <c r="L31" s="341"/>
      <c r="M31" s="341"/>
      <c r="N31" s="341"/>
      <c r="O31" s="341"/>
      <c r="P31" s="341"/>
      <c r="Q31" s="256">
        <f t="shared" si="162"/>
        <v>0</v>
      </c>
      <c r="S31" s="271">
        <f t="shared" si="96"/>
        <v>50100</v>
      </c>
      <c r="T31" s="256">
        <f t="shared" si="60"/>
        <v>0</v>
      </c>
      <c r="U31" s="256">
        <f>IF(HYPOTHETICAL_SCENARIO="Yes",IF((U$10-SUM(U$13:U30))=U$10,IF(F31&lt;=0,0,ROUND(F$47*LOT_DELIVERY_SCENARIO,0)),MIN(U$10-SUM(U$13:U30),ROUND(F$47*LOT_DELIVERY_SCENARIO,0))),F31)</f>
        <v>0</v>
      </c>
      <c r="V31" s="256">
        <f>IF(HYPOTHETICAL_SCENARIO="Yes",IF((V$10-SUM(V$13:V30))=V$10,IF(G31&lt;=0,0,ROUND(G$47*LOT_DELIVERY_SCENARIO,0)),MIN(V$10-SUM(V$13:V30),ROUND(G$47*LOT_DELIVERY_SCENARIO,0))),G31)</f>
        <v>0</v>
      </c>
      <c r="W31" s="256">
        <f>IF(HYPOTHETICAL_SCENARIO="Yes",IF((W$10-SUM(W$13:W30))=W$10,IF(H31&lt;=0,0,ROUND(H$47*LOT_DELIVERY_SCENARIO,0)),MIN(W$10-SUM(W$13:W30),ROUND(H$47*LOT_DELIVERY_SCENARIO,0))),H31)</f>
        <v>0</v>
      </c>
      <c r="X31" s="256">
        <f>IF(HYPOTHETICAL_SCENARIO="Yes",IF((X$10-SUM(X$13:X30))=X$10,IF(I31&lt;=0,0,ROUND(I$47*LOT_DELIVERY_SCENARIO,0)),MIN(X$10-SUM(X$13:X30),ROUND(I$47*LOT_DELIVERY_SCENARIO,0))),I31)</f>
        <v>0</v>
      </c>
      <c r="Y31" s="256">
        <f>IF(HYPOTHETICAL_SCENARIO="Yes",IF((Y$10-SUM(Y$13:Y30))=Y$10,IF(J31&lt;=0,0,ROUND(J$47*LOT_DELIVERY_SCENARIO,0)),MIN(Y$10-SUM(Y$13:Y30),ROUND(J$47*LOT_DELIVERY_SCENARIO,0))),J31)</f>
        <v>0</v>
      </c>
      <c r="Z31" s="256">
        <f>IF(HYPOTHETICAL_SCENARIO="Yes",IF((Z$10-SUM(Z$13:Z30))=Z$10,IF(K31&lt;=0,0,ROUND(K$47*LOT_DELIVERY_SCENARIO,0)),MIN(Z$10-SUM(Z$13:Z30),ROUND(K$47*LOT_DELIVERY_SCENARIO,0))),K31)</f>
        <v>0</v>
      </c>
      <c r="AA31" s="256">
        <f>IF(HYPOTHETICAL_SCENARIO="Yes",IF((AA$10-SUM(AA$13:AA30))=AA$10,IF(L31&lt;=0,0,ROUND(L$47*LOT_DELIVERY_SCENARIO,0)),MIN(AA$10-SUM(AA$13:AA30),ROUND(L$47*LOT_DELIVERY_SCENARIO,0))),L31)</f>
        <v>0</v>
      </c>
      <c r="AB31" s="256">
        <f>IF(HYPOTHETICAL_SCENARIO="Yes",IF((AB$10-SUM(AB$13:AB30))=AB$10,IF(M31&lt;=0,0,ROUND(M$47*LOT_DELIVERY_SCENARIO,0)),MIN(AB$10-SUM(AB$13:AB30),ROUND(M$47*LOT_DELIVERY_SCENARIO,0))),M31)</f>
        <v>0</v>
      </c>
      <c r="AC31" s="256">
        <f>IF(HYPOTHETICAL_SCENARIO="Yes",IF((AC$10-SUM(AC$13:AC30))=AC$10,IF(N31&lt;=0,0,ROUND(N$47*LOT_DELIVERY_SCENARIO,0)),MIN(AC$10-SUM(AC$13:AC30),ROUND(N$47*LOT_DELIVERY_SCENARIO,0))),N31)</f>
        <v>0</v>
      </c>
      <c r="AD31" s="256">
        <f>IF(HYPOTHETICAL_SCENARIO="Yes",IF((AD$10-SUM(AD$13:AD30))=AD$10,IF(O31&lt;=0,0,ROUND(O$47*LOT_DELIVERY_SCENARIO,0)),MIN(AD$10-SUM(AD$13:AD30),ROUND(O$47*LOT_DELIVERY_SCENARIO,0))),O31)</f>
        <v>0</v>
      </c>
      <c r="AE31" s="256">
        <f>IF(HYPOTHETICAL_SCENARIO="Yes",IF((AE$10-SUM(AE$13:AE30))=AE$10,IF(P31&lt;=0,0,ROUND(P$47*LOT_DELIVERY_SCENARIO,0)),MIN(AE$10-SUM(AE$13:AE30),ROUND(P$47*LOT_DELIVERY_SCENARIO,0))),P31)</f>
        <v>0</v>
      </c>
      <c r="AF31" s="256">
        <f t="shared" si="97"/>
        <v>0</v>
      </c>
      <c r="AH31" s="75">
        <f t="shared" si="163"/>
        <v>50100</v>
      </c>
      <c r="AI31" s="221"/>
      <c r="AJ31" s="221">
        <f>(SUM(F$17:F31)-SUM(CF$17:CF31))*AJ$11</f>
        <v>0</v>
      </c>
      <c r="AK31" s="221">
        <f>(SUM(G$17:G31)-SUM(CG$17:CG31))*AK$11</f>
        <v>0</v>
      </c>
      <c r="AL31" s="221">
        <f>(SUM(H$17:H31)-SUM(CH$17:CH31))*AL$11</f>
        <v>0</v>
      </c>
      <c r="AM31" s="221">
        <f>(SUM(I$17:I31)-SUM(CI$17:CI31))*AM$11</f>
        <v>0</v>
      </c>
      <c r="AN31" s="221">
        <f>(SUM(J$17:J31)-SUM(CJ$17:CJ31))*AN$11</f>
        <v>0</v>
      </c>
      <c r="AO31" s="221">
        <f>(SUM(K$17:K31)-SUM(CK$17:CK31))*AO$11</f>
        <v>0</v>
      </c>
      <c r="AP31" s="221">
        <f>(SUM(L$17:L31)-SUM(CL$17:CL31))*AP$11</f>
        <v>0</v>
      </c>
      <c r="AQ31" s="221">
        <f>(SUM(M$17:M31)-SUM(CM$17:CM31))*AQ$11</f>
        <v>0</v>
      </c>
      <c r="AR31" s="221">
        <f>(SUM(N$17:N31)-SUM(CN$17:CN31))*AR$11</f>
        <v>0</v>
      </c>
      <c r="AS31" s="221">
        <f>(SUM(O$17:O31)-SUM(CO$17:CO31))*AS$11</f>
        <v>0</v>
      </c>
      <c r="AT31" s="221">
        <f>(SUM(P$17:P31)-SUM(CP$17:CP31))*AT$11</f>
        <v>0</v>
      </c>
      <c r="AU31" s="221">
        <f t="shared" si="109"/>
        <v>0</v>
      </c>
      <c r="AW31" s="75">
        <f t="shared" si="164"/>
        <v>50100</v>
      </c>
      <c r="AX31" s="221">
        <f t="shared" si="165"/>
        <v>0</v>
      </c>
      <c r="AY31" s="221">
        <f t="shared" ref="AY31:AY38" ca="1" si="183">OFFSET(AJ31,-1,0)</f>
        <v>0</v>
      </c>
      <c r="AZ31" s="221">
        <f t="shared" ref="AZ31:AZ38" ca="1" si="184">OFFSET(AK31,-1,0)</f>
        <v>0</v>
      </c>
      <c r="BA31" s="221">
        <f t="shared" ref="BA31:BA38" ca="1" si="185">OFFSET(AL31,-1,0)</f>
        <v>0</v>
      </c>
      <c r="BB31" s="221">
        <f t="shared" ref="BB31:BB38" ca="1" si="186">OFFSET(AM31,-1,0)</f>
        <v>0</v>
      </c>
      <c r="BC31" s="221">
        <f t="shared" ref="BC31:BC38" ca="1" si="187">OFFSET(AN31,-1,0)</f>
        <v>0</v>
      </c>
      <c r="BD31" s="221">
        <f t="shared" ref="BD31:BD38" ca="1" si="188">OFFSET(AO31,-1,0)</f>
        <v>0</v>
      </c>
      <c r="BE31" s="221">
        <f t="shared" ref="BE31:BE38" ca="1" si="189">OFFSET(AP31,-1,0)</f>
        <v>0</v>
      </c>
      <c r="BF31" s="221">
        <f t="shared" ref="BF31:BF38" ca="1" si="190">OFFSET(AQ31,-1,0)</f>
        <v>0</v>
      </c>
      <c r="BG31" s="221">
        <f t="shared" ref="BG31:BG38" ca="1" si="191">OFFSET(AR31,-1,0)</f>
        <v>0</v>
      </c>
      <c r="BH31" s="221">
        <f t="shared" ca="1" si="111"/>
        <v>0</v>
      </c>
      <c r="BI31" s="221">
        <f t="shared" ca="1" si="112"/>
        <v>0</v>
      </c>
      <c r="BJ31" s="221"/>
      <c r="BK31" s="221">
        <f t="shared" ca="1" si="113"/>
        <v>0</v>
      </c>
      <c r="BM31" s="75">
        <f t="shared" si="166"/>
        <v>50100</v>
      </c>
      <c r="BN31" s="221">
        <f t="shared" ca="1" si="114"/>
        <v>0</v>
      </c>
      <c r="BO31" s="221">
        <f t="shared" ca="1" si="115"/>
        <v>0</v>
      </c>
      <c r="BP31" s="221">
        <f t="shared" ca="1" si="116"/>
        <v>0</v>
      </c>
      <c r="BQ31" s="221">
        <f t="shared" ca="1" si="117"/>
        <v>0</v>
      </c>
      <c r="BR31" s="221">
        <f t="shared" ca="1" si="118"/>
        <v>0</v>
      </c>
      <c r="BS31" s="221">
        <f t="shared" ca="1" si="119"/>
        <v>0</v>
      </c>
      <c r="BT31" s="221">
        <f t="shared" ca="1" si="120"/>
        <v>0</v>
      </c>
      <c r="BU31" s="221">
        <f t="shared" ca="1" si="121"/>
        <v>0</v>
      </c>
      <c r="BV31" s="221">
        <f t="shared" ca="1" si="122"/>
        <v>0</v>
      </c>
      <c r="BW31" s="221">
        <f t="shared" ca="1" si="123"/>
        <v>0</v>
      </c>
      <c r="BX31" s="221">
        <f t="shared" ca="1" si="124"/>
        <v>0</v>
      </c>
      <c r="BY31" s="221">
        <f t="shared" ca="1" si="125"/>
        <v>0</v>
      </c>
      <c r="BZ31" s="221">
        <f t="shared" si="126"/>
        <v>0</v>
      </c>
      <c r="CA31" s="221">
        <f t="shared" ca="1" si="127"/>
        <v>0</v>
      </c>
      <c r="CB31" s="221">
        <f t="shared" ca="1" si="128"/>
        <v>0</v>
      </c>
      <c r="CD31" s="75">
        <f t="shared" si="83"/>
        <v>50100</v>
      </c>
      <c r="CE31" s="340"/>
      <c r="CF31" s="343"/>
      <c r="CG31" s="343"/>
      <c r="CH31" s="343"/>
      <c r="CI31" s="343"/>
      <c r="CJ31" s="343"/>
      <c r="CK31" s="343"/>
      <c r="CL31" s="343"/>
      <c r="CM31" s="343"/>
      <c r="CN31" s="343"/>
      <c r="CO31" s="343"/>
      <c r="CP31" s="343"/>
      <c r="CQ31" s="236">
        <f t="shared" si="129"/>
        <v>0</v>
      </c>
      <c r="CS31" s="75">
        <f t="shared" si="130"/>
        <v>50100</v>
      </c>
      <c r="CT31" s="256">
        <f t="shared" si="131"/>
        <v>0</v>
      </c>
      <c r="CU31" s="256">
        <f>IF(HYPOTHETICAL_SCENARIO="Yes",IF((CU$10-SUM(CU$13:CU30))=CU$10,IF(CF31&lt;=0,0,ROUND(CF$47*ABSORPTION_SCENARIO,0)),MIN(CU$10-SUM(CU$13:CU30),ROUND(CF$47*ABSORPTION_SCENARIO,0))),CF31)</f>
        <v>0</v>
      </c>
      <c r="CV31" s="256">
        <f>IF(HYPOTHETICAL_SCENARIO="Yes",IF((CV$10-SUM(CV$13:CV30))=CV$10,IF(CG31&lt;=0,0,ROUND(CG$47*ABSORPTION_SCENARIO,0)),MIN(CV$10-SUM(CV$13:CV30),ROUND(CG$47*ABSORPTION_SCENARIO,0))),CG31)</f>
        <v>0</v>
      </c>
      <c r="CW31" s="256">
        <f>IF(HYPOTHETICAL_SCENARIO="Yes",IF((CW$10-SUM(CW$13:CW30))=CW$10,IF(CH31&lt;=0,0,ROUND(CH$47*ABSORPTION_SCENARIO,0)),MIN(CW$10-SUM(CW$13:CW30),ROUND(CH$47*ABSORPTION_SCENARIO,0))),CH31)</f>
        <v>0</v>
      </c>
      <c r="CX31" s="256">
        <f>IF(HYPOTHETICAL_SCENARIO="Yes",IF((CX$10-SUM(CX$13:CX30))=CX$10,IF(CI31&lt;=0,0,ROUND(CI$47*ABSORPTION_SCENARIO,0)),MIN(CX$10-SUM(CX$13:CX30),ROUND(CI$47*ABSORPTION_SCENARIO,0))),CI31)</f>
        <v>0</v>
      </c>
      <c r="CY31" s="256">
        <f>IF(HYPOTHETICAL_SCENARIO="Yes",IF((CY$10-SUM(CY$13:CY30))=CY$10,IF(CJ31&lt;=0,0,ROUND(CJ$47*ABSORPTION_SCENARIO,0)),MIN(CY$10-SUM(CY$13:CY30),ROUND(CJ$47*ABSORPTION_SCENARIO,0))),CJ31)</f>
        <v>0</v>
      </c>
      <c r="CZ31" s="256">
        <f>IF(HYPOTHETICAL_SCENARIO="Yes",IF((CZ$10-SUM(CZ$13:CZ30))=CZ$10,IF(CK31&lt;=0,0,ROUND(CK$47*ABSORPTION_SCENARIO,0)),MIN(CZ$10-SUM(CZ$13:CZ30),ROUND(CK$47*ABSORPTION_SCENARIO,0))),CK31)</f>
        <v>0</v>
      </c>
      <c r="DA31" s="256">
        <f>IF(HYPOTHETICAL_SCENARIO="Yes",IF((DA$10-SUM(DA$13:DA30))=DA$10,IF(CL31&lt;=0,0,ROUND(CL$47*ABSORPTION_SCENARIO,0)),MIN(DA$10-SUM(DA$13:DA30),ROUND(CL$47*ABSORPTION_SCENARIO,0))),CL31)</f>
        <v>0</v>
      </c>
      <c r="DB31" s="256">
        <f>IF(HYPOTHETICAL_SCENARIO="Yes",IF((DB$10-SUM(DB$13:DB30))=DB$10,IF(CM31&lt;=0,0,ROUND(CM$47*ABSORPTION_SCENARIO,0)),MIN(DB$10-SUM(DB$13:DB30),ROUND(CM$47*ABSORPTION_SCENARIO,0))),CM31)</f>
        <v>0</v>
      </c>
      <c r="DC31" s="256">
        <f>IF(HYPOTHETICAL_SCENARIO="Yes",IF((DC$10-SUM(DC$13:DC30))=DC$10,IF(CN31&lt;=0,0,ROUND(CN$47*ABSORPTION_SCENARIO,0)),MIN(DC$10-SUM(DC$13:DC30),ROUND(CN$47*ABSORPTION_SCENARIO,0))),CN31)</f>
        <v>0</v>
      </c>
      <c r="DD31" s="256">
        <f>IF(HYPOTHETICAL_SCENARIO="Yes",IF((DD$10-SUM(DD$13:DD30))=DD$10,IF(CO31&lt;=0,0,ROUND(CO$47*ABSORPTION_SCENARIO,0)),MIN(DD$10-SUM(DD$13:DD30),ROUND(CO$47*ABSORPTION_SCENARIO,0))),CO31)</f>
        <v>0</v>
      </c>
      <c r="DE31" s="256">
        <f>IF(HYPOTHETICAL_SCENARIO="Yes",IF((DE$10-SUM(DE$13:DE30))=DE$10,IF(CP31&lt;=0,0,ROUND(CP$47*ABSORPTION_SCENARIO,0)),MIN(DE$10-SUM(DE$13:DE30),ROUND(CP$47*ABSORPTION_SCENARIO,0))),CP31)</f>
        <v>0</v>
      </c>
      <c r="DF31" s="256">
        <f t="shared" si="132"/>
        <v>0</v>
      </c>
      <c r="DH31" s="75">
        <f t="shared" si="133"/>
        <v>50100</v>
      </c>
      <c r="DI31" s="75"/>
      <c r="DJ31" s="218">
        <f t="shared" si="182"/>
        <v>536925.29631216079</v>
      </c>
      <c r="DK31" s="218">
        <f t="shared" si="182"/>
        <v>579938.64877915708</v>
      </c>
      <c r="DL31" s="218">
        <f t="shared" si="182"/>
        <v>637857.61843768682</v>
      </c>
      <c r="DM31" s="218">
        <f t="shared" si="182"/>
        <v>722738.86707518715</v>
      </c>
      <c r="DN31" s="218">
        <f t="shared" si="182"/>
        <v>827885.88095831918</v>
      </c>
      <c r="DO31" s="218">
        <f t="shared" si="182"/>
        <v>933253.17489846889</v>
      </c>
      <c r="DP31" s="218">
        <f t="shared" si="182"/>
        <v>1042384.3207461949</v>
      </c>
      <c r="DQ31" s="218">
        <f t="shared" si="182"/>
        <v>1117646.6735605877</v>
      </c>
      <c r="DR31" s="218">
        <f t="shared" si="182"/>
        <v>0</v>
      </c>
      <c r="DS31" s="218">
        <f t="shared" si="182"/>
        <v>0</v>
      </c>
      <c r="DT31" s="218">
        <f t="shared" si="182"/>
        <v>0</v>
      </c>
      <c r="DW31" s="75">
        <f t="shared" si="144"/>
        <v>50100</v>
      </c>
      <c r="DX31" s="308"/>
      <c r="DY31" s="338"/>
      <c r="DZ31" s="221">
        <f t="shared" si="145"/>
        <v>0</v>
      </c>
      <c r="EA31" s="221">
        <f t="shared" si="146"/>
        <v>0</v>
      </c>
      <c r="EB31" s="221">
        <f t="shared" si="147"/>
        <v>0</v>
      </c>
      <c r="EC31" s="221">
        <f t="shared" si="148"/>
        <v>0</v>
      </c>
      <c r="ED31" s="221">
        <f t="shared" si="149"/>
        <v>0</v>
      </c>
      <c r="EE31" s="221">
        <f t="shared" si="150"/>
        <v>0</v>
      </c>
      <c r="EF31" s="221">
        <f t="shared" si="151"/>
        <v>0</v>
      </c>
      <c r="EG31" s="221">
        <f t="shared" si="152"/>
        <v>0</v>
      </c>
      <c r="EH31" s="221">
        <f t="shared" si="153"/>
        <v>0</v>
      </c>
      <c r="EI31" s="221">
        <f t="shared" si="154"/>
        <v>0</v>
      </c>
      <c r="EJ31" s="221">
        <f t="shared" si="155"/>
        <v>0</v>
      </c>
      <c r="EK31" s="221">
        <f t="shared" si="156"/>
        <v>0</v>
      </c>
      <c r="EL31" s="221">
        <f t="shared" si="157"/>
        <v>0</v>
      </c>
      <c r="EN31" s="75">
        <f t="shared" si="180"/>
        <v>50100</v>
      </c>
      <c r="EO31" s="308"/>
      <c r="EP31" s="338"/>
      <c r="EQ31" s="221">
        <f t="shared" ca="1" si="181"/>
        <v>0</v>
      </c>
      <c r="ER31" s="221">
        <f t="shared" ca="1" si="179"/>
        <v>0</v>
      </c>
      <c r="ES31" s="221">
        <f t="shared" ca="1" si="179"/>
        <v>0</v>
      </c>
      <c r="ET31" s="221">
        <f t="shared" ca="1" si="179"/>
        <v>0</v>
      </c>
      <c r="EU31" s="221">
        <f t="shared" ca="1" si="179"/>
        <v>0</v>
      </c>
      <c r="EV31" s="221">
        <f t="shared" ca="1" si="179"/>
        <v>0</v>
      </c>
      <c r="EW31" s="221">
        <f t="shared" ca="1" si="179"/>
        <v>0</v>
      </c>
      <c r="EX31" s="221">
        <f t="shared" ca="1" si="179"/>
        <v>0</v>
      </c>
      <c r="EY31" s="221">
        <f t="shared" ca="1" si="179"/>
        <v>0</v>
      </c>
      <c r="EZ31" s="221">
        <f t="shared" ca="1" si="179"/>
        <v>0</v>
      </c>
      <c r="FA31" s="221">
        <f t="shared" ca="1" si="179"/>
        <v>0</v>
      </c>
      <c r="FB31" s="221">
        <f t="shared" ca="1" si="179"/>
        <v>0</v>
      </c>
      <c r="FC31" s="221">
        <f t="shared" ca="1" si="179"/>
        <v>0</v>
      </c>
    </row>
    <row r="32" spans="4:159" x14ac:dyDescent="0.25">
      <c r="D32" s="75">
        <f t="shared" si="161"/>
        <v>50465</v>
      </c>
      <c r="E32" s="324"/>
      <c r="F32" s="341"/>
      <c r="G32" s="341"/>
      <c r="H32" s="341"/>
      <c r="I32" s="341"/>
      <c r="J32" s="341"/>
      <c r="K32" s="341"/>
      <c r="L32" s="341"/>
      <c r="M32" s="341"/>
      <c r="N32" s="341"/>
      <c r="O32" s="341"/>
      <c r="P32" s="341"/>
      <c r="Q32" s="256">
        <f t="shared" si="162"/>
        <v>0</v>
      </c>
      <c r="S32" s="271">
        <f t="shared" si="96"/>
        <v>50465</v>
      </c>
      <c r="T32" s="256">
        <f t="shared" si="60"/>
        <v>0</v>
      </c>
      <c r="U32" s="256">
        <f>IF(HYPOTHETICAL_SCENARIO="Yes",IF((U$10-SUM(U$13:U31))=U$10,IF(F32&lt;=0,0,ROUND(F$47*LOT_DELIVERY_SCENARIO,0)),MIN(U$10-SUM(U$13:U31),ROUND(F$47*LOT_DELIVERY_SCENARIO,0))),F32)</f>
        <v>0</v>
      </c>
      <c r="V32" s="256">
        <f>IF(HYPOTHETICAL_SCENARIO="Yes",IF((V$10-SUM(V$13:V31))=V$10,IF(G32&lt;=0,0,ROUND(G$47*LOT_DELIVERY_SCENARIO,0)),MIN(V$10-SUM(V$13:V31),ROUND(G$47*LOT_DELIVERY_SCENARIO,0))),G32)</f>
        <v>0</v>
      </c>
      <c r="W32" s="256">
        <f>IF(HYPOTHETICAL_SCENARIO="Yes",IF((W$10-SUM(W$13:W31))=W$10,IF(H32&lt;=0,0,ROUND(H$47*LOT_DELIVERY_SCENARIO,0)),MIN(W$10-SUM(W$13:W31),ROUND(H$47*LOT_DELIVERY_SCENARIO,0))),H32)</f>
        <v>0</v>
      </c>
      <c r="X32" s="256">
        <f>IF(HYPOTHETICAL_SCENARIO="Yes",IF((X$10-SUM(X$13:X31))=X$10,IF(I32&lt;=0,0,ROUND(I$47*LOT_DELIVERY_SCENARIO,0)),MIN(X$10-SUM(X$13:X31),ROUND(I$47*LOT_DELIVERY_SCENARIO,0))),I32)</f>
        <v>0</v>
      </c>
      <c r="Y32" s="256">
        <f>IF(HYPOTHETICAL_SCENARIO="Yes",IF((Y$10-SUM(Y$13:Y31))=Y$10,IF(J32&lt;=0,0,ROUND(J$47*LOT_DELIVERY_SCENARIO,0)),MIN(Y$10-SUM(Y$13:Y31),ROUND(J$47*LOT_DELIVERY_SCENARIO,0))),J32)</f>
        <v>0</v>
      </c>
      <c r="Z32" s="256">
        <f>IF(HYPOTHETICAL_SCENARIO="Yes",IF((Z$10-SUM(Z$13:Z31))=Z$10,IF(K32&lt;=0,0,ROUND(K$47*LOT_DELIVERY_SCENARIO,0)),MIN(Z$10-SUM(Z$13:Z31),ROUND(K$47*LOT_DELIVERY_SCENARIO,0))),K32)</f>
        <v>0</v>
      </c>
      <c r="AA32" s="256">
        <f>IF(HYPOTHETICAL_SCENARIO="Yes",IF((AA$10-SUM(AA$13:AA31))=AA$10,IF(L32&lt;=0,0,ROUND(L$47*LOT_DELIVERY_SCENARIO,0)),MIN(AA$10-SUM(AA$13:AA31),ROUND(L$47*LOT_DELIVERY_SCENARIO,0))),L32)</f>
        <v>0</v>
      </c>
      <c r="AB32" s="256">
        <f>IF(HYPOTHETICAL_SCENARIO="Yes",IF((AB$10-SUM(AB$13:AB31))=AB$10,IF(M32&lt;=0,0,ROUND(M$47*LOT_DELIVERY_SCENARIO,0)),MIN(AB$10-SUM(AB$13:AB31),ROUND(M$47*LOT_DELIVERY_SCENARIO,0))),M32)</f>
        <v>0</v>
      </c>
      <c r="AC32" s="256">
        <f>IF(HYPOTHETICAL_SCENARIO="Yes",IF((AC$10-SUM(AC$13:AC31))=AC$10,IF(N32&lt;=0,0,ROUND(N$47*LOT_DELIVERY_SCENARIO,0)),MIN(AC$10-SUM(AC$13:AC31),ROUND(N$47*LOT_DELIVERY_SCENARIO,0))),N32)</f>
        <v>0</v>
      </c>
      <c r="AD32" s="256">
        <f>IF(HYPOTHETICAL_SCENARIO="Yes",IF((AD$10-SUM(AD$13:AD31))=AD$10,IF(O32&lt;=0,0,ROUND(O$47*LOT_DELIVERY_SCENARIO,0)),MIN(AD$10-SUM(AD$13:AD31),ROUND(O$47*LOT_DELIVERY_SCENARIO,0))),O32)</f>
        <v>0</v>
      </c>
      <c r="AE32" s="256">
        <f>IF(HYPOTHETICAL_SCENARIO="Yes",IF((AE$10-SUM(AE$13:AE31))=AE$10,IF(P32&lt;=0,0,ROUND(P$47*LOT_DELIVERY_SCENARIO,0)),MIN(AE$10-SUM(AE$13:AE31),ROUND(P$47*LOT_DELIVERY_SCENARIO,0))),P32)</f>
        <v>0</v>
      </c>
      <c r="AF32" s="256">
        <f t="shared" si="97"/>
        <v>0</v>
      </c>
      <c r="AH32" s="75">
        <f t="shared" si="163"/>
        <v>50465</v>
      </c>
      <c r="AI32" s="221"/>
      <c r="AJ32" s="221">
        <f>(SUM(F$17:F32)-SUM(CF$17:CF32))*AJ$11</f>
        <v>0</v>
      </c>
      <c r="AK32" s="221">
        <f>(SUM(G$17:G32)-SUM(CG$17:CG32))*AK$11</f>
        <v>0</v>
      </c>
      <c r="AL32" s="221">
        <f>(SUM(H$17:H32)-SUM(CH$17:CH32))*AL$11</f>
        <v>0</v>
      </c>
      <c r="AM32" s="221">
        <f>(SUM(I$17:I32)-SUM(CI$17:CI32))*AM$11</f>
        <v>0</v>
      </c>
      <c r="AN32" s="221">
        <f>(SUM(J$17:J32)-SUM(CJ$17:CJ32))*AN$11</f>
        <v>0</v>
      </c>
      <c r="AO32" s="221">
        <f>(SUM(K$17:K32)-SUM(CK$17:CK32))*AO$11</f>
        <v>0</v>
      </c>
      <c r="AP32" s="221">
        <f>(SUM(L$17:L32)-SUM(CL$17:CL32))*AP$11</f>
        <v>0</v>
      </c>
      <c r="AQ32" s="221">
        <f>(SUM(M$17:M32)-SUM(CM$17:CM32))*AQ$11</f>
        <v>0</v>
      </c>
      <c r="AR32" s="221">
        <f>(SUM(N$17:N32)-SUM(CN$17:CN32))*AR$11</f>
        <v>0</v>
      </c>
      <c r="AS32" s="221">
        <f>(SUM(O$17:O32)-SUM(CO$17:CO32))*AS$11</f>
        <v>0</v>
      </c>
      <c r="AT32" s="221">
        <f>(SUM(P$17:P32)-SUM(CP$17:CP32))*AT$11</f>
        <v>0</v>
      </c>
      <c r="AU32" s="221">
        <f t="shared" si="109"/>
        <v>0</v>
      </c>
      <c r="AW32" s="75">
        <f t="shared" si="164"/>
        <v>50465</v>
      </c>
      <c r="AX32" s="221">
        <f t="shared" si="165"/>
        <v>0</v>
      </c>
      <c r="AY32" s="221">
        <f t="shared" ca="1" si="183"/>
        <v>0</v>
      </c>
      <c r="AZ32" s="221">
        <f t="shared" ca="1" si="184"/>
        <v>0</v>
      </c>
      <c r="BA32" s="221">
        <f t="shared" ca="1" si="185"/>
        <v>0</v>
      </c>
      <c r="BB32" s="221">
        <f t="shared" ca="1" si="186"/>
        <v>0</v>
      </c>
      <c r="BC32" s="221">
        <f t="shared" ca="1" si="187"/>
        <v>0</v>
      </c>
      <c r="BD32" s="221">
        <f t="shared" ca="1" si="188"/>
        <v>0</v>
      </c>
      <c r="BE32" s="221">
        <f t="shared" ca="1" si="189"/>
        <v>0</v>
      </c>
      <c r="BF32" s="221">
        <f t="shared" ca="1" si="190"/>
        <v>0</v>
      </c>
      <c r="BG32" s="221">
        <f t="shared" ca="1" si="191"/>
        <v>0</v>
      </c>
      <c r="BH32" s="221">
        <f t="shared" ca="1" si="111"/>
        <v>0</v>
      </c>
      <c r="BI32" s="221">
        <f t="shared" ca="1" si="112"/>
        <v>0</v>
      </c>
      <c r="BJ32" s="221"/>
      <c r="BK32" s="221">
        <f t="shared" ca="1" si="113"/>
        <v>0</v>
      </c>
      <c r="BM32" s="75">
        <f t="shared" si="166"/>
        <v>50465</v>
      </c>
      <c r="BN32" s="221">
        <f t="shared" ca="1" si="114"/>
        <v>0</v>
      </c>
      <c r="BO32" s="221">
        <f t="shared" ca="1" si="115"/>
        <v>0</v>
      </c>
      <c r="BP32" s="221">
        <f t="shared" ca="1" si="116"/>
        <v>0</v>
      </c>
      <c r="BQ32" s="221">
        <f t="shared" ca="1" si="117"/>
        <v>0</v>
      </c>
      <c r="BR32" s="221">
        <f t="shared" ca="1" si="118"/>
        <v>0</v>
      </c>
      <c r="BS32" s="221">
        <f t="shared" ca="1" si="119"/>
        <v>0</v>
      </c>
      <c r="BT32" s="221">
        <f t="shared" ca="1" si="120"/>
        <v>0</v>
      </c>
      <c r="BU32" s="221">
        <f t="shared" ca="1" si="121"/>
        <v>0</v>
      </c>
      <c r="BV32" s="221">
        <f t="shared" ca="1" si="122"/>
        <v>0</v>
      </c>
      <c r="BW32" s="221">
        <f t="shared" ca="1" si="123"/>
        <v>0</v>
      </c>
      <c r="BX32" s="221">
        <f t="shared" ca="1" si="124"/>
        <v>0</v>
      </c>
      <c r="BY32" s="221">
        <f t="shared" ca="1" si="125"/>
        <v>0</v>
      </c>
      <c r="BZ32" s="221">
        <f t="shared" si="126"/>
        <v>0</v>
      </c>
      <c r="CA32" s="221">
        <f t="shared" ca="1" si="127"/>
        <v>0</v>
      </c>
      <c r="CB32" s="221">
        <f t="shared" ca="1" si="128"/>
        <v>0</v>
      </c>
      <c r="CD32" s="75">
        <f t="shared" si="83"/>
        <v>50465</v>
      </c>
      <c r="CE32" s="340"/>
      <c r="CF32" s="343"/>
      <c r="CG32" s="343"/>
      <c r="CH32" s="343"/>
      <c r="CI32" s="343"/>
      <c r="CJ32" s="343"/>
      <c r="CK32" s="343"/>
      <c r="CL32" s="343"/>
      <c r="CM32" s="343"/>
      <c r="CN32" s="343"/>
      <c r="CO32" s="343"/>
      <c r="CP32" s="343"/>
      <c r="CQ32" s="236">
        <f t="shared" si="129"/>
        <v>0</v>
      </c>
      <c r="CS32" s="75">
        <f t="shared" si="130"/>
        <v>50465</v>
      </c>
      <c r="CT32" s="256">
        <f t="shared" si="131"/>
        <v>0</v>
      </c>
      <c r="CU32" s="256">
        <f>IF(HYPOTHETICAL_SCENARIO="Yes",IF((CU$10-SUM(CU$13:CU31))=CU$10,IF(CF32&lt;=0,0,ROUND(CF$47*ABSORPTION_SCENARIO,0)),MIN(CU$10-SUM(CU$13:CU31),ROUND(CF$47*ABSORPTION_SCENARIO,0))),CF32)</f>
        <v>0</v>
      </c>
      <c r="CV32" s="256">
        <f>IF(HYPOTHETICAL_SCENARIO="Yes",IF((CV$10-SUM(CV$13:CV31))=CV$10,IF(CG32&lt;=0,0,ROUND(CG$47*ABSORPTION_SCENARIO,0)),MIN(CV$10-SUM(CV$13:CV31),ROUND(CG$47*ABSORPTION_SCENARIO,0))),CG32)</f>
        <v>0</v>
      </c>
      <c r="CW32" s="256">
        <f>IF(HYPOTHETICAL_SCENARIO="Yes",IF((CW$10-SUM(CW$13:CW31))=CW$10,IF(CH32&lt;=0,0,ROUND(CH$47*ABSORPTION_SCENARIO,0)),MIN(CW$10-SUM(CW$13:CW31),ROUND(CH$47*ABSORPTION_SCENARIO,0))),CH32)</f>
        <v>0</v>
      </c>
      <c r="CX32" s="256">
        <f>IF(HYPOTHETICAL_SCENARIO="Yes",IF((CX$10-SUM(CX$13:CX31))=CX$10,IF(CI32&lt;=0,0,ROUND(CI$47*ABSORPTION_SCENARIO,0)),MIN(CX$10-SUM(CX$13:CX31),ROUND(CI$47*ABSORPTION_SCENARIO,0))),CI32)</f>
        <v>0</v>
      </c>
      <c r="CY32" s="256">
        <f>IF(HYPOTHETICAL_SCENARIO="Yes",IF((CY$10-SUM(CY$13:CY31))=CY$10,IF(CJ32&lt;=0,0,ROUND(CJ$47*ABSORPTION_SCENARIO,0)),MIN(CY$10-SUM(CY$13:CY31),ROUND(CJ$47*ABSORPTION_SCENARIO,0))),CJ32)</f>
        <v>0</v>
      </c>
      <c r="CZ32" s="256">
        <f>IF(HYPOTHETICAL_SCENARIO="Yes",IF((CZ$10-SUM(CZ$13:CZ31))=CZ$10,IF(CK32&lt;=0,0,ROUND(CK$47*ABSORPTION_SCENARIO,0)),MIN(CZ$10-SUM(CZ$13:CZ31),ROUND(CK$47*ABSORPTION_SCENARIO,0))),CK32)</f>
        <v>0</v>
      </c>
      <c r="DA32" s="256">
        <f>IF(HYPOTHETICAL_SCENARIO="Yes",IF((DA$10-SUM(DA$13:DA31))=DA$10,IF(CL32&lt;=0,0,ROUND(CL$47*ABSORPTION_SCENARIO,0)),MIN(DA$10-SUM(DA$13:DA31),ROUND(CL$47*ABSORPTION_SCENARIO,0))),CL32)</f>
        <v>0</v>
      </c>
      <c r="DB32" s="256">
        <f>IF(HYPOTHETICAL_SCENARIO="Yes",IF((DB$10-SUM(DB$13:DB31))=DB$10,IF(CM32&lt;=0,0,ROUND(CM$47*ABSORPTION_SCENARIO,0)),MIN(DB$10-SUM(DB$13:DB31),ROUND(CM$47*ABSORPTION_SCENARIO,0))),CM32)</f>
        <v>0</v>
      </c>
      <c r="DC32" s="256">
        <f>IF(HYPOTHETICAL_SCENARIO="Yes",IF((DC$10-SUM(DC$13:DC31))=DC$10,IF(CN32&lt;=0,0,ROUND(CN$47*ABSORPTION_SCENARIO,0)),MIN(DC$10-SUM(DC$13:DC31),ROUND(CN$47*ABSORPTION_SCENARIO,0))),CN32)</f>
        <v>0</v>
      </c>
      <c r="DD32" s="256">
        <f>IF(HYPOTHETICAL_SCENARIO="Yes",IF((DD$10-SUM(DD$13:DD31))=DD$10,IF(CO32&lt;=0,0,ROUND(CO$47*ABSORPTION_SCENARIO,0)),MIN(DD$10-SUM(DD$13:DD31),ROUND(CO$47*ABSORPTION_SCENARIO,0))),CO32)</f>
        <v>0</v>
      </c>
      <c r="DE32" s="256">
        <f>IF(HYPOTHETICAL_SCENARIO="Yes",IF((DE$10-SUM(DE$13:DE31))=DE$10,IF(CP32&lt;=0,0,ROUND(CP$47*ABSORPTION_SCENARIO,0)),MIN(DE$10-SUM(DE$13:DE31),ROUND(CP$47*ABSORPTION_SCENARIO,0))),CP32)</f>
        <v>0</v>
      </c>
      <c r="DF32" s="256">
        <f t="shared" si="132"/>
        <v>0</v>
      </c>
      <c r="DH32" s="75">
        <f t="shared" si="133"/>
        <v>50465</v>
      </c>
      <c r="DI32" s="75"/>
      <c r="DJ32" s="218">
        <f t="shared" si="182"/>
        <v>553033.05520152568</v>
      </c>
      <c r="DK32" s="218">
        <f t="shared" si="182"/>
        <v>597336.80824253184</v>
      </c>
      <c r="DL32" s="218">
        <f t="shared" si="182"/>
        <v>656993.34699081746</v>
      </c>
      <c r="DM32" s="218">
        <f t="shared" si="182"/>
        <v>744421.03308744286</v>
      </c>
      <c r="DN32" s="218">
        <f t="shared" si="182"/>
        <v>852722.45738706877</v>
      </c>
      <c r="DO32" s="218">
        <f t="shared" si="182"/>
        <v>961250.77014542301</v>
      </c>
      <c r="DP32" s="218">
        <f t="shared" si="182"/>
        <v>1073655.850368581</v>
      </c>
      <c r="DQ32" s="218">
        <f t="shared" si="182"/>
        <v>1151176.0737674052</v>
      </c>
      <c r="DR32" s="218">
        <f t="shared" si="182"/>
        <v>0</v>
      </c>
      <c r="DS32" s="218">
        <f t="shared" si="182"/>
        <v>0</v>
      </c>
      <c r="DT32" s="218">
        <f t="shared" si="182"/>
        <v>0</v>
      </c>
      <c r="DW32" s="75">
        <f t="shared" si="144"/>
        <v>50465</v>
      </c>
      <c r="DX32" s="308"/>
      <c r="DY32" s="338"/>
      <c r="DZ32" s="221">
        <f t="shared" si="145"/>
        <v>0</v>
      </c>
      <c r="EA32" s="221">
        <f t="shared" si="146"/>
        <v>0</v>
      </c>
      <c r="EB32" s="221">
        <f t="shared" si="147"/>
        <v>0</v>
      </c>
      <c r="EC32" s="221">
        <f t="shared" si="148"/>
        <v>0</v>
      </c>
      <c r="ED32" s="221">
        <f t="shared" si="149"/>
        <v>0</v>
      </c>
      <c r="EE32" s="221">
        <f t="shared" si="150"/>
        <v>0</v>
      </c>
      <c r="EF32" s="221">
        <f t="shared" si="151"/>
        <v>0</v>
      </c>
      <c r="EG32" s="221">
        <f t="shared" si="152"/>
        <v>0</v>
      </c>
      <c r="EH32" s="221">
        <f t="shared" si="153"/>
        <v>0</v>
      </c>
      <c r="EI32" s="221">
        <f t="shared" si="154"/>
        <v>0</v>
      </c>
      <c r="EJ32" s="221">
        <f t="shared" si="155"/>
        <v>0</v>
      </c>
      <c r="EK32" s="221">
        <f t="shared" si="156"/>
        <v>0</v>
      </c>
      <c r="EL32" s="221">
        <f t="shared" si="157"/>
        <v>0</v>
      </c>
      <c r="EN32" s="75">
        <f t="shared" si="180"/>
        <v>50465</v>
      </c>
      <c r="EO32" s="308"/>
      <c r="EP32" s="338"/>
      <c r="EQ32" s="221">
        <f t="shared" ca="1" si="181"/>
        <v>0</v>
      </c>
      <c r="ER32" s="221">
        <f t="shared" ca="1" si="179"/>
        <v>0</v>
      </c>
      <c r="ES32" s="221">
        <f t="shared" ca="1" si="179"/>
        <v>0</v>
      </c>
      <c r="ET32" s="221">
        <f t="shared" ca="1" si="179"/>
        <v>0</v>
      </c>
      <c r="EU32" s="221">
        <f t="shared" ca="1" si="179"/>
        <v>0</v>
      </c>
      <c r="EV32" s="221">
        <f t="shared" ca="1" si="179"/>
        <v>0</v>
      </c>
      <c r="EW32" s="221">
        <f t="shared" ca="1" si="179"/>
        <v>0</v>
      </c>
      <c r="EX32" s="221">
        <f t="shared" ca="1" si="179"/>
        <v>0</v>
      </c>
      <c r="EY32" s="221">
        <f t="shared" ca="1" si="179"/>
        <v>0</v>
      </c>
      <c r="EZ32" s="221">
        <f t="shared" ca="1" si="179"/>
        <v>0</v>
      </c>
      <c r="FA32" s="221">
        <f t="shared" ca="1" si="179"/>
        <v>0</v>
      </c>
      <c r="FB32" s="221">
        <f t="shared" ca="1" si="179"/>
        <v>0</v>
      </c>
      <c r="FC32" s="221">
        <f t="shared" ca="1" si="179"/>
        <v>0</v>
      </c>
    </row>
    <row r="33" spans="4:159" x14ac:dyDescent="0.25">
      <c r="D33" s="75">
        <f t="shared" si="161"/>
        <v>50830</v>
      </c>
      <c r="E33" s="324"/>
      <c r="F33" s="341"/>
      <c r="G33" s="341"/>
      <c r="H33" s="341"/>
      <c r="I33" s="341"/>
      <c r="J33" s="341"/>
      <c r="K33" s="341"/>
      <c r="L33" s="341"/>
      <c r="M33" s="341"/>
      <c r="N33" s="341"/>
      <c r="O33" s="341"/>
      <c r="P33" s="341"/>
      <c r="Q33" s="256">
        <f t="shared" si="162"/>
        <v>0</v>
      </c>
      <c r="S33" s="271">
        <f t="shared" si="96"/>
        <v>50830</v>
      </c>
      <c r="T33" s="256">
        <f t="shared" si="60"/>
        <v>0</v>
      </c>
      <c r="U33" s="256">
        <f>IF(HYPOTHETICAL_SCENARIO="Yes",IF((U$10-SUM(U$13:U32))=U$10,IF(F33&lt;=0,0,ROUND(F$47*LOT_DELIVERY_SCENARIO,0)),MIN(U$10-SUM(U$13:U32),ROUND(F$47*LOT_DELIVERY_SCENARIO,0))),F33)</f>
        <v>0</v>
      </c>
      <c r="V33" s="256">
        <f>IF(HYPOTHETICAL_SCENARIO="Yes",IF((V$10-SUM(V$13:V32))=V$10,IF(G33&lt;=0,0,ROUND(G$47*LOT_DELIVERY_SCENARIO,0)),MIN(V$10-SUM(V$13:V32),ROUND(G$47*LOT_DELIVERY_SCENARIO,0))),G33)</f>
        <v>0</v>
      </c>
      <c r="W33" s="256">
        <f>IF(HYPOTHETICAL_SCENARIO="Yes",IF((W$10-SUM(W$13:W32))=W$10,IF(H33&lt;=0,0,ROUND(H$47*LOT_DELIVERY_SCENARIO,0)),MIN(W$10-SUM(W$13:W32),ROUND(H$47*LOT_DELIVERY_SCENARIO,0))),H33)</f>
        <v>0</v>
      </c>
      <c r="X33" s="256">
        <f>IF(HYPOTHETICAL_SCENARIO="Yes",IF((X$10-SUM(X$13:X32))=X$10,IF(I33&lt;=0,0,ROUND(I$47*LOT_DELIVERY_SCENARIO,0)),MIN(X$10-SUM(X$13:X32),ROUND(I$47*LOT_DELIVERY_SCENARIO,0))),I33)</f>
        <v>0</v>
      </c>
      <c r="Y33" s="256">
        <f>IF(HYPOTHETICAL_SCENARIO="Yes",IF((Y$10-SUM(Y$13:Y32))=Y$10,IF(J33&lt;=0,0,ROUND(J$47*LOT_DELIVERY_SCENARIO,0)),MIN(Y$10-SUM(Y$13:Y32),ROUND(J$47*LOT_DELIVERY_SCENARIO,0))),J33)</f>
        <v>0</v>
      </c>
      <c r="Z33" s="256">
        <f>IF(HYPOTHETICAL_SCENARIO="Yes",IF((Z$10-SUM(Z$13:Z32))=Z$10,IF(K33&lt;=0,0,ROUND(K$47*LOT_DELIVERY_SCENARIO,0)),MIN(Z$10-SUM(Z$13:Z32),ROUND(K$47*LOT_DELIVERY_SCENARIO,0))),K33)</f>
        <v>0</v>
      </c>
      <c r="AA33" s="256">
        <f>IF(HYPOTHETICAL_SCENARIO="Yes",IF((AA$10-SUM(AA$13:AA32))=AA$10,IF(L33&lt;=0,0,ROUND(L$47*LOT_DELIVERY_SCENARIO,0)),MIN(AA$10-SUM(AA$13:AA32),ROUND(L$47*LOT_DELIVERY_SCENARIO,0))),L33)</f>
        <v>0</v>
      </c>
      <c r="AB33" s="256">
        <f>IF(HYPOTHETICAL_SCENARIO="Yes",IF((AB$10-SUM(AB$13:AB32))=AB$10,IF(M33&lt;=0,0,ROUND(M$47*LOT_DELIVERY_SCENARIO,0)),MIN(AB$10-SUM(AB$13:AB32),ROUND(M$47*LOT_DELIVERY_SCENARIO,0))),M33)</f>
        <v>0</v>
      </c>
      <c r="AC33" s="256">
        <f>IF(HYPOTHETICAL_SCENARIO="Yes",IF((AC$10-SUM(AC$13:AC32))=AC$10,IF(N33&lt;=0,0,ROUND(N$47*LOT_DELIVERY_SCENARIO,0)),MIN(AC$10-SUM(AC$13:AC32),ROUND(N$47*LOT_DELIVERY_SCENARIO,0))),N33)</f>
        <v>0</v>
      </c>
      <c r="AD33" s="256">
        <f>IF(HYPOTHETICAL_SCENARIO="Yes",IF((AD$10-SUM(AD$13:AD32))=AD$10,IF(O33&lt;=0,0,ROUND(O$47*LOT_DELIVERY_SCENARIO,0)),MIN(AD$10-SUM(AD$13:AD32),ROUND(O$47*LOT_DELIVERY_SCENARIO,0))),O33)</f>
        <v>0</v>
      </c>
      <c r="AE33" s="256">
        <f>IF(HYPOTHETICAL_SCENARIO="Yes",IF((AE$10-SUM(AE$13:AE32))=AE$10,IF(P33&lt;=0,0,ROUND(P$47*LOT_DELIVERY_SCENARIO,0)),MIN(AE$10-SUM(AE$13:AE32),ROUND(P$47*LOT_DELIVERY_SCENARIO,0))),P33)</f>
        <v>0</v>
      </c>
      <c r="AF33" s="256">
        <f t="shared" si="97"/>
        <v>0</v>
      </c>
      <c r="AH33" s="75">
        <f t="shared" si="163"/>
        <v>50830</v>
      </c>
      <c r="AI33" s="221"/>
      <c r="AJ33" s="221">
        <f>(SUM(F$17:F33)-SUM(CF$17:CF33))*AJ$11</f>
        <v>0</v>
      </c>
      <c r="AK33" s="221">
        <f>(SUM(G$17:G33)-SUM(CG$17:CG33))*AK$11</f>
        <v>0</v>
      </c>
      <c r="AL33" s="221">
        <f>(SUM(H$17:H33)-SUM(CH$17:CH33))*AL$11</f>
        <v>0</v>
      </c>
      <c r="AM33" s="221">
        <f>(SUM(I$17:I33)-SUM(CI$17:CI33))*AM$11</f>
        <v>0</v>
      </c>
      <c r="AN33" s="221">
        <f>(SUM(J$17:J33)-SUM(CJ$17:CJ33))*AN$11</f>
        <v>0</v>
      </c>
      <c r="AO33" s="221">
        <f>(SUM(K$17:K33)-SUM(CK$17:CK33))*AO$11</f>
        <v>0</v>
      </c>
      <c r="AP33" s="221">
        <f>(SUM(L$17:L33)-SUM(CL$17:CL33))*AP$11</f>
        <v>0</v>
      </c>
      <c r="AQ33" s="221">
        <f>(SUM(M$17:M33)-SUM(CM$17:CM33))*AQ$11</f>
        <v>0</v>
      </c>
      <c r="AR33" s="221">
        <f>(SUM(N$17:N33)-SUM(CN$17:CN33))*AR$11</f>
        <v>0</v>
      </c>
      <c r="AS33" s="221">
        <f>(SUM(O$17:O33)-SUM(CO$17:CO33))*AS$11</f>
        <v>0</v>
      </c>
      <c r="AT33" s="221">
        <f>(SUM(P$17:P33)-SUM(CP$17:CP33))*AT$11</f>
        <v>0</v>
      </c>
      <c r="AU33" s="221">
        <f t="shared" si="109"/>
        <v>0</v>
      </c>
      <c r="AW33" s="75">
        <f t="shared" si="164"/>
        <v>50830</v>
      </c>
      <c r="AX33" s="221">
        <f t="shared" si="165"/>
        <v>0</v>
      </c>
      <c r="AY33" s="221">
        <f t="shared" ca="1" si="183"/>
        <v>0</v>
      </c>
      <c r="AZ33" s="221">
        <f t="shared" ca="1" si="184"/>
        <v>0</v>
      </c>
      <c r="BA33" s="221">
        <f t="shared" ca="1" si="185"/>
        <v>0</v>
      </c>
      <c r="BB33" s="221">
        <f t="shared" ca="1" si="186"/>
        <v>0</v>
      </c>
      <c r="BC33" s="221">
        <f t="shared" ca="1" si="187"/>
        <v>0</v>
      </c>
      <c r="BD33" s="221">
        <f t="shared" ca="1" si="188"/>
        <v>0</v>
      </c>
      <c r="BE33" s="221">
        <f t="shared" ca="1" si="189"/>
        <v>0</v>
      </c>
      <c r="BF33" s="221">
        <f t="shared" ca="1" si="190"/>
        <v>0</v>
      </c>
      <c r="BG33" s="221">
        <f t="shared" ca="1" si="191"/>
        <v>0</v>
      </c>
      <c r="BH33" s="221">
        <f t="shared" ca="1" si="111"/>
        <v>0</v>
      </c>
      <c r="BI33" s="221">
        <f t="shared" ca="1" si="112"/>
        <v>0</v>
      </c>
      <c r="BJ33" s="221"/>
      <c r="BK33" s="221">
        <f t="shared" ca="1" si="113"/>
        <v>0</v>
      </c>
      <c r="BM33" s="75">
        <f t="shared" si="166"/>
        <v>50830</v>
      </c>
      <c r="BN33" s="221">
        <f t="shared" ca="1" si="114"/>
        <v>0</v>
      </c>
      <c r="BO33" s="221">
        <f t="shared" ca="1" si="115"/>
        <v>0</v>
      </c>
      <c r="BP33" s="221">
        <f t="shared" ca="1" si="116"/>
        <v>0</v>
      </c>
      <c r="BQ33" s="221">
        <f t="shared" ca="1" si="117"/>
        <v>0</v>
      </c>
      <c r="BR33" s="221">
        <f t="shared" ca="1" si="118"/>
        <v>0</v>
      </c>
      <c r="BS33" s="221">
        <f t="shared" ca="1" si="119"/>
        <v>0</v>
      </c>
      <c r="BT33" s="221">
        <f t="shared" ca="1" si="120"/>
        <v>0</v>
      </c>
      <c r="BU33" s="221">
        <f t="shared" ca="1" si="121"/>
        <v>0</v>
      </c>
      <c r="BV33" s="221">
        <f t="shared" ca="1" si="122"/>
        <v>0</v>
      </c>
      <c r="BW33" s="221">
        <f t="shared" ca="1" si="123"/>
        <v>0</v>
      </c>
      <c r="BX33" s="221">
        <f t="shared" ca="1" si="124"/>
        <v>0</v>
      </c>
      <c r="BY33" s="221">
        <f t="shared" ca="1" si="125"/>
        <v>0</v>
      </c>
      <c r="BZ33" s="221">
        <f t="shared" si="126"/>
        <v>0</v>
      </c>
      <c r="CA33" s="221">
        <f t="shared" ca="1" si="127"/>
        <v>0</v>
      </c>
      <c r="CB33" s="221">
        <f t="shared" ca="1" si="128"/>
        <v>0</v>
      </c>
      <c r="CD33" s="75">
        <f t="shared" si="83"/>
        <v>50830</v>
      </c>
      <c r="CE33" s="340"/>
      <c r="CF33" s="343"/>
      <c r="CG33" s="343"/>
      <c r="CH33" s="343"/>
      <c r="CI33" s="343"/>
      <c r="CJ33" s="343"/>
      <c r="CK33" s="343"/>
      <c r="CL33" s="343"/>
      <c r="CM33" s="343"/>
      <c r="CN33" s="343"/>
      <c r="CO33" s="343"/>
      <c r="CP33" s="343"/>
      <c r="CQ33" s="236">
        <f t="shared" si="129"/>
        <v>0</v>
      </c>
      <c r="CS33" s="75">
        <f t="shared" si="130"/>
        <v>50830</v>
      </c>
      <c r="CT33" s="256">
        <f t="shared" si="131"/>
        <v>0</v>
      </c>
      <c r="CU33" s="256">
        <f>IF(HYPOTHETICAL_SCENARIO="Yes",IF((CU$10-SUM(CU$13:CU32))=CU$10,IF(CF33&lt;=0,0,ROUND(CF$47*ABSORPTION_SCENARIO,0)),MIN(CU$10-SUM(CU$13:CU32),ROUND(CF$47*ABSORPTION_SCENARIO,0))),CF33)</f>
        <v>0</v>
      </c>
      <c r="CV33" s="256">
        <f>IF(HYPOTHETICAL_SCENARIO="Yes",IF((CV$10-SUM(CV$13:CV32))=CV$10,IF(CG33&lt;=0,0,ROUND(CG$47*ABSORPTION_SCENARIO,0)),MIN(CV$10-SUM(CV$13:CV32),ROUND(CG$47*ABSORPTION_SCENARIO,0))),CG33)</f>
        <v>0</v>
      </c>
      <c r="CW33" s="256">
        <f>IF(HYPOTHETICAL_SCENARIO="Yes",IF((CW$10-SUM(CW$13:CW32))=CW$10,IF(CH33&lt;=0,0,ROUND(CH$47*ABSORPTION_SCENARIO,0)),MIN(CW$10-SUM(CW$13:CW32),ROUND(CH$47*ABSORPTION_SCENARIO,0))),CH33)</f>
        <v>0</v>
      </c>
      <c r="CX33" s="256">
        <f>IF(HYPOTHETICAL_SCENARIO="Yes",IF((CX$10-SUM(CX$13:CX32))=CX$10,IF(CI33&lt;=0,0,ROUND(CI$47*ABSORPTION_SCENARIO,0)),MIN(CX$10-SUM(CX$13:CX32),ROUND(CI$47*ABSORPTION_SCENARIO,0))),CI33)</f>
        <v>0</v>
      </c>
      <c r="CY33" s="256">
        <f>IF(HYPOTHETICAL_SCENARIO="Yes",IF((CY$10-SUM(CY$13:CY32))=CY$10,IF(CJ33&lt;=0,0,ROUND(CJ$47*ABSORPTION_SCENARIO,0)),MIN(CY$10-SUM(CY$13:CY32),ROUND(CJ$47*ABSORPTION_SCENARIO,0))),CJ33)</f>
        <v>0</v>
      </c>
      <c r="CZ33" s="256">
        <f>IF(HYPOTHETICAL_SCENARIO="Yes",IF((CZ$10-SUM(CZ$13:CZ32))=CZ$10,IF(CK33&lt;=0,0,ROUND(CK$47*ABSORPTION_SCENARIO,0)),MIN(CZ$10-SUM(CZ$13:CZ32),ROUND(CK$47*ABSORPTION_SCENARIO,0))),CK33)</f>
        <v>0</v>
      </c>
      <c r="DA33" s="256">
        <f>IF(HYPOTHETICAL_SCENARIO="Yes",IF((DA$10-SUM(DA$13:DA32))=DA$10,IF(CL33&lt;=0,0,ROUND(CL$47*ABSORPTION_SCENARIO,0)),MIN(DA$10-SUM(DA$13:DA32),ROUND(CL$47*ABSORPTION_SCENARIO,0))),CL33)</f>
        <v>0</v>
      </c>
      <c r="DB33" s="256">
        <f>IF(HYPOTHETICAL_SCENARIO="Yes",IF((DB$10-SUM(DB$13:DB32))=DB$10,IF(CM33&lt;=0,0,ROUND(CM$47*ABSORPTION_SCENARIO,0)),MIN(DB$10-SUM(DB$13:DB32),ROUND(CM$47*ABSORPTION_SCENARIO,0))),CM33)</f>
        <v>0</v>
      </c>
      <c r="DC33" s="256">
        <f>IF(HYPOTHETICAL_SCENARIO="Yes",IF((DC$10-SUM(DC$13:DC32))=DC$10,IF(CN33&lt;=0,0,ROUND(CN$47*ABSORPTION_SCENARIO,0)),MIN(DC$10-SUM(DC$13:DC32),ROUND(CN$47*ABSORPTION_SCENARIO,0))),CN33)</f>
        <v>0</v>
      </c>
      <c r="DD33" s="256">
        <f>IF(HYPOTHETICAL_SCENARIO="Yes",IF((DD$10-SUM(DD$13:DD32))=DD$10,IF(CO33&lt;=0,0,ROUND(CO$47*ABSORPTION_SCENARIO,0)),MIN(DD$10-SUM(DD$13:DD32),ROUND(CO$47*ABSORPTION_SCENARIO,0))),CO33)</f>
        <v>0</v>
      </c>
      <c r="DE33" s="256">
        <f>IF(HYPOTHETICAL_SCENARIO="Yes",IF((DE$10-SUM(DE$13:DE32))=DE$10,IF(CP33&lt;=0,0,ROUND(CP$47*ABSORPTION_SCENARIO,0)),MIN(DE$10-SUM(DE$13:DE32),ROUND(CP$47*ABSORPTION_SCENARIO,0))),CP33)</f>
        <v>0</v>
      </c>
      <c r="DF33" s="256">
        <f t="shared" si="132"/>
        <v>0</v>
      </c>
      <c r="DH33" s="75">
        <f t="shared" si="133"/>
        <v>50830</v>
      </c>
      <c r="DI33" s="75"/>
      <c r="DJ33" s="218">
        <f t="shared" si="182"/>
        <v>569624.04685757146</v>
      </c>
      <c r="DK33" s="218">
        <f t="shared" si="182"/>
        <v>615256.91248980793</v>
      </c>
      <c r="DL33" s="218">
        <f t="shared" si="182"/>
        <v>676703.14740054205</v>
      </c>
      <c r="DM33" s="218">
        <f t="shared" si="182"/>
        <v>766753.66408006626</v>
      </c>
      <c r="DN33" s="218">
        <f t="shared" si="182"/>
        <v>878304.13110868097</v>
      </c>
      <c r="DO33" s="218">
        <f t="shared" si="182"/>
        <v>990088.29324978578</v>
      </c>
      <c r="DP33" s="218">
        <f t="shared" si="182"/>
        <v>1105865.5258796385</v>
      </c>
      <c r="DQ33" s="218">
        <f t="shared" si="182"/>
        <v>1185711.3559804275</v>
      </c>
      <c r="DR33" s="218">
        <f t="shared" si="182"/>
        <v>0</v>
      </c>
      <c r="DS33" s="218">
        <f t="shared" si="182"/>
        <v>0</v>
      </c>
      <c r="DT33" s="218">
        <f t="shared" si="182"/>
        <v>0</v>
      </c>
      <c r="DW33" s="75">
        <f t="shared" si="144"/>
        <v>50830</v>
      </c>
      <c r="DX33" s="308"/>
      <c r="DY33" s="338"/>
      <c r="DZ33" s="221">
        <f t="shared" si="145"/>
        <v>0</v>
      </c>
      <c r="EA33" s="221">
        <f t="shared" si="146"/>
        <v>0</v>
      </c>
      <c r="EB33" s="221">
        <f t="shared" si="147"/>
        <v>0</v>
      </c>
      <c r="EC33" s="221">
        <f t="shared" si="148"/>
        <v>0</v>
      </c>
      <c r="ED33" s="221">
        <f t="shared" si="149"/>
        <v>0</v>
      </c>
      <c r="EE33" s="221">
        <f t="shared" si="150"/>
        <v>0</v>
      </c>
      <c r="EF33" s="221">
        <f t="shared" si="151"/>
        <v>0</v>
      </c>
      <c r="EG33" s="221">
        <f t="shared" si="152"/>
        <v>0</v>
      </c>
      <c r="EH33" s="221">
        <f t="shared" si="153"/>
        <v>0</v>
      </c>
      <c r="EI33" s="221">
        <f t="shared" si="154"/>
        <v>0</v>
      </c>
      <c r="EJ33" s="221">
        <f t="shared" si="155"/>
        <v>0</v>
      </c>
      <c r="EK33" s="221">
        <f t="shared" si="156"/>
        <v>0</v>
      </c>
      <c r="EL33" s="221">
        <f t="shared" si="157"/>
        <v>0</v>
      </c>
      <c r="EN33" s="75">
        <f t="shared" si="180"/>
        <v>50830</v>
      </c>
      <c r="EO33" s="308"/>
      <c r="EP33" s="338"/>
      <c r="EQ33" s="221">
        <f t="shared" ca="1" si="181"/>
        <v>0</v>
      </c>
      <c r="ER33" s="221">
        <f t="shared" ref="ER33:ER38" ca="1" si="192">OFFSET(EA33,-1,0)</f>
        <v>0</v>
      </c>
      <c r="ES33" s="221">
        <f t="shared" ref="ES33:ES38" ca="1" si="193">OFFSET(EB33,-1,0)</f>
        <v>0</v>
      </c>
      <c r="ET33" s="221">
        <f t="shared" ref="ET33:ET38" ca="1" si="194">OFFSET(EC33,-1,0)</f>
        <v>0</v>
      </c>
      <c r="EU33" s="221">
        <f t="shared" ref="EU33:EU38" ca="1" si="195">OFFSET(ED33,-1,0)</f>
        <v>0</v>
      </c>
      <c r="EV33" s="221">
        <f t="shared" ref="EV33:EV38" ca="1" si="196">OFFSET(EE33,-1,0)</f>
        <v>0</v>
      </c>
      <c r="EW33" s="221">
        <f t="shared" ref="EW33:EW38" ca="1" si="197">OFFSET(EF33,-1,0)</f>
        <v>0</v>
      </c>
      <c r="EX33" s="221">
        <f t="shared" ref="EX33:EX38" ca="1" si="198">OFFSET(EG33,-1,0)</f>
        <v>0</v>
      </c>
      <c r="EY33" s="221">
        <f t="shared" ref="EY33:EY38" ca="1" si="199">OFFSET(EH33,-1,0)</f>
        <v>0</v>
      </c>
      <c r="EZ33" s="221">
        <f t="shared" ref="EZ33:EZ38" ca="1" si="200">OFFSET(EI33,-1,0)</f>
        <v>0</v>
      </c>
      <c r="FA33" s="221">
        <f t="shared" ref="FA33:FA38" ca="1" si="201">OFFSET(EJ33,-1,0)</f>
        <v>0</v>
      </c>
      <c r="FB33" s="221">
        <f t="shared" ref="FB33:FB38" ca="1" si="202">OFFSET(EK33,-1,0)</f>
        <v>0</v>
      </c>
      <c r="FC33" s="221">
        <f t="shared" ref="FC33:FC38" ca="1" si="203">OFFSET(EL33,-1,0)</f>
        <v>0</v>
      </c>
    </row>
    <row r="34" spans="4:159" x14ac:dyDescent="0.25">
      <c r="D34" s="75">
        <f t="shared" si="161"/>
        <v>51196</v>
      </c>
      <c r="E34" s="324"/>
      <c r="F34" s="341"/>
      <c r="G34" s="341"/>
      <c r="H34" s="341"/>
      <c r="I34" s="341"/>
      <c r="J34" s="341"/>
      <c r="K34" s="341"/>
      <c r="L34" s="341"/>
      <c r="M34" s="341"/>
      <c r="N34" s="341"/>
      <c r="O34" s="341"/>
      <c r="P34" s="341"/>
      <c r="Q34" s="256">
        <f t="shared" si="162"/>
        <v>0</v>
      </c>
      <c r="S34" s="271">
        <f t="shared" si="96"/>
        <v>51196</v>
      </c>
      <c r="T34" s="256"/>
      <c r="U34" s="256">
        <f>IF(HYPOTHETICAL_SCENARIO="Yes",IF((U$10-SUM(U$13:U33))=U$10,IF(F34&lt;=0,0,ROUND(F$47*LOT_DELIVERY_SCENARIO,0)),MIN(U$10-SUM(U$13:U33),ROUND(F$47*LOT_DELIVERY_SCENARIO,0))),F34)</f>
        <v>0</v>
      </c>
      <c r="V34" s="256">
        <f>IF(HYPOTHETICAL_SCENARIO="Yes",IF((V$10-SUM(V$13:V33))=V$10,IF(G34&lt;=0,0,ROUND(G$47*LOT_DELIVERY_SCENARIO,0)),MIN(V$10-SUM(V$13:V33),ROUND(G$47*LOT_DELIVERY_SCENARIO,0))),G34)</f>
        <v>0</v>
      </c>
      <c r="W34" s="256">
        <f>IF(HYPOTHETICAL_SCENARIO="Yes",IF((W$10-SUM(W$13:W33))=W$10,IF(H34&lt;=0,0,ROUND(H$47*LOT_DELIVERY_SCENARIO,0)),MIN(W$10-SUM(W$13:W33),ROUND(H$47*LOT_DELIVERY_SCENARIO,0))),H34)</f>
        <v>0</v>
      </c>
      <c r="X34" s="256">
        <f>IF(HYPOTHETICAL_SCENARIO="Yes",IF((X$10-SUM(X$13:X33))=X$10,IF(I34&lt;=0,0,ROUND(I$47*LOT_DELIVERY_SCENARIO,0)),MIN(X$10-SUM(X$13:X33),ROUND(I$47*LOT_DELIVERY_SCENARIO,0))),I34)</f>
        <v>0</v>
      </c>
      <c r="Y34" s="256">
        <f>IF(HYPOTHETICAL_SCENARIO="Yes",IF((Y$10-SUM(Y$13:Y33))=Y$10,IF(J34&lt;=0,0,ROUND(J$47*LOT_DELIVERY_SCENARIO,0)),MIN(Y$10-SUM(Y$13:Y33),ROUND(J$47*LOT_DELIVERY_SCENARIO,0))),J34)</f>
        <v>0</v>
      </c>
      <c r="Z34" s="256">
        <f>IF(HYPOTHETICAL_SCENARIO="Yes",IF((Z$10-SUM(Z$13:Z33))=Z$10,IF(K34&lt;=0,0,ROUND(K$47*LOT_DELIVERY_SCENARIO,0)),MIN(Z$10-SUM(Z$13:Z33),ROUND(K$47*LOT_DELIVERY_SCENARIO,0))),K34)</f>
        <v>0</v>
      </c>
      <c r="AA34" s="256">
        <f>IF(HYPOTHETICAL_SCENARIO="Yes",IF((AA$10-SUM(AA$13:AA33))=AA$10,IF(L34&lt;=0,0,ROUND(L$47*LOT_DELIVERY_SCENARIO,0)),MIN(AA$10-SUM(AA$13:AA33),ROUND(L$47*LOT_DELIVERY_SCENARIO,0))),L34)</f>
        <v>0</v>
      </c>
      <c r="AB34" s="256">
        <f>IF(HYPOTHETICAL_SCENARIO="Yes",IF((AB$10-SUM(AB$13:AB33))=AB$10,IF(M34&lt;=0,0,ROUND(M$47*LOT_DELIVERY_SCENARIO,0)),MIN(AB$10-SUM(AB$13:AB33),ROUND(M$47*LOT_DELIVERY_SCENARIO,0))),M34)</f>
        <v>0</v>
      </c>
      <c r="AC34" s="256">
        <f>IF(HYPOTHETICAL_SCENARIO="Yes",IF((AC$10-SUM(AC$13:AC33))=AC$10,IF(N34&lt;=0,0,ROUND(N$47*LOT_DELIVERY_SCENARIO,0)),MIN(AC$10-SUM(AC$13:AC33),ROUND(N$47*LOT_DELIVERY_SCENARIO,0))),N34)</f>
        <v>0</v>
      </c>
      <c r="AD34" s="256">
        <f>IF(HYPOTHETICAL_SCENARIO="Yes",IF((AD$10-SUM(AD$13:AD33))=AD$10,IF(O34&lt;=0,0,ROUND(O$47*LOT_DELIVERY_SCENARIO,0)),MIN(AD$10-SUM(AD$13:AD33),ROUND(O$47*LOT_DELIVERY_SCENARIO,0))),O34)</f>
        <v>0</v>
      </c>
      <c r="AE34" s="256">
        <f>IF(HYPOTHETICAL_SCENARIO="Yes",IF((AE$10-SUM(AE$13:AE33))=AE$10,IF(P34&lt;=0,0,ROUND(P$47*LOT_DELIVERY_SCENARIO,0)),MIN(AE$10-SUM(AE$13:AE33),ROUND(P$47*LOT_DELIVERY_SCENARIO,0))),P34)</f>
        <v>0</v>
      </c>
      <c r="AF34" s="256">
        <f t="shared" si="97"/>
        <v>0</v>
      </c>
      <c r="AH34" s="75">
        <f t="shared" si="163"/>
        <v>51196</v>
      </c>
      <c r="AI34" s="221"/>
      <c r="AJ34" s="221">
        <f>(SUM(F$17:F34)-SUM(CF$17:CF34))*AJ$11</f>
        <v>0</v>
      </c>
      <c r="AK34" s="221">
        <f>(SUM(G$17:G34)-SUM(CG$17:CG34))*AK$11</f>
        <v>0</v>
      </c>
      <c r="AL34" s="221">
        <f>(SUM(H$17:H34)-SUM(CH$17:CH34))*AL$11</f>
        <v>0</v>
      </c>
      <c r="AM34" s="221">
        <f>(SUM(I$17:I34)-SUM(CI$17:CI34))*AM$11</f>
        <v>0</v>
      </c>
      <c r="AN34" s="221">
        <f>(SUM(J$17:J34)-SUM(CJ$17:CJ34))*AN$11</f>
        <v>0</v>
      </c>
      <c r="AO34" s="221">
        <f>(SUM(K$17:K34)-SUM(CK$17:CK34))*AO$11</f>
        <v>0</v>
      </c>
      <c r="AP34" s="221">
        <f>(SUM(L$17:L34)-SUM(CL$17:CL34))*AP$11</f>
        <v>0</v>
      </c>
      <c r="AQ34" s="221">
        <f>(SUM(M$17:M34)-SUM(CM$17:CM34))*AQ$11</f>
        <v>0</v>
      </c>
      <c r="AR34" s="221">
        <f>(SUM(N$17:N34)-SUM(CN$17:CN34))*AR$11</f>
        <v>0</v>
      </c>
      <c r="AS34" s="221">
        <f>(SUM(O$17:O34)-SUM(CO$17:CO34))*AS$11</f>
        <v>0</v>
      </c>
      <c r="AT34" s="221">
        <f>(SUM(P$17:P34)-SUM(CP$17:CP34))*AT$11</f>
        <v>0</v>
      </c>
      <c r="AU34" s="221">
        <f t="shared" si="109"/>
        <v>0</v>
      </c>
      <c r="AW34" s="75">
        <f t="shared" si="164"/>
        <v>51196</v>
      </c>
      <c r="AX34" s="221">
        <f t="shared" si="165"/>
        <v>0</v>
      </c>
      <c r="AY34" s="221">
        <f t="shared" ca="1" si="183"/>
        <v>0</v>
      </c>
      <c r="AZ34" s="221">
        <f t="shared" ca="1" si="184"/>
        <v>0</v>
      </c>
      <c r="BA34" s="221">
        <f t="shared" ca="1" si="185"/>
        <v>0</v>
      </c>
      <c r="BB34" s="221">
        <f t="shared" ca="1" si="186"/>
        <v>0</v>
      </c>
      <c r="BC34" s="221">
        <f t="shared" ca="1" si="187"/>
        <v>0</v>
      </c>
      <c r="BD34" s="221">
        <f t="shared" ca="1" si="188"/>
        <v>0</v>
      </c>
      <c r="BE34" s="221">
        <f t="shared" ca="1" si="189"/>
        <v>0</v>
      </c>
      <c r="BF34" s="221">
        <f t="shared" ca="1" si="190"/>
        <v>0</v>
      </c>
      <c r="BG34" s="221">
        <f t="shared" ca="1" si="191"/>
        <v>0</v>
      </c>
      <c r="BH34" s="221">
        <f t="shared" ca="1" si="111"/>
        <v>0</v>
      </c>
      <c r="BI34" s="221">
        <f t="shared" ca="1" si="112"/>
        <v>0</v>
      </c>
      <c r="BJ34" s="221"/>
      <c r="BK34" s="221">
        <f t="shared" ca="1" si="113"/>
        <v>0</v>
      </c>
      <c r="BM34" s="75">
        <f t="shared" si="166"/>
        <v>51196</v>
      </c>
      <c r="BN34" s="221">
        <f t="shared" ca="1" si="114"/>
        <v>0</v>
      </c>
      <c r="BO34" s="221">
        <f t="shared" ref="BO34:BO37" ca="1" si="204">-OFFSET(AY34,-1,0)</f>
        <v>0</v>
      </c>
      <c r="BP34" s="221">
        <f t="shared" ref="BP34:BP37" ca="1" si="205">-OFFSET(AZ34,-1,0)</f>
        <v>0</v>
      </c>
      <c r="BQ34" s="221">
        <f t="shared" ref="BQ34:BQ37" ca="1" si="206">-OFFSET(BA34,-1,0)</f>
        <v>0</v>
      </c>
      <c r="BR34" s="221">
        <f t="shared" ref="BR34:BR37" ca="1" si="207">-OFFSET(BB34,-1,0)</f>
        <v>0</v>
      </c>
      <c r="BS34" s="221">
        <f t="shared" ref="BS34:BS37" ca="1" si="208">-OFFSET(BC34,-1,0)</f>
        <v>0</v>
      </c>
      <c r="BT34" s="221">
        <f t="shared" ref="BT34:BT37" ca="1" si="209">-OFFSET(BD34,-1,0)</f>
        <v>0</v>
      </c>
      <c r="BU34" s="221">
        <f t="shared" ref="BU34:BU37" ca="1" si="210">-OFFSET(BE34,-1,0)</f>
        <v>0</v>
      </c>
      <c r="BV34" s="221">
        <f t="shared" ref="BV34:BV37" ca="1" si="211">-OFFSET(BF34,-1,0)</f>
        <v>0</v>
      </c>
      <c r="BW34" s="221">
        <f t="shared" ref="BW34:BW37" ca="1" si="212">-OFFSET(BG34,-1,0)</f>
        <v>0</v>
      </c>
      <c r="BX34" s="221">
        <f t="shared" ca="1" si="124"/>
        <v>0</v>
      </c>
      <c r="BY34" s="221">
        <f t="shared" ca="1" si="125"/>
        <v>0</v>
      </c>
      <c r="BZ34" s="221">
        <f t="shared" ref="BZ34:BZ37" si="213">-BJ34</f>
        <v>0</v>
      </c>
      <c r="CA34" s="221">
        <f t="shared" ref="CA34:CA37" ca="1" si="214">SUM(BN34:BZ34)</f>
        <v>0</v>
      </c>
      <c r="CB34" s="221">
        <f t="shared" ca="1" si="128"/>
        <v>0</v>
      </c>
      <c r="CD34" s="75">
        <f t="shared" si="83"/>
        <v>51196</v>
      </c>
      <c r="CE34" s="340"/>
      <c r="CF34" s="343"/>
      <c r="CG34" s="343"/>
      <c r="CH34" s="343"/>
      <c r="CI34" s="343"/>
      <c r="CJ34" s="343"/>
      <c r="CK34" s="343"/>
      <c r="CL34" s="343"/>
      <c r="CM34" s="343"/>
      <c r="CN34" s="343"/>
      <c r="CO34" s="343"/>
      <c r="CP34" s="343"/>
      <c r="CQ34" s="236">
        <f t="shared" si="129"/>
        <v>0</v>
      </c>
      <c r="CS34" s="75">
        <f t="shared" si="130"/>
        <v>51196</v>
      </c>
      <c r="CT34" s="256">
        <f t="shared" si="131"/>
        <v>0</v>
      </c>
      <c r="CU34" s="256">
        <f>IF(HYPOTHETICAL_SCENARIO="Yes",IF((CU$10-SUM(CU$13:CU33))=CU$10,IF(CF34&lt;=0,0,ROUND(CF$47*ABSORPTION_SCENARIO,0)),MIN(CU$10-SUM(CU$13:CU33),ROUND(CF$47*ABSORPTION_SCENARIO,0))),CF34)</f>
        <v>0</v>
      </c>
      <c r="CV34" s="256">
        <f>IF(HYPOTHETICAL_SCENARIO="Yes",IF((CV$10-SUM(CV$13:CV33))=CV$10,IF(CG34&lt;=0,0,ROUND(CG$47*ABSORPTION_SCENARIO,0)),MIN(CV$10-SUM(CV$13:CV33),ROUND(CG$47*ABSORPTION_SCENARIO,0))),CG34)</f>
        <v>0</v>
      </c>
      <c r="CW34" s="256">
        <f>IF(HYPOTHETICAL_SCENARIO="Yes",IF((CW$10-SUM(CW$13:CW33))=CW$10,IF(CH34&lt;=0,0,ROUND(CH$47*ABSORPTION_SCENARIO,0)),MIN(CW$10-SUM(CW$13:CW33),ROUND(CH$47*ABSORPTION_SCENARIO,0))),CH34)</f>
        <v>0</v>
      </c>
      <c r="CX34" s="256">
        <f>IF(HYPOTHETICAL_SCENARIO="Yes",IF((CX$10-SUM(CX$13:CX33))=CX$10,IF(CI34&lt;=0,0,ROUND(CI$47*ABSORPTION_SCENARIO,0)),MIN(CX$10-SUM(CX$13:CX33),ROUND(CI$47*ABSORPTION_SCENARIO,0))),CI34)</f>
        <v>0</v>
      </c>
      <c r="CY34" s="256">
        <f>IF(HYPOTHETICAL_SCENARIO="Yes",IF((CY$10-SUM(CY$13:CY33))=CY$10,IF(CJ34&lt;=0,0,ROUND(CJ$47*ABSORPTION_SCENARIO,0)),MIN(CY$10-SUM(CY$13:CY33),ROUND(CJ$47*ABSORPTION_SCENARIO,0))),CJ34)</f>
        <v>0</v>
      </c>
      <c r="CZ34" s="256">
        <f>IF(HYPOTHETICAL_SCENARIO="Yes",IF((CZ$10-SUM(CZ$13:CZ33))=CZ$10,IF(CK34&lt;=0,0,ROUND(CK$47*ABSORPTION_SCENARIO,0)),MIN(CZ$10-SUM(CZ$13:CZ33),ROUND(CK$47*ABSORPTION_SCENARIO,0))),CK34)</f>
        <v>0</v>
      </c>
      <c r="DA34" s="256">
        <f>IF(HYPOTHETICAL_SCENARIO="Yes",IF((DA$10-SUM(DA$13:DA33))=DA$10,IF(CL34&lt;=0,0,ROUND(CL$47*ABSORPTION_SCENARIO,0)),MIN(DA$10-SUM(DA$13:DA33),ROUND(CL$47*ABSORPTION_SCENARIO,0))),CL34)</f>
        <v>0</v>
      </c>
      <c r="DB34" s="256">
        <f>IF(HYPOTHETICAL_SCENARIO="Yes",IF((DB$10-SUM(DB$13:DB33))=DB$10,IF(CM34&lt;=0,0,ROUND(CM$47*ABSORPTION_SCENARIO,0)),MIN(DB$10-SUM(DB$13:DB33),ROUND(CM$47*ABSORPTION_SCENARIO,0))),CM34)</f>
        <v>0</v>
      </c>
      <c r="DC34" s="256">
        <f>IF(HYPOTHETICAL_SCENARIO="Yes",IF((DC$10-SUM(DC$13:DC33))=DC$10,IF(CN34&lt;=0,0,ROUND(CN$47*ABSORPTION_SCENARIO,0)),MIN(DC$10-SUM(DC$13:DC33),ROUND(CN$47*ABSORPTION_SCENARIO,0))),CN34)</f>
        <v>0</v>
      </c>
      <c r="DD34" s="256">
        <f>IF(HYPOTHETICAL_SCENARIO="Yes",IF((DD$10-SUM(DD$13:DD33))=DD$10,IF(CO34&lt;=0,0,ROUND(CO$47*ABSORPTION_SCENARIO,0)),MIN(DD$10-SUM(DD$13:DD33),ROUND(CO$47*ABSORPTION_SCENARIO,0))),CO34)</f>
        <v>0</v>
      </c>
      <c r="DE34" s="256">
        <f>IF(HYPOTHETICAL_SCENARIO="Yes",IF((DE$10-SUM(DE$13:DE33))=DE$10,IF(CP34&lt;=0,0,ROUND(CP$47*ABSORPTION_SCENARIO,0)),MIN(DE$10-SUM(DE$13:DE33),ROUND(CP$47*ABSORPTION_SCENARIO,0))),CP34)</f>
        <v>0</v>
      </c>
      <c r="DF34" s="256">
        <f t="shared" si="132"/>
        <v>0</v>
      </c>
      <c r="DH34" s="75">
        <f t="shared" si="133"/>
        <v>51196</v>
      </c>
      <c r="DI34" s="75"/>
      <c r="DJ34" s="218">
        <f t="shared" si="182"/>
        <v>586712.76826329855</v>
      </c>
      <c r="DK34" s="218">
        <f t="shared" si="182"/>
        <v>633714.61986450199</v>
      </c>
      <c r="DL34" s="218">
        <f t="shared" si="182"/>
        <v>697004.24182255822</v>
      </c>
      <c r="DM34" s="218">
        <f t="shared" si="182"/>
        <v>789756.2740024681</v>
      </c>
      <c r="DN34" s="218">
        <f t="shared" si="182"/>
        <v>904653.25504194119</v>
      </c>
      <c r="DO34" s="218">
        <f t="shared" si="182"/>
        <v>1019790.9420472792</v>
      </c>
      <c r="DP34" s="218">
        <f t="shared" si="182"/>
        <v>1139041.4916560273</v>
      </c>
      <c r="DQ34" s="218">
        <f t="shared" si="182"/>
        <v>1221282.6966598402</v>
      </c>
      <c r="DR34" s="218">
        <f t="shared" si="182"/>
        <v>0</v>
      </c>
      <c r="DS34" s="218">
        <f t="shared" si="182"/>
        <v>0</v>
      </c>
      <c r="DT34" s="218">
        <f t="shared" si="182"/>
        <v>0</v>
      </c>
      <c r="DW34" s="75">
        <f t="shared" si="144"/>
        <v>51196</v>
      </c>
      <c r="DX34" s="308"/>
      <c r="DY34" s="338"/>
      <c r="DZ34" s="221">
        <f t="shared" si="145"/>
        <v>0</v>
      </c>
      <c r="EA34" s="221">
        <f t="shared" si="146"/>
        <v>0</v>
      </c>
      <c r="EB34" s="221">
        <f t="shared" si="147"/>
        <v>0</v>
      </c>
      <c r="EC34" s="221">
        <f t="shared" si="148"/>
        <v>0</v>
      </c>
      <c r="ED34" s="221">
        <f t="shared" si="149"/>
        <v>0</v>
      </c>
      <c r="EE34" s="221">
        <f t="shared" si="150"/>
        <v>0</v>
      </c>
      <c r="EF34" s="221">
        <f t="shared" si="151"/>
        <v>0</v>
      </c>
      <c r="EG34" s="221">
        <f t="shared" si="152"/>
        <v>0</v>
      </c>
      <c r="EH34" s="221">
        <f t="shared" si="153"/>
        <v>0</v>
      </c>
      <c r="EI34" s="221">
        <f t="shared" si="154"/>
        <v>0</v>
      </c>
      <c r="EJ34" s="221">
        <f t="shared" si="155"/>
        <v>0</v>
      </c>
      <c r="EK34" s="221">
        <f t="shared" si="156"/>
        <v>0</v>
      </c>
      <c r="EL34" s="221">
        <f t="shared" si="157"/>
        <v>0</v>
      </c>
      <c r="EN34" s="75">
        <f t="shared" si="180"/>
        <v>51196</v>
      </c>
      <c r="EO34" s="308"/>
      <c r="EP34" s="338"/>
      <c r="EQ34" s="221">
        <f t="shared" ca="1" si="181"/>
        <v>0</v>
      </c>
      <c r="ER34" s="221">
        <f t="shared" ca="1" si="192"/>
        <v>0</v>
      </c>
      <c r="ES34" s="221">
        <f t="shared" ca="1" si="193"/>
        <v>0</v>
      </c>
      <c r="ET34" s="221">
        <f t="shared" ca="1" si="194"/>
        <v>0</v>
      </c>
      <c r="EU34" s="221">
        <f t="shared" ca="1" si="195"/>
        <v>0</v>
      </c>
      <c r="EV34" s="221">
        <f t="shared" ca="1" si="196"/>
        <v>0</v>
      </c>
      <c r="EW34" s="221">
        <f t="shared" ca="1" si="197"/>
        <v>0</v>
      </c>
      <c r="EX34" s="221">
        <f t="shared" ca="1" si="198"/>
        <v>0</v>
      </c>
      <c r="EY34" s="221">
        <f t="shared" ca="1" si="199"/>
        <v>0</v>
      </c>
      <c r="EZ34" s="221">
        <f t="shared" ca="1" si="200"/>
        <v>0</v>
      </c>
      <c r="FA34" s="221">
        <f t="shared" ca="1" si="201"/>
        <v>0</v>
      </c>
      <c r="FB34" s="221">
        <f t="shared" ca="1" si="202"/>
        <v>0</v>
      </c>
      <c r="FC34" s="221">
        <f t="shared" ca="1" si="203"/>
        <v>0</v>
      </c>
    </row>
    <row r="35" spans="4:159" x14ac:dyDescent="0.25">
      <c r="D35" s="75">
        <f t="shared" si="161"/>
        <v>51561</v>
      </c>
      <c r="E35" s="324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256">
        <f t="shared" si="162"/>
        <v>0</v>
      </c>
      <c r="S35" s="271">
        <f t="shared" si="96"/>
        <v>51561</v>
      </c>
      <c r="T35" s="256"/>
      <c r="U35" s="256">
        <f>IF(HYPOTHETICAL_SCENARIO="Yes",IF((U$10-SUM(U$13:U34))=U$10,IF(F35&lt;=0,0,ROUND(F$47*LOT_DELIVERY_SCENARIO,0)),MIN(U$10-SUM(U$13:U34),ROUND(F$47*LOT_DELIVERY_SCENARIO,0))),F35)</f>
        <v>0</v>
      </c>
      <c r="V35" s="256">
        <f>IF(HYPOTHETICAL_SCENARIO="Yes",IF((V$10-SUM(V$13:V34))=V$10,IF(G35&lt;=0,0,ROUND(G$47*LOT_DELIVERY_SCENARIO,0)),MIN(V$10-SUM(V$13:V34),ROUND(G$47*LOT_DELIVERY_SCENARIO,0))),G35)</f>
        <v>0</v>
      </c>
      <c r="W35" s="256">
        <f>IF(HYPOTHETICAL_SCENARIO="Yes",IF((W$10-SUM(W$13:W34))=W$10,IF(H35&lt;=0,0,ROUND(H$47*LOT_DELIVERY_SCENARIO,0)),MIN(W$10-SUM(W$13:W34),ROUND(H$47*LOT_DELIVERY_SCENARIO,0))),H35)</f>
        <v>0</v>
      </c>
      <c r="X35" s="256">
        <f>IF(HYPOTHETICAL_SCENARIO="Yes",IF((X$10-SUM(X$13:X34))=X$10,IF(I35&lt;=0,0,ROUND(I$47*LOT_DELIVERY_SCENARIO,0)),MIN(X$10-SUM(X$13:X34),ROUND(I$47*LOT_DELIVERY_SCENARIO,0))),I35)</f>
        <v>0</v>
      </c>
      <c r="Y35" s="256">
        <f>IF(HYPOTHETICAL_SCENARIO="Yes",IF((Y$10-SUM(Y$13:Y34))=Y$10,IF(J35&lt;=0,0,ROUND(J$47*LOT_DELIVERY_SCENARIO,0)),MIN(Y$10-SUM(Y$13:Y34),ROUND(J$47*LOT_DELIVERY_SCENARIO,0))),J35)</f>
        <v>0</v>
      </c>
      <c r="Z35" s="256">
        <f>IF(HYPOTHETICAL_SCENARIO="Yes",IF((Z$10-SUM(Z$13:Z34))=Z$10,IF(K35&lt;=0,0,ROUND(K$47*LOT_DELIVERY_SCENARIO,0)),MIN(Z$10-SUM(Z$13:Z34),ROUND(K$47*LOT_DELIVERY_SCENARIO,0))),K35)</f>
        <v>0</v>
      </c>
      <c r="AA35" s="256">
        <f>IF(HYPOTHETICAL_SCENARIO="Yes",IF((AA$10-SUM(AA$13:AA34))=AA$10,IF(L35&lt;=0,0,ROUND(L$47*LOT_DELIVERY_SCENARIO,0)),MIN(AA$10-SUM(AA$13:AA34),ROUND(L$47*LOT_DELIVERY_SCENARIO,0))),L35)</f>
        <v>0</v>
      </c>
      <c r="AB35" s="256">
        <f>IF(HYPOTHETICAL_SCENARIO="Yes",IF((AB$10-SUM(AB$13:AB34))=AB$10,IF(M35&lt;=0,0,ROUND(M$47*LOT_DELIVERY_SCENARIO,0)),MIN(AB$10-SUM(AB$13:AB34),ROUND(M$47*LOT_DELIVERY_SCENARIO,0))),M35)</f>
        <v>0</v>
      </c>
      <c r="AC35" s="256">
        <f>IF(HYPOTHETICAL_SCENARIO="Yes",IF((AC$10-SUM(AC$13:AC34))=AC$10,IF(N35&lt;=0,0,ROUND(N$47*LOT_DELIVERY_SCENARIO,0)),MIN(AC$10-SUM(AC$13:AC34),ROUND(N$47*LOT_DELIVERY_SCENARIO,0))),N35)</f>
        <v>0</v>
      </c>
      <c r="AD35" s="256">
        <f>IF(HYPOTHETICAL_SCENARIO="Yes",IF((AD$10-SUM(AD$13:AD34))=AD$10,IF(O35&lt;=0,0,ROUND(O$47*LOT_DELIVERY_SCENARIO,0)),MIN(AD$10-SUM(AD$13:AD34),ROUND(O$47*LOT_DELIVERY_SCENARIO,0))),O35)</f>
        <v>0</v>
      </c>
      <c r="AE35" s="256">
        <f>IF(HYPOTHETICAL_SCENARIO="Yes",IF((AE$10-SUM(AE$13:AE34))=AE$10,IF(P35&lt;=0,0,ROUND(P$47*LOT_DELIVERY_SCENARIO,0)),MIN(AE$10-SUM(AE$13:AE34),ROUND(P$47*LOT_DELIVERY_SCENARIO,0))),P35)</f>
        <v>0</v>
      </c>
      <c r="AF35" s="256">
        <f t="shared" si="97"/>
        <v>0</v>
      </c>
      <c r="AH35" s="75">
        <f t="shared" si="163"/>
        <v>51561</v>
      </c>
      <c r="AI35" s="221"/>
      <c r="AJ35" s="221">
        <f>(SUM(F$17:F35)-SUM(CF$17:CF35))*AJ$11</f>
        <v>0</v>
      </c>
      <c r="AK35" s="221">
        <f>(SUM(G$17:G35)-SUM(CG$17:CG35))*AK$11</f>
        <v>0</v>
      </c>
      <c r="AL35" s="221">
        <f>(SUM(H$17:H35)-SUM(CH$17:CH35))*AL$11</f>
        <v>0</v>
      </c>
      <c r="AM35" s="221">
        <f>(SUM(I$17:I35)-SUM(CI$17:CI35))*AM$11</f>
        <v>0</v>
      </c>
      <c r="AN35" s="221">
        <f>(SUM(J$17:J35)-SUM(CJ$17:CJ35))*AN$11</f>
        <v>0</v>
      </c>
      <c r="AO35" s="221">
        <f>(SUM(K$17:K35)-SUM(CK$17:CK35))*AO$11</f>
        <v>0</v>
      </c>
      <c r="AP35" s="221">
        <f>(SUM(L$17:L35)-SUM(CL$17:CL35))*AP$11</f>
        <v>0</v>
      </c>
      <c r="AQ35" s="221">
        <f>(SUM(M$17:M35)-SUM(CM$17:CM35))*AQ$11</f>
        <v>0</v>
      </c>
      <c r="AR35" s="221">
        <f>(SUM(N$17:N35)-SUM(CN$17:CN35))*AR$11</f>
        <v>0</v>
      </c>
      <c r="AS35" s="221">
        <f>(SUM(O$17:O35)-SUM(CO$17:CO35))*AS$11</f>
        <v>0</v>
      </c>
      <c r="AT35" s="221">
        <f>(SUM(P$17:P35)-SUM(CP$17:CP35))*AT$11</f>
        <v>0</v>
      </c>
      <c r="AU35" s="221">
        <f t="shared" si="109"/>
        <v>0</v>
      </c>
      <c r="AW35" s="75">
        <f t="shared" si="164"/>
        <v>51561</v>
      </c>
      <c r="AX35" s="221">
        <f t="shared" si="165"/>
        <v>0</v>
      </c>
      <c r="AY35" s="221">
        <f t="shared" ca="1" si="183"/>
        <v>0</v>
      </c>
      <c r="AZ35" s="221">
        <f t="shared" ca="1" si="184"/>
        <v>0</v>
      </c>
      <c r="BA35" s="221">
        <f t="shared" ca="1" si="185"/>
        <v>0</v>
      </c>
      <c r="BB35" s="221">
        <f t="shared" ca="1" si="186"/>
        <v>0</v>
      </c>
      <c r="BC35" s="221">
        <f t="shared" ca="1" si="187"/>
        <v>0</v>
      </c>
      <c r="BD35" s="221">
        <f t="shared" ca="1" si="188"/>
        <v>0</v>
      </c>
      <c r="BE35" s="221">
        <f t="shared" ca="1" si="189"/>
        <v>0</v>
      </c>
      <c r="BF35" s="221">
        <f t="shared" ca="1" si="190"/>
        <v>0</v>
      </c>
      <c r="BG35" s="221">
        <f t="shared" ca="1" si="191"/>
        <v>0</v>
      </c>
      <c r="BH35" s="221">
        <f t="shared" ca="1" si="111"/>
        <v>0</v>
      </c>
      <c r="BI35" s="221">
        <f t="shared" ca="1" si="112"/>
        <v>0</v>
      </c>
      <c r="BJ35" s="221"/>
      <c r="BK35" s="221">
        <f t="shared" ca="1" si="113"/>
        <v>0</v>
      </c>
      <c r="BM35" s="75">
        <f t="shared" si="166"/>
        <v>51561</v>
      </c>
      <c r="BN35" s="221">
        <f t="shared" ca="1" si="114"/>
        <v>0</v>
      </c>
      <c r="BO35" s="221">
        <f t="shared" ca="1" si="204"/>
        <v>0</v>
      </c>
      <c r="BP35" s="221">
        <f t="shared" ca="1" si="205"/>
        <v>0</v>
      </c>
      <c r="BQ35" s="221">
        <f t="shared" ca="1" si="206"/>
        <v>0</v>
      </c>
      <c r="BR35" s="221">
        <f t="shared" ca="1" si="207"/>
        <v>0</v>
      </c>
      <c r="BS35" s="221">
        <f t="shared" ca="1" si="208"/>
        <v>0</v>
      </c>
      <c r="BT35" s="221">
        <f t="shared" ca="1" si="209"/>
        <v>0</v>
      </c>
      <c r="BU35" s="221">
        <f t="shared" ca="1" si="210"/>
        <v>0</v>
      </c>
      <c r="BV35" s="221">
        <f t="shared" ca="1" si="211"/>
        <v>0</v>
      </c>
      <c r="BW35" s="221">
        <f t="shared" ca="1" si="212"/>
        <v>0</v>
      </c>
      <c r="BX35" s="221">
        <f t="shared" ca="1" si="124"/>
        <v>0</v>
      </c>
      <c r="BY35" s="221">
        <f t="shared" ca="1" si="125"/>
        <v>0</v>
      </c>
      <c r="BZ35" s="221">
        <f t="shared" si="213"/>
        <v>0</v>
      </c>
      <c r="CA35" s="221">
        <f t="shared" ca="1" si="214"/>
        <v>0</v>
      </c>
      <c r="CB35" s="221">
        <f t="shared" ca="1" si="128"/>
        <v>0</v>
      </c>
      <c r="CD35" s="75">
        <f t="shared" si="83"/>
        <v>51561</v>
      </c>
      <c r="CE35" s="340"/>
      <c r="CF35" s="343"/>
      <c r="CG35" s="343"/>
      <c r="CH35" s="343"/>
      <c r="CI35" s="343"/>
      <c r="CJ35" s="343"/>
      <c r="CK35" s="343"/>
      <c r="CL35" s="343"/>
      <c r="CM35" s="343"/>
      <c r="CN35" s="343"/>
      <c r="CO35" s="343"/>
      <c r="CP35" s="343"/>
      <c r="CQ35" s="236">
        <f t="shared" si="129"/>
        <v>0</v>
      </c>
      <c r="CS35" s="75">
        <f t="shared" si="130"/>
        <v>51561</v>
      </c>
      <c r="CT35" s="256">
        <f t="shared" si="131"/>
        <v>0</v>
      </c>
      <c r="CU35" s="256">
        <f>IF(HYPOTHETICAL_SCENARIO="Yes",IF((CU$10-SUM(CU$13:CU34))=CU$10,IF(CF35&lt;=0,0,ROUND(CF$47*ABSORPTION_SCENARIO,0)),MIN(CU$10-SUM(CU$13:CU34),ROUND(CF$47*ABSORPTION_SCENARIO,0))),CF35)</f>
        <v>0</v>
      </c>
      <c r="CV35" s="256">
        <f>IF(HYPOTHETICAL_SCENARIO="Yes",IF((CV$10-SUM(CV$13:CV34))=CV$10,IF(CG35&lt;=0,0,ROUND(CG$47*ABSORPTION_SCENARIO,0)),MIN(CV$10-SUM(CV$13:CV34),ROUND(CG$47*ABSORPTION_SCENARIO,0))),CG35)</f>
        <v>0</v>
      </c>
      <c r="CW35" s="256">
        <f>IF(HYPOTHETICAL_SCENARIO="Yes",IF((CW$10-SUM(CW$13:CW34))=CW$10,IF(CH35&lt;=0,0,ROUND(CH$47*ABSORPTION_SCENARIO,0)),MIN(CW$10-SUM(CW$13:CW34),ROUND(CH$47*ABSORPTION_SCENARIO,0))),CH35)</f>
        <v>0</v>
      </c>
      <c r="CX35" s="256">
        <f>IF(HYPOTHETICAL_SCENARIO="Yes",IF((CX$10-SUM(CX$13:CX34))=CX$10,IF(CI35&lt;=0,0,ROUND(CI$47*ABSORPTION_SCENARIO,0)),MIN(CX$10-SUM(CX$13:CX34),ROUND(CI$47*ABSORPTION_SCENARIO,0))),CI35)</f>
        <v>0</v>
      </c>
      <c r="CY35" s="256">
        <f>IF(HYPOTHETICAL_SCENARIO="Yes",IF((CY$10-SUM(CY$13:CY34))=CY$10,IF(CJ35&lt;=0,0,ROUND(CJ$47*ABSORPTION_SCENARIO,0)),MIN(CY$10-SUM(CY$13:CY34),ROUND(CJ$47*ABSORPTION_SCENARIO,0))),CJ35)</f>
        <v>0</v>
      </c>
      <c r="CZ35" s="256">
        <f>IF(HYPOTHETICAL_SCENARIO="Yes",IF((CZ$10-SUM(CZ$13:CZ34))=CZ$10,IF(CK35&lt;=0,0,ROUND(CK$47*ABSORPTION_SCENARIO,0)),MIN(CZ$10-SUM(CZ$13:CZ34),ROUND(CK$47*ABSORPTION_SCENARIO,0))),CK35)</f>
        <v>0</v>
      </c>
      <c r="DA35" s="256">
        <f>IF(HYPOTHETICAL_SCENARIO="Yes",IF((DA$10-SUM(DA$13:DA34))=DA$10,IF(CL35&lt;=0,0,ROUND(CL$47*ABSORPTION_SCENARIO,0)),MIN(DA$10-SUM(DA$13:DA34),ROUND(CL$47*ABSORPTION_SCENARIO,0))),CL35)</f>
        <v>0</v>
      </c>
      <c r="DB35" s="256">
        <f>IF(HYPOTHETICAL_SCENARIO="Yes",IF((DB$10-SUM(DB$13:DB34))=DB$10,IF(CM35&lt;=0,0,ROUND(CM$47*ABSORPTION_SCENARIO,0)),MIN(DB$10-SUM(DB$13:DB34),ROUND(CM$47*ABSORPTION_SCENARIO,0))),CM35)</f>
        <v>0</v>
      </c>
      <c r="DC35" s="256">
        <f>IF(HYPOTHETICAL_SCENARIO="Yes",IF((DC$10-SUM(DC$13:DC34))=DC$10,IF(CN35&lt;=0,0,ROUND(CN$47*ABSORPTION_SCENARIO,0)),MIN(DC$10-SUM(DC$13:DC34),ROUND(CN$47*ABSORPTION_SCENARIO,0))),CN35)</f>
        <v>0</v>
      </c>
      <c r="DD35" s="256">
        <f>IF(HYPOTHETICAL_SCENARIO="Yes",IF((DD$10-SUM(DD$13:DD34))=DD$10,IF(CO35&lt;=0,0,ROUND(CO$47*ABSORPTION_SCENARIO,0)),MIN(DD$10-SUM(DD$13:DD34),ROUND(CO$47*ABSORPTION_SCENARIO,0))),CO35)</f>
        <v>0</v>
      </c>
      <c r="DE35" s="256">
        <f>IF(HYPOTHETICAL_SCENARIO="Yes",IF((DE$10-SUM(DE$13:DE34))=DE$10,IF(CP35&lt;=0,0,ROUND(CP$47*ABSORPTION_SCENARIO,0)),MIN(DE$10-SUM(DE$13:DE34),ROUND(CP$47*ABSORPTION_SCENARIO,0))),CP35)</f>
        <v>0</v>
      </c>
      <c r="DF35" s="256">
        <f t="shared" si="132"/>
        <v>0</v>
      </c>
      <c r="DH35" s="75">
        <f t="shared" si="133"/>
        <v>51561</v>
      </c>
      <c r="DI35" s="75"/>
      <c r="DJ35" s="218">
        <f t="shared" si="182"/>
        <v>604314.15131119743</v>
      </c>
      <c r="DK35" s="218">
        <f t="shared" si="182"/>
        <v>652726.05846043711</v>
      </c>
      <c r="DL35" s="218">
        <f t="shared" si="182"/>
        <v>717914.36907723488</v>
      </c>
      <c r="DM35" s="218">
        <f t="shared" si="182"/>
        <v>813448.96222254215</v>
      </c>
      <c r="DN35" s="218">
        <f t="shared" si="182"/>
        <v>931792.85269319941</v>
      </c>
      <c r="DO35" s="218">
        <f t="shared" si="182"/>
        <v>1050384.6703086975</v>
      </c>
      <c r="DP35" s="218">
        <f t="shared" si="182"/>
        <v>1173212.7364057081</v>
      </c>
      <c r="DQ35" s="218">
        <f t="shared" si="182"/>
        <v>1257921.1775596354</v>
      </c>
      <c r="DR35" s="218">
        <f t="shared" si="182"/>
        <v>0</v>
      </c>
      <c r="DS35" s="218">
        <f t="shared" si="182"/>
        <v>0</v>
      </c>
      <c r="DT35" s="218">
        <f t="shared" si="182"/>
        <v>0</v>
      </c>
      <c r="DW35" s="75">
        <f t="shared" si="144"/>
        <v>51561</v>
      </c>
      <c r="DX35" s="308"/>
      <c r="DY35" s="338"/>
      <c r="DZ35" s="221">
        <f t="shared" si="145"/>
        <v>0</v>
      </c>
      <c r="EA35" s="221">
        <f t="shared" si="146"/>
        <v>0</v>
      </c>
      <c r="EB35" s="221">
        <f t="shared" si="147"/>
        <v>0</v>
      </c>
      <c r="EC35" s="221">
        <f t="shared" si="148"/>
        <v>0</v>
      </c>
      <c r="ED35" s="221">
        <f t="shared" si="149"/>
        <v>0</v>
      </c>
      <c r="EE35" s="221">
        <f t="shared" si="150"/>
        <v>0</v>
      </c>
      <c r="EF35" s="221">
        <f t="shared" si="151"/>
        <v>0</v>
      </c>
      <c r="EG35" s="221">
        <f t="shared" si="152"/>
        <v>0</v>
      </c>
      <c r="EH35" s="221">
        <f t="shared" si="153"/>
        <v>0</v>
      </c>
      <c r="EI35" s="221">
        <f t="shared" si="154"/>
        <v>0</v>
      </c>
      <c r="EJ35" s="221">
        <f t="shared" si="155"/>
        <v>0</v>
      </c>
      <c r="EK35" s="221">
        <f t="shared" si="156"/>
        <v>0</v>
      </c>
      <c r="EL35" s="221">
        <f t="shared" si="157"/>
        <v>0</v>
      </c>
      <c r="EN35" s="75">
        <f t="shared" si="180"/>
        <v>51561</v>
      </c>
      <c r="EO35" s="308"/>
      <c r="EP35" s="338"/>
      <c r="EQ35" s="221">
        <f t="shared" ca="1" si="181"/>
        <v>0</v>
      </c>
      <c r="ER35" s="221">
        <f t="shared" ca="1" si="192"/>
        <v>0</v>
      </c>
      <c r="ES35" s="221">
        <f t="shared" ca="1" si="193"/>
        <v>0</v>
      </c>
      <c r="ET35" s="221">
        <f t="shared" ca="1" si="194"/>
        <v>0</v>
      </c>
      <c r="EU35" s="221">
        <f t="shared" ca="1" si="195"/>
        <v>0</v>
      </c>
      <c r="EV35" s="221">
        <f t="shared" ca="1" si="196"/>
        <v>0</v>
      </c>
      <c r="EW35" s="221">
        <f t="shared" ca="1" si="197"/>
        <v>0</v>
      </c>
      <c r="EX35" s="221">
        <f t="shared" ca="1" si="198"/>
        <v>0</v>
      </c>
      <c r="EY35" s="221">
        <f t="shared" ca="1" si="199"/>
        <v>0</v>
      </c>
      <c r="EZ35" s="221">
        <f t="shared" ca="1" si="200"/>
        <v>0</v>
      </c>
      <c r="FA35" s="221">
        <f t="shared" ca="1" si="201"/>
        <v>0</v>
      </c>
      <c r="FB35" s="221">
        <f t="shared" ca="1" si="202"/>
        <v>0</v>
      </c>
      <c r="FC35" s="221">
        <f t="shared" ca="1" si="203"/>
        <v>0</v>
      </c>
    </row>
    <row r="36" spans="4:159" x14ac:dyDescent="0.25">
      <c r="D36" s="75">
        <f t="shared" si="161"/>
        <v>51926</v>
      </c>
      <c r="E36" s="324"/>
      <c r="F36" s="341"/>
      <c r="G36" s="341"/>
      <c r="H36" s="341"/>
      <c r="I36" s="341"/>
      <c r="J36" s="341"/>
      <c r="K36" s="341"/>
      <c r="L36" s="341"/>
      <c r="M36" s="341"/>
      <c r="N36" s="341"/>
      <c r="O36" s="341"/>
      <c r="P36" s="341"/>
      <c r="Q36" s="256">
        <f t="shared" si="162"/>
        <v>0</v>
      </c>
      <c r="S36" s="271">
        <f t="shared" si="96"/>
        <v>51926</v>
      </c>
      <c r="T36" s="256"/>
      <c r="U36" s="256">
        <f>IF(HYPOTHETICAL_SCENARIO="Yes",IF((U$10-SUM(U$13:U35))=U$10,IF(F36&lt;=0,0,ROUND(F$47*LOT_DELIVERY_SCENARIO,0)),MIN(U$10-SUM(U$13:U35),ROUND(F$47*LOT_DELIVERY_SCENARIO,0))),F36)</f>
        <v>0</v>
      </c>
      <c r="V36" s="256">
        <f>IF(HYPOTHETICAL_SCENARIO="Yes",IF((V$10-SUM(V$13:V35))=V$10,IF(G36&lt;=0,0,ROUND(G$47*LOT_DELIVERY_SCENARIO,0)),MIN(V$10-SUM(V$13:V35),ROUND(G$47*LOT_DELIVERY_SCENARIO,0))),G36)</f>
        <v>0</v>
      </c>
      <c r="W36" s="256">
        <f>IF(HYPOTHETICAL_SCENARIO="Yes",IF((W$10-SUM(W$13:W35))=W$10,IF(H36&lt;=0,0,ROUND(H$47*LOT_DELIVERY_SCENARIO,0)),MIN(W$10-SUM(W$13:W35),ROUND(H$47*LOT_DELIVERY_SCENARIO,0))),H36)</f>
        <v>0</v>
      </c>
      <c r="X36" s="256">
        <f>IF(HYPOTHETICAL_SCENARIO="Yes",IF((X$10-SUM(X$13:X35))=X$10,IF(I36&lt;=0,0,ROUND(I$47*LOT_DELIVERY_SCENARIO,0)),MIN(X$10-SUM(X$13:X35),ROUND(I$47*LOT_DELIVERY_SCENARIO,0))),I36)</f>
        <v>0</v>
      </c>
      <c r="Y36" s="256">
        <f>IF(HYPOTHETICAL_SCENARIO="Yes",IF((Y$10-SUM(Y$13:Y35))=Y$10,IF(J36&lt;=0,0,ROUND(J$47*LOT_DELIVERY_SCENARIO,0)),MIN(Y$10-SUM(Y$13:Y35),ROUND(J$47*LOT_DELIVERY_SCENARIO,0))),J36)</f>
        <v>0</v>
      </c>
      <c r="Z36" s="256">
        <f>IF(HYPOTHETICAL_SCENARIO="Yes",IF((Z$10-SUM(Z$13:Z35))=Z$10,IF(K36&lt;=0,0,ROUND(K$47*LOT_DELIVERY_SCENARIO,0)),MIN(Z$10-SUM(Z$13:Z35),ROUND(K$47*LOT_DELIVERY_SCENARIO,0))),K36)</f>
        <v>0</v>
      </c>
      <c r="AA36" s="256">
        <f>IF(HYPOTHETICAL_SCENARIO="Yes",IF((AA$10-SUM(AA$13:AA35))=AA$10,IF(L36&lt;=0,0,ROUND(L$47*LOT_DELIVERY_SCENARIO,0)),MIN(AA$10-SUM(AA$13:AA35),ROUND(L$47*LOT_DELIVERY_SCENARIO,0))),L36)</f>
        <v>0</v>
      </c>
      <c r="AB36" s="256">
        <f>IF(HYPOTHETICAL_SCENARIO="Yes",IF((AB$10-SUM(AB$13:AB35))=AB$10,IF(M36&lt;=0,0,ROUND(M$47*LOT_DELIVERY_SCENARIO,0)),MIN(AB$10-SUM(AB$13:AB35),ROUND(M$47*LOT_DELIVERY_SCENARIO,0))),M36)</f>
        <v>0</v>
      </c>
      <c r="AC36" s="256">
        <f>IF(HYPOTHETICAL_SCENARIO="Yes",IF((AC$10-SUM(AC$13:AC35))=AC$10,IF(N36&lt;=0,0,ROUND(N$47*LOT_DELIVERY_SCENARIO,0)),MIN(AC$10-SUM(AC$13:AC35),ROUND(N$47*LOT_DELIVERY_SCENARIO,0))),N36)</f>
        <v>0</v>
      </c>
      <c r="AD36" s="256">
        <f>IF(HYPOTHETICAL_SCENARIO="Yes",IF((AD$10-SUM(AD$13:AD35))=AD$10,IF(O36&lt;=0,0,ROUND(O$47*LOT_DELIVERY_SCENARIO,0)),MIN(AD$10-SUM(AD$13:AD35),ROUND(O$47*LOT_DELIVERY_SCENARIO,0))),O36)</f>
        <v>0</v>
      </c>
      <c r="AE36" s="256">
        <f>IF(HYPOTHETICAL_SCENARIO="Yes",IF((AE$10-SUM(AE$13:AE35))=AE$10,IF(P36&lt;=0,0,ROUND(P$47*LOT_DELIVERY_SCENARIO,0)),MIN(AE$10-SUM(AE$13:AE35),ROUND(P$47*LOT_DELIVERY_SCENARIO,0))),P36)</f>
        <v>0</v>
      </c>
      <c r="AF36" s="256">
        <f t="shared" si="97"/>
        <v>0</v>
      </c>
      <c r="AH36" s="75">
        <f t="shared" si="163"/>
        <v>51926</v>
      </c>
      <c r="AI36" s="221"/>
      <c r="AJ36" s="221">
        <f>(SUM(F$17:F36)-SUM(CF$17:CF36))*AJ$11</f>
        <v>0</v>
      </c>
      <c r="AK36" s="221">
        <f>(SUM(G$17:G36)-SUM(CG$17:CG36))*AK$11</f>
        <v>0</v>
      </c>
      <c r="AL36" s="221">
        <f>(SUM(H$17:H36)-SUM(CH$17:CH36))*AL$11</f>
        <v>0</v>
      </c>
      <c r="AM36" s="221">
        <f>(SUM(I$17:I36)-SUM(CI$17:CI36))*AM$11</f>
        <v>0</v>
      </c>
      <c r="AN36" s="221">
        <f>(SUM(J$17:J36)-SUM(CJ$17:CJ36))*AN$11</f>
        <v>0</v>
      </c>
      <c r="AO36" s="221">
        <f>(SUM(K$17:K36)-SUM(CK$17:CK36))*AO$11</f>
        <v>0</v>
      </c>
      <c r="AP36" s="221">
        <f>(SUM(L$17:L36)-SUM(CL$17:CL36))*AP$11</f>
        <v>0</v>
      </c>
      <c r="AQ36" s="221">
        <f>(SUM(M$17:M36)-SUM(CM$17:CM36))*AQ$11</f>
        <v>0</v>
      </c>
      <c r="AR36" s="221">
        <f>(SUM(N$17:N36)-SUM(CN$17:CN36))*AR$11</f>
        <v>0</v>
      </c>
      <c r="AS36" s="221">
        <f>(SUM(O$17:O36)-SUM(CO$17:CO36))*AS$11</f>
        <v>0</v>
      </c>
      <c r="AT36" s="221">
        <f>(SUM(P$17:P36)-SUM(CP$17:CP36))*AT$11</f>
        <v>0</v>
      </c>
      <c r="AU36" s="221">
        <f t="shared" si="109"/>
        <v>0</v>
      </c>
      <c r="AW36" s="75">
        <f t="shared" si="164"/>
        <v>51926</v>
      </c>
      <c r="AX36" s="221">
        <f t="shared" si="165"/>
        <v>0</v>
      </c>
      <c r="AY36" s="221">
        <f t="shared" ca="1" si="183"/>
        <v>0</v>
      </c>
      <c r="AZ36" s="221">
        <f t="shared" ca="1" si="184"/>
        <v>0</v>
      </c>
      <c r="BA36" s="221">
        <f t="shared" ca="1" si="185"/>
        <v>0</v>
      </c>
      <c r="BB36" s="221">
        <f t="shared" ca="1" si="186"/>
        <v>0</v>
      </c>
      <c r="BC36" s="221">
        <f t="shared" ca="1" si="187"/>
        <v>0</v>
      </c>
      <c r="BD36" s="221">
        <f t="shared" ca="1" si="188"/>
        <v>0</v>
      </c>
      <c r="BE36" s="221">
        <f t="shared" ca="1" si="189"/>
        <v>0</v>
      </c>
      <c r="BF36" s="221">
        <f t="shared" ca="1" si="190"/>
        <v>0</v>
      </c>
      <c r="BG36" s="221">
        <f t="shared" ca="1" si="191"/>
        <v>0</v>
      </c>
      <c r="BH36" s="221">
        <f t="shared" ca="1" si="111"/>
        <v>0</v>
      </c>
      <c r="BI36" s="221">
        <f t="shared" ca="1" si="112"/>
        <v>0</v>
      </c>
      <c r="BJ36" s="221"/>
      <c r="BK36" s="221">
        <f t="shared" ca="1" si="113"/>
        <v>0</v>
      </c>
      <c r="BM36" s="75">
        <f t="shared" si="166"/>
        <v>51926</v>
      </c>
      <c r="BN36" s="221">
        <f t="shared" ca="1" si="114"/>
        <v>0</v>
      </c>
      <c r="BO36" s="221">
        <f t="shared" ca="1" si="204"/>
        <v>0</v>
      </c>
      <c r="BP36" s="221">
        <f t="shared" ca="1" si="205"/>
        <v>0</v>
      </c>
      <c r="BQ36" s="221">
        <f t="shared" ca="1" si="206"/>
        <v>0</v>
      </c>
      <c r="BR36" s="221">
        <f t="shared" ca="1" si="207"/>
        <v>0</v>
      </c>
      <c r="BS36" s="221">
        <f t="shared" ca="1" si="208"/>
        <v>0</v>
      </c>
      <c r="BT36" s="221">
        <f t="shared" ca="1" si="209"/>
        <v>0</v>
      </c>
      <c r="BU36" s="221">
        <f t="shared" ca="1" si="210"/>
        <v>0</v>
      </c>
      <c r="BV36" s="221">
        <f t="shared" ca="1" si="211"/>
        <v>0</v>
      </c>
      <c r="BW36" s="221">
        <f t="shared" ca="1" si="212"/>
        <v>0</v>
      </c>
      <c r="BX36" s="221">
        <f t="shared" ca="1" si="124"/>
        <v>0</v>
      </c>
      <c r="BY36" s="221">
        <f t="shared" ca="1" si="125"/>
        <v>0</v>
      </c>
      <c r="BZ36" s="221">
        <f t="shared" si="213"/>
        <v>0</v>
      </c>
      <c r="CA36" s="221">
        <f t="shared" ca="1" si="214"/>
        <v>0</v>
      </c>
      <c r="CB36" s="221">
        <f t="shared" ca="1" si="128"/>
        <v>0</v>
      </c>
      <c r="CD36" s="75">
        <f t="shared" si="83"/>
        <v>51926</v>
      </c>
      <c r="CE36" s="340"/>
      <c r="CF36" s="343"/>
      <c r="CG36" s="343"/>
      <c r="CH36" s="343"/>
      <c r="CI36" s="343"/>
      <c r="CJ36" s="343"/>
      <c r="CK36" s="343"/>
      <c r="CL36" s="343"/>
      <c r="CM36" s="343"/>
      <c r="CN36" s="343"/>
      <c r="CO36" s="343"/>
      <c r="CP36" s="343"/>
      <c r="CQ36" s="236">
        <f t="shared" si="129"/>
        <v>0</v>
      </c>
      <c r="CS36" s="75">
        <f t="shared" si="130"/>
        <v>51926</v>
      </c>
      <c r="CT36" s="256">
        <f t="shared" si="131"/>
        <v>0</v>
      </c>
      <c r="CU36" s="256">
        <f>IF(HYPOTHETICAL_SCENARIO="Yes",IF((CU$10-SUM(CU$13:CU35))=CU$10,IF(CF36&lt;=0,0,ROUND(CF$47*ABSORPTION_SCENARIO,0)),MIN(CU$10-SUM(CU$13:CU35),ROUND(CF$47*ABSORPTION_SCENARIO,0))),CF36)</f>
        <v>0</v>
      </c>
      <c r="CV36" s="256">
        <f>IF(HYPOTHETICAL_SCENARIO="Yes",IF((CV$10-SUM(CV$13:CV35))=CV$10,IF(CG36&lt;=0,0,ROUND(CG$47*ABSORPTION_SCENARIO,0)),MIN(CV$10-SUM(CV$13:CV35),ROUND(CG$47*ABSORPTION_SCENARIO,0))),CG36)</f>
        <v>0</v>
      </c>
      <c r="CW36" s="256">
        <f>IF(HYPOTHETICAL_SCENARIO="Yes",IF((CW$10-SUM(CW$13:CW35))=CW$10,IF(CH36&lt;=0,0,ROUND(CH$47*ABSORPTION_SCENARIO,0)),MIN(CW$10-SUM(CW$13:CW35),ROUND(CH$47*ABSORPTION_SCENARIO,0))),CH36)</f>
        <v>0</v>
      </c>
      <c r="CX36" s="256">
        <f>IF(HYPOTHETICAL_SCENARIO="Yes",IF((CX$10-SUM(CX$13:CX35))=CX$10,IF(CI36&lt;=0,0,ROUND(CI$47*ABSORPTION_SCENARIO,0)),MIN(CX$10-SUM(CX$13:CX35),ROUND(CI$47*ABSORPTION_SCENARIO,0))),CI36)</f>
        <v>0</v>
      </c>
      <c r="CY36" s="256">
        <f>IF(HYPOTHETICAL_SCENARIO="Yes",IF((CY$10-SUM(CY$13:CY35))=CY$10,IF(CJ36&lt;=0,0,ROUND(CJ$47*ABSORPTION_SCENARIO,0)),MIN(CY$10-SUM(CY$13:CY35),ROUND(CJ$47*ABSORPTION_SCENARIO,0))),CJ36)</f>
        <v>0</v>
      </c>
      <c r="CZ36" s="256">
        <f>IF(HYPOTHETICAL_SCENARIO="Yes",IF((CZ$10-SUM(CZ$13:CZ35))=CZ$10,IF(CK36&lt;=0,0,ROUND(CK$47*ABSORPTION_SCENARIO,0)),MIN(CZ$10-SUM(CZ$13:CZ35),ROUND(CK$47*ABSORPTION_SCENARIO,0))),CK36)</f>
        <v>0</v>
      </c>
      <c r="DA36" s="256">
        <f>IF(HYPOTHETICAL_SCENARIO="Yes",IF((DA$10-SUM(DA$13:DA35))=DA$10,IF(CL36&lt;=0,0,ROUND(CL$47*ABSORPTION_SCENARIO,0)),MIN(DA$10-SUM(DA$13:DA35),ROUND(CL$47*ABSORPTION_SCENARIO,0))),CL36)</f>
        <v>0</v>
      </c>
      <c r="DB36" s="256">
        <f>IF(HYPOTHETICAL_SCENARIO="Yes",IF((DB$10-SUM(DB$13:DB35))=DB$10,IF(CM36&lt;=0,0,ROUND(CM$47*ABSORPTION_SCENARIO,0)),MIN(DB$10-SUM(DB$13:DB35),ROUND(CM$47*ABSORPTION_SCENARIO,0))),CM36)</f>
        <v>0</v>
      </c>
      <c r="DC36" s="256">
        <f>IF(HYPOTHETICAL_SCENARIO="Yes",IF((DC$10-SUM(DC$13:DC35))=DC$10,IF(CN36&lt;=0,0,ROUND(CN$47*ABSORPTION_SCENARIO,0)),MIN(DC$10-SUM(DC$13:DC35),ROUND(CN$47*ABSORPTION_SCENARIO,0))),CN36)</f>
        <v>0</v>
      </c>
      <c r="DD36" s="256">
        <f>IF(HYPOTHETICAL_SCENARIO="Yes",IF((DD$10-SUM(DD$13:DD35))=DD$10,IF(CO36&lt;=0,0,ROUND(CO$47*ABSORPTION_SCENARIO,0)),MIN(DD$10-SUM(DD$13:DD35),ROUND(CO$47*ABSORPTION_SCENARIO,0))),CO36)</f>
        <v>0</v>
      </c>
      <c r="DE36" s="256">
        <f>IF(HYPOTHETICAL_SCENARIO="Yes",IF((DE$10-SUM(DE$13:DE35))=DE$10,IF(CP36&lt;=0,0,ROUND(CP$47*ABSORPTION_SCENARIO,0)),MIN(DE$10-SUM(DE$13:DE35),ROUND(CP$47*ABSORPTION_SCENARIO,0))),CP36)</f>
        <v>0</v>
      </c>
      <c r="DF36" s="256">
        <f t="shared" si="132"/>
        <v>0</v>
      </c>
      <c r="DH36" s="75">
        <f t="shared" si="133"/>
        <v>51926</v>
      </c>
      <c r="DI36" s="75"/>
      <c r="DJ36" s="218">
        <f t="shared" si="182"/>
        <v>622443.57585053344</v>
      </c>
      <c r="DK36" s="218">
        <f t="shared" si="182"/>
        <v>672307.84021425014</v>
      </c>
      <c r="DL36" s="218">
        <f t="shared" si="182"/>
        <v>739451.80014955194</v>
      </c>
      <c r="DM36" s="218">
        <f t="shared" si="182"/>
        <v>837852.43108921836</v>
      </c>
      <c r="DN36" s="218">
        <f t="shared" si="182"/>
        <v>959746.63827399549</v>
      </c>
      <c r="DO36" s="218">
        <f t="shared" si="182"/>
        <v>1081896.2104179584</v>
      </c>
      <c r="DP36" s="218">
        <f t="shared" si="182"/>
        <v>1208409.1184978795</v>
      </c>
      <c r="DQ36" s="218">
        <f t="shared" si="182"/>
        <v>1295658.8128864244</v>
      </c>
      <c r="DR36" s="218">
        <f t="shared" si="182"/>
        <v>0</v>
      </c>
      <c r="DS36" s="218">
        <f t="shared" si="182"/>
        <v>0</v>
      </c>
      <c r="DT36" s="218">
        <f t="shared" si="182"/>
        <v>0</v>
      </c>
      <c r="DW36" s="75">
        <f t="shared" si="144"/>
        <v>51926</v>
      </c>
      <c r="DX36" s="308"/>
      <c r="DY36" s="338"/>
      <c r="DZ36" s="221">
        <f t="shared" si="145"/>
        <v>0</v>
      </c>
      <c r="EA36" s="221">
        <f t="shared" si="146"/>
        <v>0</v>
      </c>
      <c r="EB36" s="221">
        <f t="shared" si="147"/>
        <v>0</v>
      </c>
      <c r="EC36" s="221">
        <f t="shared" si="148"/>
        <v>0</v>
      </c>
      <c r="ED36" s="221">
        <f t="shared" si="149"/>
        <v>0</v>
      </c>
      <c r="EE36" s="221">
        <f t="shared" si="150"/>
        <v>0</v>
      </c>
      <c r="EF36" s="221">
        <f t="shared" si="151"/>
        <v>0</v>
      </c>
      <c r="EG36" s="221">
        <f t="shared" si="152"/>
        <v>0</v>
      </c>
      <c r="EH36" s="221">
        <f t="shared" si="153"/>
        <v>0</v>
      </c>
      <c r="EI36" s="221">
        <f t="shared" si="154"/>
        <v>0</v>
      </c>
      <c r="EJ36" s="221">
        <f t="shared" si="155"/>
        <v>0</v>
      </c>
      <c r="EK36" s="221">
        <f t="shared" si="156"/>
        <v>0</v>
      </c>
      <c r="EL36" s="221">
        <f t="shared" si="157"/>
        <v>0</v>
      </c>
      <c r="EN36" s="75">
        <f t="shared" si="180"/>
        <v>51926</v>
      </c>
      <c r="EO36" s="308"/>
      <c r="EP36" s="338"/>
      <c r="EQ36" s="221">
        <f t="shared" ca="1" si="181"/>
        <v>0</v>
      </c>
      <c r="ER36" s="221">
        <f t="shared" ca="1" si="192"/>
        <v>0</v>
      </c>
      <c r="ES36" s="221">
        <f t="shared" ca="1" si="193"/>
        <v>0</v>
      </c>
      <c r="ET36" s="221">
        <f t="shared" ca="1" si="194"/>
        <v>0</v>
      </c>
      <c r="EU36" s="221">
        <f t="shared" ca="1" si="195"/>
        <v>0</v>
      </c>
      <c r="EV36" s="221">
        <f t="shared" ca="1" si="196"/>
        <v>0</v>
      </c>
      <c r="EW36" s="221">
        <f t="shared" ca="1" si="197"/>
        <v>0</v>
      </c>
      <c r="EX36" s="221">
        <f t="shared" ca="1" si="198"/>
        <v>0</v>
      </c>
      <c r="EY36" s="221">
        <f t="shared" ca="1" si="199"/>
        <v>0</v>
      </c>
      <c r="EZ36" s="221">
        <f t="shared" ca="1" si="200"/>
        <v>0</v>
      </c>
      <c r="FA36" s="221">
        <f t="shared" ca="1" si="201"/>
        <v>0</v>
      </c>
      <c r="FB36" s="221">
        <f t="shared" ca="1" si="202"/>
        <v>0</v>
      </c>
      <c r="FC36" s="221">
        <f t="shared" ca="1" si="203"/>
        <v>0</v>
      </c>
    </row>
    <row r="37" spans="4:159" x14ac:dyDescent="0.25">
      <c r="D37" s="75">
        <f t="shared" si="161"/>
        <v>52291</v>
      </c>
      <c r="E37" s="324"/>
      <c r="F37" s="341"/>
      <c r="G37" s="341"/>
      <c r="H37" s="341"/>
      <c r="I37" s="341"/>
      <c r="J37" s="341"/>
      <c r="K37" s="341"/>
      <c r="L37" s="341"/>
      <c r="M37" s="341"/>
      <c r="N37" s="341"/>
      <c r="O37" s="341"/>
      <c r="P37" s="341"/>
      <c r="Q37" s="256">
        <f t="shared" si="162"/>
        <v>0</v>
      </c>
      <c r="S37" s="271">
        <f t="shared" si="96"/>
        <v>52291</v>
      </c>
      <c r="T37" s="256"/>
      <c r="U37" s="256">
        <f>IF(HYPOTHETICAL_SCENARIO="Yes",IF((U$10-SUM(U$13:U36))=U$10,IF(F37&lt;=0,0,ROUND(F$47*LOT_DELIVERY_SCENARIO,0)),MIN(U$10-SUM(U$13:U36),ROUND(F$47*LOT_DELIVERY_SCENARIO,0))),F37)</f>
        <v>0</v>
      </c>
      <c r="V37" s="256">
        <f>IF(HYPOTHETICAL_SCENARIO="Yes",IF((V$10-SUM(V$13:V36))=V$10,IF(G37&lt;=0,0,ROUND(G$47*LOT_DELIVERY_SCENARIO,0)),MIN(V$10-SUM(V$13:V36),ROUND(G$47*LOT_DELIVERY_SCENARIO,0))),G37)</f>
        <v>0</v>
      </c>
      <c r="W37" s="256">
        <f>IF(HYPOTHETICAL_SCENARIO="Yes",IF((W$10-SUM(W$13:W36))=W$10,IF(H37&lt;=0,0,ROUND(H$47*LOT_DELIVERY_SCENARIO,0)),MIN(W$10-SUM(W$13:W36),ROUND(H$47*LOT_DELIVERY_SCENARIO,0))),H37)</f>
        <v>0</v>
      </c>
      <c r="X37" s="256">
        <f>IF(HYPOTHETICAL_SCENARIO="Yes",IF((X$10-SUM(X$13:X36))=X$10,IF(I37&lt;=0,0,ROUND(I$47*LOT_DELIVERY_SCENARIO,0)),MIN(X$10-SUM(X$13:X36),ROUND(I$47*LOT_DELIVERY_SCENARIO,0))),I37)</f>
        <v>0</v>
      </c>
      <c r="Y37" s="256">
        <f>IF(HYPOTHETICAL_SCENARIO="Yes",IF((Y$10-SUM(Y$13:Y36))=Y$10,IF(J37&lt;=0,0,ROUND(J$47*LOT_DELIVERY_SCENARIO,0)),MIN(Y$10-SUM(Y$13:Y36),ROUND(J$47*LOT_DELIVERY_SCENARIO,0))),J37)</f>
        <v>0</v>
      </c>
      <c r="Z37" s="256">
        <f>IF(HYPOTHETICAL_SCENARIO="Yes",IF((Z$10-SUM(Z$13:Z36))=Z$10,IF(K37&lt;=0,0,ROUND(K$47*LOT_DELIVERY_SCENARIO,0)),MIN(Z$10-SUM(Z$13:Z36),ROUND(K$47*LOT_DELIVERY_SCENARIO,0))),K37)</f>
        <v>0</v>
      </c>
      <c r="AA37" s="256">
        <f>IF(HYPOTHETICAL_SCENARIO="Yes",IF((AA$10-SUM(AA$13:AA36))=AA$10,IF(L37&lt;=0,0,ROUND(L$47*LOT_DELIVERY_SCENARIO,0)),MIN(AA$10-SUM(AA$13:AA36),ROUND(L$47*LOT_DELIVERY_SCENARIO,0))),L37)</f>
        <v>0</v>
      </c>
      <c r="AB37" s="256">
        <f>IF(HYPOTHETICAL_SCENARIO="Yes",IF((AB$10-SUM(AB$13:AB36))=AB$10,IF(M37&lt;=0,0,ROUND(M$47*LOT_DELIVERY_SCENARIO,0)),MIN(AB$10-SUM(AB$13:AB36),ROUND(M$47*LOT_DELIVERY_SCENARIO,0))),M37)</f>
        <v>0</v>
      </c>
      <c r="AC37" s="256">
        <f>IF(HYPOTHETICAL_SCENARIO="Yes",IF((AC$10-SUM(AC$13:AC36))=AC$10,IF(N37&lt;=0,0,ROUND(N$47*LOT_DELIVERY_SCENARIO,0)),MIN(AC$10-SUM(AC$13:AC36),ROUND(N$47*LOT_DELIVERY_SCENARIO,0))),N37)</f>
        <v>0</v>
      </c>
      <c r="AD37" s="256">
        <f>IF(HYPOTHETICAL_SCENARIO="Yes",IF((AD$10-SUM(AD$13:AD36))=AD$10,IF(O37&lt;=0,0,ROUND(O$47*LOT_DELIVERY_SCENARIO,0)),MIN(AD$10-SUM(AD$13:AD36),ROUND(O$47*LOT_DELIVERY_SCENARIO,0))),O37)</f>
        <v>0</v>
      </c>
      <c r="AE37" s="256">
        <f>IF(HYPOTHETICAL_SCENARIO="Yes",IF((AE$10-SUM(AE$13:AE36))=AE$10,IF(P37&lt;=0,0,ROUND(P$47*LOT_DELIVERY_SCENARIO,0)),MIN(AE$10-SUM(AE$13:AE36),ROUND(P$47*LOT_DELIVERY_SCENARIO,0))),P37)</f>
        <v>0</v>
      </c>
      <c r="AF37" s="256">
        <f t="shared" si="97"/>
        <v>0</v>
      </c>
      <c r="AH37" s="75">
        <f t="shared" si="163"/>
        <v>52291</v>
      </c>
      <c r="AI37" s="221"/>
      <c r="AJ37" s="221">
        <f>(SUM(F$17:F37)-SUM(CF$17:CF37))*AJ$11</f>
        <v>0</v>
      </c>
      <c r="AK37" s="221">
        <f>(SUM(G$17:G37)-SUM(CG$17:CG37))*AK$11</f>
        <v>0</v>
      </c>
      <c r="AL37" s="221">
        <f>(SUM(H$17:H37)-SUM(CH$17:CH37))*AL$11</f>
        <v>0</v>
      </c>
      <c r="AM37" s="221">
        <f>(SUM(I$17:I37)-SUM(CI$17:CI37))*AM$11</f>
        <v>0</v>
      </c>
      <c r="AN37" s="221">
        <f>(SUM(J$17:J37)-SUM(CJ$17:CJ37))*AN$11</f>
        <v>0</v>
      </c>
      <c r="AO37" s="221">
        <f>(SUM(K$17:K37)-SUM(CK$17:CK37))*AO$11</f>
        <v>0</v>
      </c>
      <c r="AP37" s="221">
        <f>(SUM(L$17:L37)-SUM(CL$17:CL37))*AP$11</f>
        <v>0</v>
      </c>
      <c r="AQ37" s="221">
        <f>(SUM(M$17:M37)-SUM(CM$17:CM37))*AQ$11</f>
        <v>0</v>
      </c>
      <c r="AR37" s="221">
        <f>(SUM(N$17:N37)-SUM(CN$17:CN37))*AR$11</f>
        <v>0</v>
      </c>
      <c r="AS37" s="221">
        <f>(SUM(O$17:O37)-SUM(CO$17:CO37))*AS$11</f>
        <v>0</v>
      </c>
      <c r="AT37" s="221">
        <f>(SUM(P$17:P37)-SUM(CP$17:CP37))*AT$11</f>
        <v>0</v>
      </c>
      <c r="AU37" s="221">
        <f t="shared" si="109"/>
        <v>0</v>
      </c>
      <c r="AW37" s="75">
        <f t="shared" si="164"/>
        <v>52291</v>
      </c>
      <c r="AX37" s="221">
        <f t="shared" si="165"/>
        <v>0</v>
      </c>
      <c r="AY37" s="221">
        <f t="shared" ca="1" si="183"/>
        <v>0</v>
      </c>
      <c r="AZ37" s="221">
        <f t="shared" ca="1" si="184"/>
        <v>0</v>
      </c>
      <c r="BA37" s="221">
        <f t="shared" ca="1" si="185"/>
        <v>0</v>
      </c>
      <c r="BB37" s="221">
        <f t="shared" ca="1" si="186"/>
        <v>0</v>
      </c>
      <c r="BC37" s="221">
        <f t="shared" ca="1" si="187"/>
        <v>0</v>
      </c>
      <c r="BD37" s="221">
        <f t="shared" ca="1" si="188"/>
        <v>0</v>
      </c>
      <c r="BE37" s="221">
        <f t="shared" ca="1" si="189"/>
        <v>0</v>
      </c>
      <c r="BF37" s="221">
        <f t="shared" ca="1" si="190"/>
        <v>0</v>
      </c>
      <c r="BG37" s="221">
        <f t="shared" ca="1" si="191"/>
        <v>0</v>
      </c>
      <c r="BH37" s="221">
        <f t="shared" ca="1" si="111"/>
        <v>0</v>
      </c>
      <c r="BI37" s="221">
        <f t="shared" ca="1" si="112"/>
        <v>0</v>
      </c>
      <c r="BJ37" s="221"/>
      <c r="BK37" s="221">
        <f t="shared" ca="1" si="113"/>
        <v>0</v>
      </c>
      <c r="BM37" s="75">
        <f t="shared" si="166"/>
        <v>52291</v>
      </c>
      <c r="BN37" s="221">
        <f t="shared" ca="1" si="114"/>
        <v>0</v>
      </c>
      <c r="BO37" s="221">
        <f t="shared" ca="1" si="204"/>
        <v>0</v>
      </c>
      <c r="BP37" s="221">
        <f t="shared" ca="1" si="205"/>
        <v>0</v>
      </c>
      <c r="BQ37" s="221">
        <f t="shared" ca="1" si="206"/>
        <v>0</v>
      </c>
      <c r="BR37" s="221">
        <f t="shared" ca="1" si="207"/>
        <v>0</v>
      </c>
      <c r="BS37" s="221">
        <f t="shared" ca="1" si="208"/>
        <v>0</v>
      </c>
      <c r="BT37" s="221">
        <f t="shared" ca="1" si="209"/>
        <v>0</v>
      </c>
      <c r="BU37" s="221">
        <f t="shared" ca="1" si="210"/>
        <v>0</v>
      </c>
      <c r="BV37" s="221">
        <f t="shared" ca="1" si="211"/>
        <v>0</v>
      </c>
      <c r="BW37" s="221">
        <f t="shared" ca="1" si="212"/>
        <v>0</v>
      </c>
      <c r="BX37" s="221">
        <f t="shared" ca="1" si="124"/>
        <v>0</v>
      </c>
      <c r="BY37" s="221">
        <f t="shared" ca="1" si="125"/>
        <v>0</v>
      </c>
      <c r="BZ37" s="221">
        <f t="shared" si="213"/>
        <v>0</v>
      </c>
      <c r="CA37" s="221">
        <f t="shared" ca="1" si="214"/>
        <v>0</v>
      </c>
      <c r="CB37" s="221">
        <f t="shared" ref="CB37" ca="1" si="215">$BK37-SUM($BO37:$BW37)+BZ37</f>
        <v>0</v>
      </c>
      <c r="CD37" s="75">
        <f t="shared" si="83"/>
        <v>52291</v>
      </c>
      <c r="CE37" s="340"/>
      <c r="CF37" s="343"/>
      <c r="CG37" s="343"/>
      <c r="CH37" s="343"/>
      <c r="CI37" s="343"/>
      <c r="CJ37" s="343"/>
      <c r="CK37" s="343"/>
      <c r="CL37" s="343"/>
      <c r="CM37" s="343"/>
      <c r="CN37" s="343"/>
      <c r="CO37" s="343"/>
      <c r="CP37" s="343"/>
      <c r="CQ37" s="236">
        <f t="shared" si="129"/>
        <v>0</v>
      </c>
      <c r="CS37" s="75">
        <f t="shared" si="130"/>
        <v>52291</v>
      </c>
      <c r="CT37" s="256">
        <f t="shared" si="131"/>
        <v>0</v>
      </c>
      <c r="CU37" s="256">
        <f>IF(HYPOTHETICAL_SCENARIO="Yes",IF((CU$10-SUM(CU$13:CU36))=CU$10,IF(CF37&lt;=0,0,ROUND(CF$47*ABSORPTION_SCENARIO,0)),MIN(CU$10-SUM(CU$13:CU36),ROUND(CF$47*ABSORPTION_SCENARIO,0))),CF37)</f>
        <v>0</v>
      </c>
      <c r="CV37" s="256">
        <f>IF(HYPOTHETICAL_SCENARIO="Yes",IF((CV$10-SUM(CV$13:CV36))=CV$10,IF(CG37&lt;=0,0,ROUND(CG$47*ABSORPTION_SCENARIO,0)),MIN(CV$10-SUM(CV$13:CV36),ROUND(CG$47*ABSORPTION_SCENARIO,0))),CG37)</f>
        <v>0</v>
      </c>
      <c r="CW37" s="256">
        <f>IF(HYPOTHETICAL_SCENARIO="Yes",IF((CW$10-SUM(CW$13:CW36))=CW$10,IF(CH37&lt;=0,0,ROUND(CH$47*ABSORPTION_SCENARIO,0)),MIN(CW$10-SUM(CW$13:CW36),ROUND(CH$47*ABSORPTION_SCENARIO,0))),CH37)</f>
        <v>0</v>
      </c>
      <c r="CX37" s="256">
        <f>IF(HYPOTHETICAL_SCENARIO="Yes",IF((CX$10-SUM(CX$13:CX36))=CX$10,IF(CI37&lt;=0,0,ROUND(CI$47*ABSORPTION_SCENARIO,0)),MIN(CX$10-SUM(CX$13:CX36),ROUND(CI$47*ABSORPTION_SCENARIO,0))),CI37)</f>
        <v>0</v>
      </c>
      <c r="CY37" s="256">
        <f>IF(HYPOTHETICAL_SCENARIO="Yes",IF((CY$10-SUM(CY$13:CY36))=CY$10,IF(CJ37&lt;=0,0,ROUND(CJ$47*ABSORPTION_SCENARIO,0)),MIN(CY$10-SUM(CY$13:CY36),ROUND(CJ$47*ABSORPTION_SCENARIO,0))),CJ37)</f>
        <v>0</v>
      </c>
      <c r="CZ37" s="256">
        <f>IF(HYPOTHETICAL_SCENARIO="Yes",IF((CZ$10-SUM(CZ$13:CZ36))=CZ$10,IF(CK37&lt;=0,0,ROUND(CK$47*ABSORPTION_SCENARIO,0)),MIN(CZ$10-SUM(CZ$13:CZ36),ROUND(CK$47*ABSORPTION_SCENARIO,0))),CK37)</f>
        <v>0</v>
      </c>
      <c r="DA37" s="256">
        <f>IF(HYPOTHETICAL_SCENARIO="Yes",IF((DA$10-SUM(DA$13:DA36))=DA$10,IF(CL37&lt;=0,0,ROUND(CL$47*ABSORPTION_SCENARIO,0)),MIN(DA$10-SUM(DA$13:DA36),ROUND(CL$47*ABSORPTION_SCENARIO,0))),CL37)</f>
        <v>0</v>
      </c>
      <c r="DB37" s="256">
        <f>IF(HYPOTHETICAL_SCENARIO="Yes",IF((DB$10-SUM(DB$13:DB36))=DB$10,IF(CM37&lt;=0,0,ROUND(CM$47*ABSORPTION_SCENARIO,0)),MIN(DB$10-SUM(DB$13:DB36),ROUND(CM$47*ABSORPTION_SCENARIO,0))),CM37)</f>
        <v>0</v>
      </c>
      <c r="DC37" s="256">
        <f>IF(HYPOTHETICAL_SCENARIO="Yes",IF((DC$10-SUM(DC$13:DC36))=DC$10,IF(CN37&lt;=0,0,ROUND(CN$47*ABSORPTION_SCENARIO,0)),MIN(DC$10-SUM(DC$13:DC36),ROUND(CN$47*ABSORPTION_SCENARIO,0))),CN37)</f>
        <v>0</v>
      </c>
      <c r="DD37" s="256">
        <f>IF(HYPOTHETICAL_SCENARIO="Yes",IF((DD$10-SUM(DD$13:DD36))=DD$10,IF(CO37&lt;=0,0,ROUND(CO$47*ABSORPTION_SCENARIO,0)),MIN(DD$10-SUM(DD$13:DD36),ROUND(CO$47*ABSORPTION_SCENARIO,0))),CO37)</f>
        <v>0</v>
      </c>
      <c r="DE37" s="256">
        <f>IF(HYPOTHETICAL_SCENARIO="Yes",IF((DE$10-SUM(DE$13:DE36))=DE$10,IF(CP37&lt;=0,0,ROUND(CP$47*ABSORPTION_SCENARIO,0)),MIN(DE$10-SUM(DE$13:DE36),ROUND(CP$47*ABSORPTION_SCENARIO,0))),CP37)</f>
        <v>0</v>
      </c>
      <c r="DF37" s="256">
        <f t="shared" si="132"/>
        <v>0</v>
      </c>
      <c r="DH37" s="75">
        <f t="shared" si="133"/>
        <v>52291</v>
      </c>
      <c r="DI37" s="75"/>
      <c r="DJ37" s="218">
        <f t="shared" si="182"/>
        <v>641116.88312604942</v>
      </c>
      <c r="DK37" s="218">
        <f t="shared" si="182"/>
        <v>692477.07542067766</v>
      </c>
      <c r="DL37" s="218">
        <f t="shared" si="182"/>
        <v>761635.35415403848</v>
      </c>
      <c r="DM37" s="218">
        <f t="shared" si="182"/>
        <v>862988.00402189489</v>
      </c>
      <c r="DN37" s="218">
        <f t="shared" si="182"/>
        <v>988539.03742221533</v>
      </c>
      <c r="DO37" s="218">
        <f t="shared" si="182"/>
        <v>1114353.0967304972</v>
      </c>
      <c r="DP37" s="218">
        <f t="shared" si="182"/>
        <v>1244661.3920528158</v>
      </c>
      <c r="DQ37" s="218">
        <f t="shared" si="182"/>
        <v>1334528.5772730173</v>
      </c>
      <c r="DR37" s="218">
        <f t="shared" si="182"/>
        <v>0</v>
      </c>
      <c r="DS37" s="218">
        <f t="shared" si="182"/>
        <v>0</v>
      </c>
      <c r="DT37" s="218">
        <f t="shared" si="182"/>
        <v>0</v>
      </c>
      <c r="DW37" s="75">
        <f t="shared" si="144"/>
        <v>52291</v>
      </c>
      <c r="DX37" s="308"/>
      <c r="DY37" s="338"/>
      <c r="DZ37" s="221">
        <f t="shared" si="145"/>
        <v>0</v>
      </c>
      <c r="EA37" s="221">
        <f t="shared" si="146"/>
        <v>0</v>
      </c>
      <c r="EB37" s="221">
        <f t="shared" si="147"/>
        <v>0</v>
      </c>
      <c r="EC37" s="221">
        <f t="shared" si="148"/>
        <v>0</v>
      </c>
      <c r="ED37" s="221">
        <f t="shared" si="149"/>
        <v>0</v>
      </c>
      <c r="EE37" s="221">
        <f t="shared" si="150"/>
        <v>0</v>
      </c>
      <c r="EF37" s="221">
        <f t="shared" si="151"/>
        <v>0</v>
      </c>
      <c r="EG37" s="221">
        <f t="shared" si="152"/>
        <v>0</v>
      </c>
      <c r="EH37" s="221">
        <f t="shared" si="153"/>
        <v>0</v>
      </c>
      <c r="EI37" s="221">
        <f t="shared" si="154"/>
        <v>0</v>
      </c>
      <c r="EJ37" s="221">
        <f t="shared" si="155"/>
        <v>0</v>
      </c>
      <c r="EK37" s="221">
        <f t="shared" si="156"/>
        <v>0</v>
      </c>
      <c r="EL37" s="221">
        <f t="shared" si="157"/>
        <v>0</v>
      </c>
      <c r="EN37" s="75">
        <f t="shared" si="180"/>
        <v>52291</v>
      </c>
      <c r="EO37" s="308"/>
      <c r="EP37" s="338"/>
      <c r="EQ37" s="221">
        <f t="shared" ca="1" si="181"/>
        <v>0</v>
      </c>
      <c r="ER37" s="221">
        <f t="shared" ca="1" si="192"/>
        <v>0</v>
      </c>
      <c r="ES37" s="221">
        <f t="shared" ca="1" si="193"/>
        <v>0</v>
      </c>
      <c r="ET37" s="221">
        <f t="shared" ca="1" si="194"/>
        <v>0</v>
      </c>
      <c r="EU37" s="221">
        <f t="shared" ca="1" si="195"/>
        <v>0</v>
      </c>
      <c r="EV37" s="221">
        <f t="shared" ca="1" si="196"/>
        <v>0</v>
      </c>
      <c r="EW37" s="221">
        <f t="shared" ca="1" si="197"/>
        <v>0</v>
      </c>
      <c r="EX37" s="221">
        <f t="shared" ca="1" si="198"/>
        <v>0</v>
      </c>
      <c r="EY37" s="221">
        <f t="shared" ca="1" si="199"/>
        <v>0</v>
      </c>
      <c r="EZ37" s="221">
        <f t="shared" ca="1" si="200"/>
        <v>0</v>
      </c>
      <c r="FA37" s="221">
        <f t="shared" ca="1" si="201"/>
        <v>0</v>
      </c>
      <c r="FB37" s="221">
        <f t="shared" ca="1" si="202"/>
        <v>0</v>
      </c>
      <c r="FC37" s="221">
        <f t="shared" ca="1" si="203"/>
        <v>0</v>
      </c>
    </row>
    <row r="38" spans="4:159" x14ac:dyDescent="0.25">
      <c r="D38" s="75">
        <f t="shared" si="161"/>
        <v>52657</v>
      </c>
      <c r="E38" s="324"/>
      <c r="F38" s="341"/>
      <c r="G38" s="341"/>
      <c r="H38" s="341"/>
      <c r="I38" s="341"/>
      <c r="J38" s="341"/>
      <c r="K38" s="341"/>
      <c r="L38" s="341"/>
      <c r="M38" s="341"/>
      <c r="N38" s="341"/>
      <c r="O38" s="341"/>
      <c r="P38" s="341"/>
      <c r="Q38" s="256">
        <f t="shared" si="162"/>
        <v>0</v>
      </c>
      <c r="S38" s="271">
        <f t="shared" si="96"/>
        <v>52657</v>
      </c>
      <c r="T38" s="256"/>
      <c r="U38" s="256">
        <f>IF(HYPOTHETICAL_SCENARIO="Yes",IF((U$10-SUM(U$13:U37))=U$10,IF(F38&lt;=0,0,ROUND(F$47*LOT_DELIVERY_SCENARIO,0)),MIN(U$10-SUM(U$13:U37),ROUND(F$47*LOT_DELIVERY_SCENARIO,0))),F38)</f>
        <v>0</v>
      </c>
      <c r="V38" s="256">
        <f>IF(HYPOTHETICAL_SCENARIO="Yes",IF((V$10-SUM(V$13:V37))=V$10,IF(G38&lt;=0,0,ROUND(G$47*LOT_DELIVERY_SCENARIO,0)),MIN(V$10-SUM(V$13:V37),ROUND(G$47*LOT_DELIVERY_SCENARIO,0))),G38)</f>
        <v>0</v>
      </c>
      <c r="W38" s="256">
        <f>IF(HYPOTHETICAL_SCENARIO="Yes",IF((W$10-SUM(W$13:W37))=W$10,IF(H38&lt;=0,0,ROUND(H$47*LOT_DELIVERY_SCENARIO,0)),MIN(W$10-SUM(W$13:W37),ROUND(H$47*LOT_DELIVERY_SCENARIO,0))),H38)</f>
        <v>0</v>
      </c>
      <c r="X38" s="256">
        <f>IF(HYPOTHETICAL_SCENARIO="Yes",IF((X$10-SUM(X$13:X37))=X$10,IF(I38&lt;=0,0,ROUND(I$47*LOT_DELIVERY_SCENARIO,0)),MIN(X$10-SUM(X$13:X37),ROUND(I$47*LOT_DELIVERY_SCENARIO,0))),I38)</f>
        <v>0</v>
      </c>
      <c r="Y38" s="256">
        <f>IF(HYPOTHETICAL_SCENARIO="Yes",IF((Y$10-SUM(Y$13:Y37))=Y$10,IF(J38&lt;=0,0,ROUND(J$47*LOT_DELIVERY_SCENARIO,0)),MIN(Y$10-SUM(Y$13:Y37),ROUND(J$47*LOT_DELIVERY_SCENARIO,0))),J38)</f>
        <v>0</v>
      </c>
      <c r="Z38" s="256">
        <f>IF(HYPOTHETICAL_SCENARIO="Yes",IF((Z$10-SUM(Z$13:Z37))=Z$10,IF(K38&lt;=0,0,ROUND(K$47*LOT_DELIVERY_SCENARIO,0)),MIN(Z$10-SUM(Z$13:Z37),ROUND(K$47*LOT_DELIVERY_SCENARIO,0))),K38)</f>
        <v>0</v>
      </c>
      <c r="AA38" s="256">
        <f>IF(HYPOTHETICAL_SCENARIO="Yes",IF((AA$10-SUM(AA$13:AA37))=AA$10,IF(L38&lt;=0,0,ROUND(L$47*LOT_DELIVERY_SCENARIO,0)),MIN(AA$10-SUM(AA$13:AA37),ROUND(L$47*LOT_DELIVERY_SCENARIO,0))),L38)</f>
        <v>0</v>
      </c>
      <c r="AB38" s="256">
        <f>IF(HYPOTHETICAL_SCENARIO="Yes",IF((AB$10-SUM(AB$13:AB37))=AB$10,IF(M38&lt;=0,0,ROUND(M$47*LOT_DELIVERY_SCENARIO,0)),MIN(AB$10-SUM(AB$13:AB37),ROUND(M$47*LOT_DELIVERY_SCENARIO,0))),M38)</f>
        <v>0</v>
      </c>
      <c r="AC38" s="256">
        <f>IF(HYPOTHETICAL_SCENARIO="Yes",IF((AC$10-SUM(AC$13:AC37))=AC$10,IF(N38&lt;=0,0,ROUND(N$47*LOT_DELIVERY_SCENARIO,0)),MIN(AC$10-SUM(AC$13:AC37),ROUND(N$47*LOT_DELIVERY_SCENARIO,0))),N38)</f>
        <v>0</v>
      </c>
      <c r="AD38" s="256">
        <f>IF(HYPOTHETICAL_SCENARIO="Yes",IF((AD$10-SUM(AD$13:AD37))=AD$10,IF(O38&lt;=0,0,ROUND(O$47*LOT_DELIVERY_SCENARIO,0)),MIN(AD$10-SUM(AD$13:AD37),ROUND(O$47*LOT_DELIVERY_SCENARIO,0))),O38)</f>
        <v>0</v>
      </c>
      <c r="AE38" s="256">
        <f>IF(HYPOTHETICAL_SCENARIO="Yes",IF((AE$10-SUM(AE$13:AE37))=AE$10,IF(P38&lt;=0,0,ROUND(P$47*LOT_DELIVERY_SCENARIO,0)),MIN(AE$10-SUM(AE$13:AE37),ROUND(P$47*LOT_DELIVERY_SCENARIO,0))),P38)</f>
        <v>0</v>
      </c>
      <c r="AF38" s="256">
        <f t="shared" si="97"/>
        <v>0</v>
      </c>
      <c r="AH38" s="75">
        <f t="shared" si="163"/>
        <v>52657</v>
      </c>
      <c r="AI38" s="221"/>
      <c r="AJ38" s="221">
        <f>(SUM(F$17:F38)-SUM(CF$17:CF38))*AJ$11</f>
        <v>0</v>
      </c>
      <c r="AK38" s="221">
        <f>(SUM(G$17:G38)-SUM(CG$17:CG38))*AK$11</f>
        <v>0</v>
      </c>
      <c r="AL38" s="221">
        <f>(SUM(H$17:H38)-SUM(CH$17:CH38))*AL$11</f>
        <v>0</v>
      </c>
      <c r="AM38" s="221">
        <f>(SUM(I$17:I38)-SUM(CI$17:CI38))*AM$11</f>
        <v>0</v>
      </c>
      <c r="AN38" s="221">
        <f>(SUM(J$17:J38)-SUM(CJ$17:CJ38))*AN$11</f>
        <v>0</v>
      </c>
      <c r="AO38" s="221">
        <f>(SUM(K$17:K38)-SUM(CK$17:CK38))*AO$11</f>
        <v>0</v>
      </c>
      <c r="AP38" s="221">
        <f>(SUM(L$17:L38)-SUM(CL$17:CL38))*AP$11</f>
        <v>0</v>
      </c>
      <c r="AQ38" s="221">
        <f>(SUM(M$17:M38)-SUM(CM$17:CM38))*AQ$11</f>
        <v>0</v>
      </c>
      <c r="AR38" s="221">
        <f>(SUM(N$17:N38)-SUM(CN$17:CN38))*AR$11</f>
        <v>0</v>
      </c>
      <c r="AS38" s="221">
        <f>(SUM(O$17:O38)-SUM(CO$17:CO38))*AS$11</f>
        <v>0</v>
      </c>
      <c r="AT38" s="221">
        <f>(SUM(P$17:P38)-SUM(CP$17:CP38))*AT$11</f>
        <v>0</v>
      </c>
      <c r="AU38" s="221">
        <f t="shared" si="109"/>
        <v>0</v>
      </c>
      <c r="AW38" s="75">
        <f t="shared" si="164"/>
        <v>52657</v>
      </c>
      <c r="AX38" s="221">
        <f t="shared" si="165"/>
        <v>0</v>
      </c>
      <c r="AY38" s="221">
        <f t="shared" ca="1" si="183"/>
        <v>0</v>
      </c>
      <c r="AZ38" s="221">
        <f t="shared" ca="1" si="184"/>
        <v>0</v>
      </c>
      <c r="BA38" s="221">
        <f t="shared" ca="1" si="185"/>
        <v>0</v>
      </c>
      <c r="BB38" s="221">
        <f t="shared" ca="1" si="186"/>
        <v>0</v>
      </c>
      <c r="BC38" s="221">
        <f t="shared" ca="1" si="187"/>
        <v>0</v>
      </c>
      <c r="BD38" s="221">
        <f t="shared" ca="1" si="188"/>
        <v>0</v>
      </c>
      <c r="BE38" s="221">
        <f t="shared" ca="1" si="189"/>
        <v>0</v>
      </c>
      <c r="BF38" s="221">
        <f t="shared" ca="1" si="190"/>
        <v>0</v>
      </c>
      <c r="BG38" s="221">
        <f t="shared" ca="1" si="191"/>
        <v>0</v>
      </c>
      <c r="BH38" s="221">
        <f t="shared" ca="1" si="111"/>
        <v>0</v>
      </c>
      <c r="BI38" s="221">
        <f t="shared" ca="1" si="112"/>
        <v>0</v>
      </c>
      <c r="BJ38" s="221"/>
      <c r="BK38" s="221">
        <f t="shared" ca="1" si="113"/>
        <v>0</v>
      </c>
      <c r="BM38" s="75">
        <f t="shared" si="166"/>
        <v>52657</v>
      </c>
      <c r="BN38" s="221">
        <f t="shared" ca="1" si="114"/>
        <v>0</v>
      </c>
      <c r="BO38" s="221"/>
      <c r="BP38" s="221"/>
      <c r="BQ38" s="221"/>
      <c r="BR38" s="221"/>
      <c r="BS38" s="221"/>
      <c r="BT38" s="221"/>
      <c r="BU38" s="221"/>
      <c r="BV38" s="221"/>
      <c r="BW38" s="221"/>
      <c r="BX38" s="221">
        <f t="shared" ca="1" si="124"/>
        <v>0</v>
      </c>
      <c r="BY38" s="221">
        <f t="shared" ca="1" si="125"/>
        <v>0</v>
      </c>
      <c r="BZ38" s="221"/>
      <c r="CA38" s="221"/>
      <c r="CB38" s="221"/>
      <c r="CD38" s="75">
        <f t="shared" si="83"/>
        <v>52657</v>
      </c>
      <c r="CE38" s="340"/>
      <c r="CF38" s="343"/>
      <c r="CG38" s="343"/>
      <c r="CH38" s="343"/>
      <c r="CI38" s="343"/>
      <c r="CJ38" s="343"/>
      <c r="CK38" s="343"/>
      <c r="CL38" s="343"/>
      <c r="CM38" s="343"/>
      <c r="CN38" s="343"/>
      <c r="CO38" s="343"/>
      <c r="CP38" s="343"/>
      <c r="CQ38" s="236">
        <f t="shared" si="129"/>
        <v>0</v>
      </c>
      <c r="CS38" s="75">
        <f t="shared" si="130"/>
        <v>52657</v>
      </c>
      <c r="CT38" s="256">
        <f t="shared" si="131"/>
        <v>0</v>
      </c>
      <c r="CU38" s="256">
        <f>IF(HYPOTHETICAL_SCENARIO="Yes",IF((CU$10-SUM(CU$13:CU37))=CU$10,IF(CF38&lt;=0,0,ROUND(CF$47*ABSORPTION_SCENARIO,0)),MIN(CU$10-SUM(CU$13:CU37),ROUND(CF$47*ABSORPTION_SCENARIO,0))),CF38)</f>
        <v>0</v>
      </c>
      <c r="CV38" s="256">
        <f>IF(HYPOTHETICAL_SCENARIO="Yes",IF((CV$10-SUM(CV$13:CV37))=CV$10,IF(CG38&lt;=0,0,ROUND(CG$47*ABSORPTION_SCENARIO,0)),MIN(CV$10-SUM(CV$13:CV37),ROUND(CG$47*ABSORPTION_SCENARIO,0))),CG38)</f>
        <v>0</v>
      </c>
      <c r="CW38" s="256">
        <f>IF(HYPOTHETICAL_SCENARIO="Yes",IF((CW$10-SUM(CW$13:CW37))=CW$10,IF(CH38&lt;=0,0,ROUND(CH$47*ABSORPTION_SCENARIO,0)),MIN(CW$10-SUM(CW$13:CW37),ROUND(CH$47*ABSORPTION_SCENARIO,0))),CH38)</f>
        <v>0</v>
      </c>
      <c r="CX38" s="256">
        <f>IF(HYPOTHETICAL_SCENARIO="Yes",IF((CX$10-SUM(CX$13:CX37))=CX$10,IF(CI38&lt;=0,0,ROUND(CI$47*ABSORPTION_SCENARIO,0)),MIN(CX$10-SUM(CX$13:CX37),ROUND(CI$47*ABSORPTION_SCENARIO,0))),CI38)</f>
        <v>0</v>
      </c>
      <c r="CY38" s="256">
        <f>IF(HYPOTHETICAL_SCENARIO="Yes",IF((CY$10-SUM(CY$13:CY37))=CY$10,IF(CJ38&lt;=0,0,ROUND(CJ$47*ABSORPTION_SCENARIO,0)),MIN(CY$10-SUM(CY$13:CY37),ROUND(CJ$47*ABSORPTION_SCENARIO,0))),CJ38)</f>
        <v>0</v>
      </c>
      <c r="CZ38" s="256">
        <f>IF(HYPOTHETICAL_SCENARIO="Yes",IF((CZ$10-SUM(CZ$13:CZ37))=CZ$10,IF(CK38&lt;=0,0,ROUND(CK$47*ABSORPTION_SCENARIO,0)),MIN(CZ$10-SUM(CZ$13:CZ37),ROUND(CK$47*ABSORPTION_SCENARIO,0))),CK38)</f>
        <v>0</v>
      </c>
      <c r="DA38" s="256">
        <f>IF(HYPOTHETICAL_SCENARIO="Yes",IF((DA$10-SUM(DA$13:DA37))=DA$10,IF(CL38&lt;=0,0,ROUND(CL$47*ABSORPTION_SCENARIO,0)),MIN(DA$10-SUM(DA$13:DA37),ROUND(CL$47*ABSORPTION_SCENARIO,0))),CL38)</f>
        <v>0</v>
      </c>
      <c r="DB38" s="256">
        <f>IF(HYPOTHETICAL_SCENARIO="Yes",IF((DB$10-SUM(DB$13:DB37))=DB$10,IF(CM38&lt;=0,0,ROUND(CM$47*ABSORPTION_SCENARIO,0)),MIN(DB$10-SUM(DB$13:DB37),ROUND(CM$47*ABSORPTION_SCENARIO,0))),CM38)</f>
        <v>0</v>
      </c>
      <c r="DC38" s="256">
        <f>IF(HYPOTHETICAL_SCENARIO="Yes",IF((DC$10-SUM(DC$13:DC37))=DC$10,IF(CN38&lt;=0,0,ROUND(CN$47*ABSORPTION_SCENARIO,0)),MIN(DC$10-SUM(DC$13:DC37),ROUND(CN$47*ABSORPTION_SCENARIO,0))),CN38)</f>
        <v>0</v>
      </c>
      <c r="DD38" s="256">
        <f>IF(HYPOTHETICAL_SCENARIO="Yes",IF((DD$10-SUM(DD$13:DD37))=DD$10,IF(CO38&lt;=0,0,ROUND(CO$47*ABSORPTION_SCENARIO,0)),MIN(DD$10-SUM(DD$13:DD37),ROUND(CO$47*ABSORPTION_SCENARIO,0))),CO38)</f>
        <v>0</v>
      </c>
      <c r="DE38" s="256">
        <f>IF(HYPOTHETICAL_SCENARIO="Yes",IF((DE$10-SUM(DE$13:DE37))=DE$10,IF(CP38&lt;=0,0,ROUND(CP$47*ABSORPTION_SCENARIO,0)),MIN(DE$10-SUM(DE$13:DE37),ROUND(CP$47*ABSORPTION_SCENARIO,0))),CP38)</f>
        <v>0</v>
      </c>
      <c r="DF38" s="256">
        <f>SUM(CT38:DE38)</f>
        <v>0</v>
      </c>
      <c r="DH38" s="75">
        <f t="shared" si="133"/>
        <v>52657</v>
      </c>
      <c r="DI38" s="75"/>
      <c r="DJ38" s="218">
        <f t="shared" si="182"/>
        <v>660350.38961983088</v>
      </c>
      <c r="DK38" s="218">
        <f t="shared" si="182"/>
        <v>713251.38768329797</v>
      </c>
      <c r="DL38" s="218">
        <f t="shared" si="182"/>
        <v>784484.4147786597</v>
      </c>
      <c r="DM38" s="218">
        <f t="shared" si="182"/>
        <v>888877.6441425517</v>
      </c>
      <c r="DN38" s="218">
        <f t="shared" si="182"/>
        <v>1018195.2085448818</v>
      </c>
      <c r="DO38" s="218">
        <f t="shared" si="182"/>
        <v>1147783.689632412</v>
      </c>
      <c r="DP38" s="218">
        <f t="shared" si="182"/>
        <v>1282001.2338144002</v>
      </c>
      <c r="DQ38" s="218">
        <f t="shared" si="182"/>
        <v>1374564.4345912077</v>
      </c>
      <c r="DR38" s="218">
        <f t="shared" si="182"/>
        <v>0</v>
      </c>
      <c r="DS38" s="218">
        <f t="shared" si="182"/>
        <v>0</v>
      </c>
      <c r="DT38" s="218">
        <f t="shared" si="182"/>
        <v>0</v>
      </c>
      <c r="DW38" s="75">
        <f t="shared" si="144"/>
        <v>52657</v>
      </c>
      <c r="DX38" s="308"/>
      <c r="DY38" s="338"/>
      <c r="DZ38" s="221">
        <f t="shared" si="145"/>
        <v>0</v>
      </c>
      <c r="EA38" s="221">
        <f t="shared" si="146"/>
        <v>0</v>
      </c>
      <c r="EB38" s="221">
        <f t="shared" si="147"/>
        <v>0</v>
      </c>
      <c r="EC38" s="221">
        <f t="shared" si="148"/>
        <v>0</v>
      </c>
      <c r="ED38" s="221">
        <f t="shared" si="149"/>
        <v>0</v>
      </c>
      <c r="EE38" s="221">
        <f t="shared" si="150"/>
        <v>0</v>
      </c>
      <c r="EF38" s="221">
        <f t="shared" si="151"/>
        <v>0</v>
      </c>
      <c r="EG38" s="221">
        <f t="shared" si="152"/>
        <v>0</v>
      </c>
      <c r="EH38" s="221">
        <f t="shared" si="153"/>
        <v>0</v>
      </c>
      <c r="EI38" s="221">
        <f t="shared" si="154"/>
        <v>0</v>
      </c>
      <c r="EJ38" s="221">
        <f t="shared" si="155"/>
        <v>0</v>
      </c>
      <c r="EK38" s="221">
        <f t="shared" si="156"/>
        <v>0</v>
      </c>
      <c r="EL38" s="221">
        <f t="shared" si="157"/>
        <v>0</v>
      </c>
      <c r="EN38" s="75">
        <f t="shared" si="180"/>
        <v>52657</v>
      </c>
      <c r="EO38" s="308"/>
      <c r="EP38" s="338"/>
      <c r="EQ38" s="221">
        <f t="shared" ca="1" si="181"/>
        <v>0</v>
      </c>
      <c r="ER38" s="221">
        <f t="shared" ca="1" si="192"/>
        <v>0</v>
      </c>
      <c r="ES38" s="221">
        <f t="shared" ca="1" si="193"/>
        <v>0</v>
      </c>
      <c r="ET38" s="221">
        <f t="shared" ca="1" si="194"/>
        <v>0</v>
      </c>
      <c r="EU38" s="221">
        <f t="shared" ca="1" si="195"/>
        <v>0</v>
      </c>
      <c r="EV38" s="221">
        <f t="shared" ca="1" si="196"/>
        <v>0</v>
      </c>
      <c r="EW38" s="221">
        <f t="shared" ca="1" si="197"/>
        <v>0</v>
      </c>
      <c r="EX38" s="221">
        <f t="shared" ca="1" si="198"/>
        <v>0</v>
      </c>
      <c r="EY38" s="221">
        <f t="shared" ca="1" si="199"/>
        <v>0</v>
      </c>
      <c r="EZ38" s="221">
        <f t="shared" ca="1" si="200"/>
        <v>0</v>
      </c>
      <c r="FA38" s="221">
        <f t="shared" ca="1" si="201"/>
        <v>0</v>
      </c>
      <c r="FB38" s="221">
        <f t="shared" ca="1" si="202"/>
        <v>0</v>
      </c>
      <c r="FC38" s="221">
        <f t="shared" ca="1" si="203"/>
        <v>0</v>
      </c>
    </row>
    <row r="39" spans="4:159" ht="6.95" customHeight="1" x14ac:dyDescent="0.25">
      <c r="D39" s="75"/>
      <c r="E39" s="170"/>
      <c r="F39" s="170"/>
      <c r="G39" s="170"/>
      <c r="H39" s="170"/>
      <c r="I39" s="170"/>
      <c r="J39" s="170"/>
      <c r="K39" s="170"/>
      <c r="L39" s="170"/>
      <c r="M39" s="170"/>
      <c r="N39" s="170"/>
      <c r="O39" s="170"/>
      <c r="P39" s="170"/>
      <c r="Q39" s="170"/>
      <c r="S39" s="75"/>
      <c r="T39" s="118"/>
      <c r="U39" s="170"/>
      <c r="V39" s="170"/>
      <c r="W39" s="170"/>
      <c r="X39" s="170"/>
      <c r="Y39" s="170"/>
      <c r="Z39" s="170"/>
      <c r="AA39" s="170"/>
      <c r="AB39" s="170"/>
      <c r="AC39" s="170"/>
      <c r="AD39" s="170"/>
      <c r="AE39" s="170"/>
      <c r="AF39" s="170"/>
      <c r="AH39" s="75"/>
      <c r="AI39" s="118"/>
      <c r="AJ39" s="170"/>
      <c r="AK39" s="170"/>
      <c r="AL39" s="170"/>
      <c r="AM39" s="170"/>
      <c r="AN39" s="170"/>
      <c r="AO39" s="170"/>
      <c r="AP39" s="170"/>
      <c r="AQ39" s="170"/>
      <c r="AR39" s="170"/>
      <c r="AS39" s="170"/>
      <c r="AT39" s="170"/>
      <c r="AU39" s="170"/>
      <c r="AW39" s="75"/>
      <c r="AX39" s="118"/>
      <c r="AY39" s="170"/>
      <c r="AZ39" s="170"/>
      <c r="BA39" s="170"/>
      <c r="BB39" s="170"/>
      <c r="BC39" s="170"/>
      <c r="BD39" s="170"/>
      <c r="BE39" s="170"/>
      <c r="BF39" s="170"/>
      <c r="BG39" s="170"/>
      <c r="BH39" s="170"/>
      <c r="BI39" s="170"/>
      <c r="BJ39" s="170"/>
      <c r="BK39" s="170"/>
      <c r="BM39" s="75"/>
      <c r="BN39" s="118"/>
      <c r="BO39" s="170"/>
      <c r="BP39" s="170"/>
      <c r="BQ39" s="170"/>
      <c r="BR39" s="170"/>
      <c r="BS39" s="170"/>
      <c r="BT39" s="170"/>
      <c r="BU39" s="170"/>
      <c r="BV39" s="170"/>
      <c r="BW39" s="170"/>
      <c r="BX39" s="170"/>
      <c r="BY39" s="170"/>
      <c r="BZ39" s="170"/>
      <c r="CA39" s="170"/>
      <c r="CB39" s="170"/>
      <c r="CD39" s="75"/>
      <c r="CE39" s="118"/>
      <c r="CF39" s="170"/>
      <c r="CG39" s="170"/>
      <c r="CH39" s="170"/>
      <c r="CI39" s="170"/>
      <c r="CJ39" s="170"/>
      <c r="CK39" s="170"/>
      <c r="CL39" s="170"/>
      <c r="CM39" s="170"/>
      <c r="CN39" s="170"/>
      <c r="CO39" s="170"/>
      <c r="CP39" s="170"/>
      <c r="CQ39" s="170"/>
      <c r="CS39" s="75"/>
      <c r="CT39" s="118"/>
      <c r="CU39" s="170"/>
      <c r="CV39" s="170"/>
      <c r="CW39" s="170"/>
      <c r="CX39" s="170"/>
      <c r="CY39" s="170"/>
      <c r="CZ39" s="170"/>
      <c r="DA39" s="170"/>
      <c r="DB39" s="170"/>
      <c r="DC39" s="170"/>
      <c r="DD39" s="170"/>
      <c r="DE39" s="170"/>
      <c r="DF39" s="170"/>
      <c r="DI39" s="106"/>
      <c r="DJ39" s="106"/>
      <c r="DK39" s="106"/>
      <c r="DL39" s="106"/>
      <c r="DM39" s="106"/>
      <c r="DN39" s="106"/>
      <c r="DO39" s="106"/>
      <c r="DP39" s="106"/>
      <c r="DQ39" s="106"/>
      <c r="DR39" s="106"/>
      <c r="DS39" s="106"/>
      <c r="DT39" s="106"/>
      <c r="DU39" s="106"/>
      <c r="DX39" s="106"/>
      <c r="DY39" s="106"/>
      <c r="DZ39" s="106"/>
      <c r="EA39" s="106"/>
      <c r="EB39" s="106"/>
      <c r="EC39" s="106"/>
      <c r="ED39" s="106"/>
      <c r="EE39" s="106"/>
      <c r="EF39" s="106"/>
      <c r="EG39" s="106"/>
      <c r="EH39" s="106"/>
      <c r="EI39" s="106"/>
      <c r="EJ39" s="106"/>
      <c r="EK39" s="106"/>
      <c r="EL39" s="106"/>
      <c r="EO39" s="106"/>
      <c r="EP39" s="106"/>
      <c r="EQ39" s="106"/>
      <c r="ER39" s="106"/>
      <c r="ES39" s="106"/>
      <c r="ET39" s="106"/>
      <c r="EU39" s="106"/>
      <c r="EV39" s="106"/>
      <c r="EW39" s="106"/>
      <c r="EX39" s="106"/>
      <c r="EY39" s="106"/>
      <c r="EZ39" s="106"/>
      <c r="FA39" s="106"/>
      <c r="FB39" s="106"/>
      <c r="FC39" s="106"/>
    </row>
    <row r="40" spans="4:159" x14ac:dyDescent="0.25"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</row>
    <row r="41" spans="4:159" x14ac:dyDescent="0.25">
      <c r="D41" s="11" t="s">
        <v>309</v>
      </c>
      <c r="E41" s="31">
        <f>SUM(E14:E40)</f>
        <v>0</v>
      </c>
      <c r="F41" s="31">
        <f>SUM(F14:F40)</f>
        <v>139</v>
      </c>
      <c r="G41" s="31">
        <f t="shared" ref="G41:P41" si="216">SUM(G15:G40)</f>
        <v>327</v>
      </c>
      <c r="H41" s="31">
        <f t="shared" si="216"/>
        <v>30</v>
      </c>
      <c r="I41" s="31">
        <f t="shared" si="216"/>
        <v>88</v>
      </c>
      <c r="J41" s="31">
        <f t="shared" si="216"/>
        <v>23</v>
      </c>
      <c r="K41" s="31">
        <f t="shared" si="216"/>
        <v>67</v>
      </c>
      <c r="L41" s="31">
        <f t="shared" si="216"/>
        <v>41</v>
      </c>
      <c r="M41" s="31">
        <f t="shared" si="216"/>
        <v>1</v>
      </c>
      <c r="N41" s="31">
        <f t="shared" ref="N41:O41" si="217">SUM(N15:N40)</f>
        <v>0</v>
      </c>
      <c r="O41" s="31">
        <f t="shared" si="217"/>
        <v>0</v>
      </c>
      <c r="P41" s="31">
        <f t="shared" si="216"/>
        <v>0</v>
      </c>
      <c r="Q41" s="31">
        <f>SUM(Q15:Q40)</f>
        <v>716</v>
      </c>
      <c r="S41" s="11"/>
      <c r="T41" s="31">
        <f>SUM(T14:T40)</f>
        <v>0</v>
      </c>
      <c r="U41" s="31">
        <f>SUM(U14:U40)</f>
        <v>139</v>
      </c>
      <c r="V41" s="31">
        <f t="shared" ref="V41:AF41" si="218">SUM(V14:V40)</f>
        <v>327</v>
      </c>
      <c r="W41" s="31">
        <f t="shared" si="218"/>
        <v>30</v>
      </c>
      <c r="X41" s="31">
        <f t="shared" si="218"/>
        <v>88</v>
      </c>
      <c r="Y41" s="31">
        <f t="shared" si="218"/>
        <v>23</v>
      </c>
      <c r="Z41" s="31">
        <f t="shared" si="218"/>
        <v>67</v>
      </c>
      <c r="AA41" s="31">
        <f t="shared" si="218"/>
        <v>41</v>
      </c>
      <c r="AB41" s="31">
        <f t="shared" si="218"/>
        <v>1</v>
      </c>
      <c r="AC41" s="31">
        <f t="shared" si="218"/>
        <v>0</v>
      </c>
      <c r="AD41" s="31">
        <f t="shared" si="218"/>
        <v>0</v>
      </c>
      <c r="AE41" s="31">
        <f t="shared" si="218"/>
        <v>0</v>
      </c>
      <c r="AF41" s="31">
        <f t="shared" si="218"/>
        <v>716</v>
      </c>
      <c r="AH41" s="11" t="s">
        <v>322</v>
      </c>
      <c r="AI41" s="11"/>
      <c r="AJ41" s="221">
        <f>SUM(AJ14:AJ40)</f>
        <v>5082118</v>
      </c>
      <c r="AK41" s="221">
        <f t="shared" ref="AK41:AU41" si="219">SUM(AK14:AK40)</f>
        <v>12913557</v>
      </c>
      <c r="AL41" s="221">
        <f t="shared" si="219"/>
        <v>1303050</v>
      </c>
      <c r="AM41" s="221">
        <f t="shared" si="219"/>
        <v>4330920</v>
      </c>
      <c r="AN41" s="221">
        <f t="shared" si="219"/>
        <v>1296625</v>
      </c>
      <c r="AO41" s="221">
        <f t="shared" si="219"/>
        <v>4257850</v>
      </c>
      <c r="AP41" s="221">
        <f t="shared" si="219"/>
        <v>2910233.3000000003</v>
      </c>
      <c r="AQ41" s="221">
        <f t="shared" si="219"/>
        <v>76106.3</v>
      </c>
      <c r="AR41" s="221">
        <f t="shared" si="219"/>
        <v>0</v>
      </c>
      <c r="AS41" s="221">
        <f t="shared" si="219"/>
        <v>0</v>
      </c>
      <c r="AT41" s="221">
        <f t="shared" si="219"/>
        <v>0</v>
      </c>
      <c r="AU41" s="221">
        <f t="shared" si="219"/>
        <v>32170459.600000001</v>
      </c>
      <c r="AW41" s="11" t="s">
        <v>213</v>
      </c>
      <c r="AX41" s="11"/>
      <c r="AY41" s="221">
        <f ca="1">SUM(AY14:AY40)</f>
        <v>5082118</v>
      </c>
      <c r="AZ41" s="221">
        <f t="shared" ref="AZ41" ca="1" si="220">SUM(AZ14:AZ40)</f>
        <v>12913557</v>
      </c>
      <c r="BA41" s="221">
        <f t="shared" ref="BA41" ca="1" si="221">SUM(BA14:BA40)</f>
        <v>1303050</v>
      </c>
      <c r="BB41" s="221">
        <f t="shared" ref="BB41" ca="1" si="222">SUM(BB14:BB40)</f>
        <v>4330920</v>
      </c>
      <c r="BC41" s="221">
        <f t="shared" ref="BC41" ca="1" si="223">SUM(BC14:BC40)</f>
        <v>1296625</v>
      </c>
      <c r="BD41" s="221">
        <f t="shared" ref="BD41" ca="1" si="224">SUM(BD14:BD40)</f>
        <v>4257850</v>
      </c>
      <c r="BE41" s="221">
        <f t="shared" ref="BE41" ca="1" si="225">SUM(BE14:BE40)</f>
        <v>2910233.3000000003</v>
      </c>
      <c r="BF41" s="221">
        <f t="shared" ref="BF41:BI41" ca="1" si="226">SUM(BF14:BF40)</f>
        <v>76106.3</v>
      </c>
      <c r="BG41" s="221">
        <f t="shared" ca="1" si="226"/>
        <v>0</v>
      </c>
      <c r="BH41" s="221">
        <f t="shared" ca="1" si="226"/>
        <v>0</v>
      </c>
      <c r="BI41" s="221">
        <f t="shared" ca="1" si="226"/>
        <v>0</v>
      </c>
      <c r="BJ41" s="221"/>
      <c r="BK41" s="221">
        <f t="shared" ref="BK41" ca="1" si="227">SUM(BK14:BK40)</f>
        <v>32170459.600000001</v>
      </c>
      <c r="BM41" s="11" t="s">
        <v>213</v>
      </c>
      <c r="BN41" s="221">
        <f ca="1">SUM(BN14:BN40)</f>
        <v>0</v>
      </c>
      <c r="BO41" s="221">
        <f ca="1">SUM(BO14:BO40)</f>
        <v>-5082118</v>
      </c>
      <c r="BP41" s="221">
        <f t="shared" ref="BP41:BZ41" ca="1" si="228">SUM(BP14:BP40)</f>
        <v>-12913557</v>
      </c>
      <c r="BQ41" s="221">
        <f t="shared" ca="1" si="228"/>
        <v>-1303050</v>
      </c>
      <c r="BR41" s="221">
        <f t="shared" ca="1" si="228"/>
        <v>-4330920</v>
      </c>
      <c r="BS41" s="221">
        <f t="shared" ca="1" si="228"/>
        <v>-1296625</v>
      </c>
      <c r="BT41" s="221">
        <f t="shared" ca="1" si="228"/>
        <v>-4257850</v>
      </c>
      <c r="BU41" s="221">
        <f t="shared" ca="1" si="228"/>
        <v>-2910233.3000000003</v>
      </c>
      <c r="BV41" s="221">
        <f t="shared" ca="1" si="228"/>
        <v>-76106.3</v>
      </c>
      <c r="BW41" s="221">
        <f t="shared" ca="1" si="228"/>
        <v>0</v>
      </c>
      <c r="BX41" s="221">
        <f t="shared" ca="1" si="228"/>
        <v>0</v>
      </c>
      <c r="BY41" s="221">
        <f t="shared" ca="1" si="228"/>
        <v>0</v>
      </c>
      <c r="BZ41" s="221">
        <f t="shared" si="228"/>
        <v>0</v>
      </c>
      <c r="CA41" s="221">
        <f t="shared" ref="CA41:CB41" ca="1" si="229">SUM(CA14:CA40)</f>
        <v>-32170459.600000001</v>
      </c>
      <c r="CB41" s="221">
        <f t="shared" ca="1" si="229"/>
        <v>0</v>
      </c>
      <c r="CD41" s="11" t="s">
        <v>214</v>
      </c>
      <c r="CE41" s="11"/>
      <c r="CF41" s="270">
        <f>SUM(CF15:CF40)</f>
        <v>139</v>
      </c>
      <c r="CG41" s="270">
        <f>SUM(CG16:CG40)</f>
        <v>327</v>
      </c>
      <c r="CH41" s="270">
        <f t="shared" ref="CH41:CP41" si="230">SUM(CH16:CH40)</f>
        <v>30</v>
      </c>
      <c r="CI41" s="270">
        <f t="shared" si="230"/>
        <v>88</v>
      </c>
      <c r="CJ41" s="270">
        <f t="shared" si="230"/>
        <v>23</v>
      </c>
      <c r="CK41" s="270">
        <f t="shared" si="230"/>
        <v>67</v>
      </c>
      <c r="CL41" s="270">
        <f t="shared" si="230"/>
        <v>41</v>
      </c>
      <c r="CM41" s="270">
        <f t="shared" si="230"/>
        <v>1</v>
      </c>
      <c r="CN41" s="270">
        <f t="shared" si="230"/>
        <v>0</v>
      </c>
      <c r="CO41" s="270">
        <f t="shared" si="230"/>
        <v>0</v>
      </c>
      <c r="CP41" s="270">
        <f t="shared" si="230"/>
        <v>0</v>
      </c>
      <c r="CQ41" s="270">
        <f>SUM(CQ15:CQ40)</f>
        <v>716</v>
      </c>
      <c r="CS41" s="11"/>
      <c r="CT41" s="11"/>
      <c r="CU41" s="270">
        <f>SUM(CU14:CU40)</f>
        <v>139</v>
      </c>
      <c r="CV41" s="270">
        <f t="shared" ref="CV41:DF41" si="231">SUM(CV14:CV40)</f>
        <v>327</v>
      </c>
      <c r="CW41" s="270">
        <f t="shared" si="231"/>
        <v>30</v>
      </c>
      <c r="CX41" s="270">
        <f t="shared" si="231"/>
        <v>88</v>
      </c>
      <c r="CY41" s="270">
        <f t="shared" si="231"/>
        <v>23</v>
      </c>
      <c r="CZ41" s="270">
        <f t="shared" si="231"/>
        <v>67</v>
      </c>
      <c r="DA41" s="270">
        <f t="shared" si="231"/>
        <v>41</v>
      </c>
      <c r="DB41" s="270">
        <f t="shared" si="231"/>
        <v>1</v>
      </c>
      <c r="DC41" s="270">
        <f t="shared" si="231"/>
        <v>0</v>
      </c>
      <c r="DD41" s="270">
        <f t="shared" si="231"/>
        <v>0</v>
      </c>
      <c r="DE41" s="270">
        <f t="shared" si="231"/>
        <v>0</v>
      </c>
      <c r="DF41" s="270">
        <f t="shared" si="231"/>
        <v>716</v>
      </c>
      <c r="DW41" s="220" t="s">
        <v>3</v>
      </c>
      <c r="DX41" s="220"/>
      <c r="DY41" s="220"/>
      <c r="DZ41" s="4">
        <f>SUM(DZ14:DZ40)</f>
        <v>53963978.955339998</v>
      </c>
      <c r="EA41" s="4">
        <f t="shared" ref="EA41:EL41" si="232">SUM(EA14:EA40)</f>
        <v>143447311.58960655</v>
      </c>
      <c r="EB41" s="4">
        <f t="shared" si="232"/>
        <v>13501943.49</v>
      </c>
      <c r="EC41" s="4">
        <f t="shared" si="232"/>
        <v>46143818.637600005</v>
      </c>
      <c r="ED41" s="4">
        <f t="shared" si="232"/>
        <v>13321412.5</v>
      </c>
      <c r="EE41" s="4">
        <f t="shared" si="232"/>
        <v>44685874.559500001</v>
      </c>
      <c r="EF41" s="4">
        <f t="shared" si="232"/>
        <v>30769604.947757002</v>
      </c>
      <c r="EG41" s="4">
        <f t="shared" si="232"/>
        <v>783894.89</v>
      </c>
      <c r="EH41" s="4">
        <f t="shared" si="232"/>
        <v>0</v>
      </c>
      <c r="EI41" s="4">
        <f t="shared" si="232"/>
        <v>0</v>
      </c>
      <c r="EJ41" s="4">
        <f t="shared" si="232"/>
        <v>0</v>
      </c>
      <c r="EK41" s="4">
        <f t="shared" si="232"/>
        <v>346617839.5698036</v>
      </c>
      <c r="EL41" s="4">
        <f t="shared" si="232"/>
        <v>346617839.5698036</v>
      </c>
      <c r="EN41" s="220" t="s">
        <v>3</v>
      </c>
      <c r="EO41" s="220"/>
      <c r="EP41" s="220"/>
      <c r="EQ41" s="4">
        <f ca="1">SUM(EQ14:EQ40)</f>
        <v>53963978.955339998</v>
      </c>
      <c r="ER41" s="4">
        <f t="shared" ref="ER41:FC41" ca="1" si="233">SUM(ER14:ER40)</f>
        <v>143447311.58960655</v>
      </c>
      <c r="ES41" s="4">
        <f t="shared" ca="1" si="233"/>
        <v>13501943.49</v>
      </c>
      <c r="ET41" s="4">
        <f t="shared" ca="1" si="233"/>
        <v>46143818.637600005</v>
      </c>
      <c r="EU41" s="4">
        <f t="shared" ca="1" si="233"/>
        <v>13321412.5</v>
      </c>
      <c r="EV41" s="4">
        <f t="shared" ca="1" si="233"/>
        <v>44685874.559500001</v>
      </c>
      <c r="EW41" s="4">
        <f t="shared" ca="1" si="233"/>
        <v>30769604.947757002</v>
      </c>
      <c r="EX41" s="4">
        <f t="shared" ca="1" si="233"/>
        <v>783894.89</v>
      </c>
      <c r="EY41" s="4">
        <f t="shared" ca="1" si="233"/>
        <v>0</v>
      </c>
      <c r="EZ41" s="4">
        <f t="shared" ca="1" si="233"/>
        <v>0</v>
      </c>
      <c r="FA41" s="4">
        <f t="shared" ca="1" si="233"/>
        <v>0</v>
      </c>
      <c r="FB41" s="4">
        <f t="shared" ca="1" si="233"/>
        <v>346617839.5698036</v>
      </c>
      <c r="FC41" s="4">
        <f t="shared" ca="1" si="233"/>
        <v>346617839.5698036</v>
      </c>
    </row>
    <row r="42" spans="4:159" hidden="1" x14ac:dyDescent="0.25"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CD42" s="169" t="s">
        <v>210</v>
      </c>
      <c r="CE42" s="169"/>
      <c r="CF42" s="169">
        <f t="shared" ref="CF42:CM42" si="234">F41</f>
        <v>139</v>
      </c>
      <c r="CG42" s="169">
        <f t="shared" si="234"/>
        <v>327</v>
      </c>
      <c r="CH42" s="169">
        <f t="shared" si="234"/>
        <v>30</v>
      </c>
      <c r="CI42" s="169">
        <f t="shared" si="234"/>
        <v>88</v>
      </c>
      <c r="CJ42" s="169">
        <f t="shared" si="234"/>
        <v>23</v>
      </c>
      <c r="CK42" s="169">
        <f t="shared" si="234"/>
        <v>67</v>
      </c>
      <c r="CL42" s="169">
        <f t="shared" si="234"/>
        <v>41</v>
      </c>
      <c r="CM42" s="169">
        <f t="shared" si="234"/>
        <v>1</v>
      </c>
      <c r="CN42" s="169">
        <f>P41</f>
        <v>0</v>
      </c>
      <c r="CO42" s="169"/>
      <c r="CP42" s="169"/>
      <c r="CQ42" s="169">
        <f>Q41</f>
        <v>716</v>
      </c>
      <c r="CS42" s="169"/>
      <c r="CT42" s="169"/>
      <c r="CU42" s="169"/>
      <c r="CV42" s="169"/>
      <c r="CW42" s="169"/>
      <c r="CX42" s="169"/>
      <c r="CY42" s="169"/>
      <c r="CZ42" s="169"/>
      <c r="DA42" s="169"/>
      <c r="DB42" s="169"/>
      <c r="DC42" s="169"/>
      <c r="DD42" s="169"/>
      <c r="DE42" s="169"/>
      <c r="DF42" s="169"/>
    </row>
    <row r="43" spans="4:159" hidden="1" x14ac:dyDescent="0.25"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S43" s="77"/>
      <c r="T43" s="77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H43" s="77"/>
      <c r="AI43" s="77"/>
      <c r="AJ43" s="172"/>
      <c r="AK43" s="172"/>
      <c r="AL43" s="172"/>
      <c r="AM43" s="172"/>
      <c r="AN43" s="172"/>
      <c r="AO43" s="172"/>
      <c r="AP43" s="172"/>
      <c r="AQ43" s="172"/>
      <c r="AR43" s="172"/>
      <c r="AS43" s="172"/>
      <c r="AT43" s="172"/>
      <c r="AU43" s="172"/>
      <c r="AW43" s="77"/>
      <c r="AX43" s="77"/>
      <c r="AY43" s="172"/>
      <c r="AZ43" s="172"/>
      <c r="BA43" s="172"/>
      <c r="BB43" s="172"/>
      <c r="BC43" s="172"/>
      <c r="BD43" s="172"/>
      <c r="BE43" s="172"/>
      <c r="BF43" s="172"/>
      <c r="BG43" s="172"/>
      <c r="BH43" s="172"/>
      <c r="BI43" s="172"/>
      <c r="BJ43" s="172"/>
      <c r="BK43" s="172"/>
      <c r="CD43" s="11" t="s">
        <v>211</v>
      </c>
      <c r="CE43" s="11"/>
      <c r="CF43" s="11" t="b">
        <f>CF41=CF42</f>
        <v>1</v>
      </c>
      <c r="CG43" s="11" t="b">
        <f t="shared" ref="CG43:CQ43" si="235">CG41=CG42</f>
        <v>1</v>
      </c>
      <c r="CH43" s="11" t="b">
        <f t="shared" si="235"/>
        <v>1</v>
      </c>
      <c r="CI43" s="11" t="b">
        <f t="shared" si="235"/>
        <v>1</v>
      </c>
      <c r="CJ43" s="11" t="b">
        <f t="shared" si="235"/>
        <v>1</v>
      </c>
      <c r="CK43" s="11" t="b">
        <f t="shared" si="235"/>
        <v>1</v>
      </c>
      <c r="CL43" s="11" t="b">
        <f t="shared" si="235"/>
        <v>1</v>
      </c>
      <c r="CM43" s="11" t="b">
        <f t="shared" si="235"/>
        <v>1</v>
      </c>
      <c r="CN43" s="11" t="b">
        <f t="shared" si="235"/>
        <v>1</v>
      </c>
      <c r="CO43" s="11"/>
      <c r="CP43" s="11"/>
      <c r="CQ43" s="11" t="b">
        <f t="shared" si="235"/>
        <v>1</v>
      </c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</row>
    <row r="44" spans="4:159" x14ac:dyDescent="0.25"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S44" s="77"/>
      <c r="T44" s="77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2"/>
      <c r="AH44" s="77"/>
      <c r="AI44" s="77"/>
      <c r="AJ44" s="172"/>
      <c r="AK44" s="172"/>
      <c r="AL44" s="172"/>
      <c r="AM44" s="172"/>
      <c r="AN44" s="172"/>
      <c r="AO44" s="172"/>
      <c r="AP44" s="172"/>
      <c r="AQ44" s="172"/>
      <c r="AR44" s="172"/>
      <c r="AS44" s="172"/>
      <c r="AT44" s="172"/>
      <c r="AU44" s="172"/>
      <c r="AW44" s="77"/>
      <c r="AX44" s="77"/>
      <c r="AY44" s="172"/>
      <c r="AZ44" s="172"/>
      <c r="BA44" s="172"/>
      <c r="BB44" s="172"/>
      <c r="BC44" s="172"/>
      <c r="BD44" s="172"/>
      <c r="BE44" s="172"/>
      <c r="BF44" s="172"/>
      <c r="BG44" s="172"/>
      <c r="BH44" s="172"/>
      <c r="BI44" s="172"/>
      <c r="BJ44" s="172"/>
      <c r="BK44" s="172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</row>
    <row r="45" spans="4:159" ht="14.1" customHeight="1" x14ac:dyDescent="0.25">
      <c r="D45" s="77" t="s">
        <v>89</v>
      </c>
      <c r="E45" s="344"/>
      <c r="F45" s="344">
        <f t="shared" ref="F45:P45" si="236">F41*F11</f>
        <v>5082118</v>
      </c>
      <c r="G45" s="344">
        <f t="shared" si="236"/>
        <v>12913557</v>
      </c>
      <c r="H45" s="344">
        <f t="shared" si="236"/>
        <v>1303050</v>
      </c>
      <c r="I45" s="344">
        <f t="shared" si="236"/>
        <v>4330920</v>
      </c>
      <c r="J45" s="344">
        <f t="shared" si="236"/>
        <v>1296625</v>
      </c>
      <c r="K45" s="344">
        <f t="shared" si="236"/>
        <v>4257850</v>
      </c>
      <c r="L45" s="344">
        <f t="shared" si="236"/>
        <v>2910233.3000000003</v>
      </c>
      <c r="M45" s="344">
        <f t="shared" si="236"/>
        <v>76106.3</v>
      </c>
      <c r="N45" s="344">
        <f t="shared" ref="N45:O45" si="237">N41*N11</f>
        <v>0</v>
      </c>
      <c r="O45" s="344">
        <f t="shared" si="237"/>
        <v>0</v>
      </c>
      <c r="P45" s="344">
        <f t="shared" si="236"/>
        <v>0</v>
      </c>
      <c r="Q45" s="344">
        <f>SUM(F45:M45)</f>
        <v>32170459.600000001</v>
      </c>
      <c r="S45" s="77" t="s">
        <v>89</v>
      </c>
      <c r="T45" s="284">
        <f t="shared" ref="T45:AE45" si="238">T41*T11</f>
        <v>0</v>
      </c>
      <c r="U45" s="284">
        <f t="shared" si="238"/>
        <v>5082118</v>
      </c>
      <c r="V45" s="284">
        <f t="shared" si="238"/>
        <v>12913557</v>
      </c>
      <c r="W45" s="284">
        <f t="shared" si="238"/>
        <v>1303050</v>
      </c>
      <c r="X45" s="284">
        <f t="shared" si="238"/>
        <v>4330920</v>
      </c>
      <c r="Y45" s="284">
        <f t="shared" si="238"/>
        <v>1296625</v>
      </c>
      <c r="Z45" s="284">
        <f t="shared" si="238"/>
        <v>4257850</v>
      </c>
      <c r="AA45" s="284">
        <f t="shared" si="238"/>
        <v>2910233.3000000003</v>
      </c>
      <c r="AB45" s="284">
        <f t="shared" si="238"/>
        <v>76106.3</v>
      </c>
      <c r="AC45" s="284">
        <f t="shared" si="238"/>
        <v>0</v>
      </c>
      <c r="AD45" s="284">
        <f t="shared" si="238"/>
        <v>0</v>
      </c>
      <c r="AE45" s="284">
        <f t="shared" si="238"/>
        <v>0</v>
      </c>
      <c r="AF45" s="284">
        <f>SUM(U45:AB45)</f>
        <v>32170459.600000001</v>
      </c>
      <c r="CD45" s="77" t="s">
        <v>323</v>
      </c>
      <c r="CE45" s="77"/>
      <c r="CF45" s="344">
        <f t="shared" ref="CF45:CP45" si="239">CF41*CF11</f>
        <v>50821180</v>
      </c>
      <c r="CG45" s="344">
        <f t="shared" si="239"/>
        <v>129135570</v>
      </c>
      <c r="CH45" s="344">
        <f t="shared" si="239"/>
        <v>13030500</v>
      </c>
      <c r="CI45" s="344">
        <f t="shared" si="239"/>
        <v>43309200</v>
      </c>
      <c r="CJ45" s="344">
        <f t="shared" si="239"/>
        <v>12966250</v>
      </c>
      <c r="CK45" s="344">
        <f t="shared" si="239"/>
        <v>42578500</v>
      </c>
      <c r="CL45" s="344">
        <f t="shared" si="239"/>
        <v>29102333</v>
      </c>
      <c r="CM45" s="344">
        <f t="shared" si="239"/>
        <v>761063</v>
      </c>
      <c r="CN45" s="344">
        <f t="shared" si="239"/>
        <v>0</v>
      </c>
      <c r="CO45" s="344">
        <f t="shared" si="239"/>
        <v>0</v>
      </c>
      <c r="CP45" s="344">
        <f t="shared" si="239"/>
        <v>0</v>
      </c>
      <c r="CQ45" s="344">
        <f>SUM(CF45:CM45)</f>
        <v>321704596</v>
      </c>
      <c r="CS45" s="77" t="s">
        <v>323</v>
      </c>
      <c r="CT45" s="77"/>
      <c r="CU45" s="172">
        <f t="shared" ref="CU45:DE45" si="240">CU41*CU11</f>
        <v>50821180</v>
      </c>
      <c r="CV45" s="172">
        <f t="shared" si="240"/>
        <v>129135570</v>
      </c>
      <c r="CW45" s="172">
        <f t="shared" si="240"/>
        <v>13030500</v>
      </c>
      <c r="CX45" s="172">
        <f t="shared" si="240"/>
        <v>43309200</v>
      </c>
      <c r="CY45" s="172">
        <f t="shared" si="240"/>
        <v>12966250</v>
      </c>
      <c r="CZ45" s="172">
        <f t="shared" si="240"/>
        <v>42578500</v>
      </c>
      <c r="DA45" s="172">
        <f t="shared" si="240"/>
        <v>29102333</v>
      </c>
      <c r="DB45" s="172">
        <f t="shared" si="240"/>
        <v>761063</v>
      </c>
      <c r="DC45" s="172">
        <f t="shared" si="240"/>
        <v>0</v>
      </c>
      <c r="DD45" s="172">
        <f t="shared" si="240"/>
        <v>0</v>
      </c>
      <c r="DE45" s="172">
        <f t="shared" si="240"/>
        <v>0</v>
      </c>
      <c r="DF45" s="172">
        <f>SUM(CU45:DB45)</f>
        <v>321704596</v>
      </c>
    </row>
    <row r="46" spans="4:159" x14ac:dyDescent="0.25">
      <c r="D46" s="189"/>
      <c r="E46" s="189"/>
      <c r="S46" s="189"/>
      <c r="T46" s="189"/>
      <c r="AH46" s="189"/>
      <c r="AI46" s="189"/>
      <c r="AW46" s="189"/>
      <c r="AX46" s="189"/>
      <c r="CS46" s="77"/>
      <c r="CT46" s="77"/>
      <c r="CU46" s="172"/>
      <c r="CV46" s="172"/>
      <c r="CW46" s="172"/>
      <c r="CX46" s="172"/>
      <c r="CY46" s="172"/>
      <c r="CZ46" s="172"/>
      <c r="DA46" s="172"/>
      <c r="DB46" s="172"/>
      <c r="DC46" s="172"/>
      <c r="DD46" s="172"/>
      <c r="DE46" s="172"/>
      <c r="DF46" s="172"/>
      <c r="DX46" s="7"/>
      <c r="DY46" s="7"/>
      <c r="EO46" s="7"/>
      <c r="EP46" s="7"/>
    </row>
    <row r="47" spans="4:159" x14ac:dyDescent="0.25">
      <c r="D47" t="s">
        <v>401</v>
      </c>
      <c r="F47" s="304">
        <f>ROUND(IF(ISERROR(AVERAGEIF(F$14:F$38,"&gt;0")),0,AVERAGEIF(F$14:F$38,"&gt;0")),0)</f>
        <v>46</v>
      </c>
      <c r="G47" s="304">
        <f t="shared" ref="G47:P47" si="241">ROUND(IF(ISERROR(AVERAGEIF(G$14:G$38,"&gt;0")),0,AVERAGEIF(G$14:G$38,"&gt;0")),0)</f>
        <v>65</v>
      </c>
      <c r="H47" s="304">
        <f t="shared" si="241"/>
        <v>15</v>
      </c>
      <c r="I47" s="304">
        <f t="shared" si="241"/>
        <v>29</v>
      </c>
      <c r="J47" s="304">
        <f t="shared" si="241"/>
        <v>12</v>
      </c>
      <c r="K47" s="304">
        <f t="shared" si="241"/>
        <v>17</v>
      </c>
      <c r="L47" s="304">
        <f t="shared" si="241"/>
        <v>14</v>
      </c>
      <c r="M47" s="304">
        <f t="shared" si="241"/>
        <v>1</v>
      </c>
      <c r="N47" s="304">
        <f t="shared" si="241"/>
        <v>0</v>
      </c>
      <c r="O47" s="304">
        <f t="shared" si="241"/>
        <v>0</v>
      </c>
      <c r="P47" s="304">
        <f t="shared" si="241"/>
        <v>0</v>
      </c>
      <c r="T47" s="7"/>
      <c r="AI47" s="7">
        <f>642340/0.29</f>
        <v>2214965.5172413792</v>
      </c>
      <c r="CD47" t="s">
        <v>401</v>
      </c>
      <c r="CE47"/>
      <c r="CF47" s="304">
        <f>ROUND(IF(ISERROR(AVERAGEIF(CF$14:CF$38,"&gt;0")),0,AVERAGEIF(CF$14:CF$38,"&gt;0")),0)</f>
        <v>46</v>
      </c>
      <c r="CG47" s="304">
        <f t="shared" ref="CG47:CP47" si="242">ROUND(IF(ISERROR(AVERAGEIF(CG$14:CG$38,"&gt;0")),0,AVERAGEIF(CG$14:CG$38,"&gt;0")),0)</f>
        <v>65</v>
      </c>
      <c r="CH47" s="304">
        <f t="shared" si="242"/>
        <v>15</v>
      </c>
      <c r="CI47" s="304">
        <f t="shared" si="242"/>
        <v>29</v>
      </c>
      <c r="CJ47" s="304">
        <f t="shared" si="242"/>
        <v>12</v>
      </c>
      <c r="CK47" s="304">
        <f t="shared" si="242"/>
        <v>17</v>
      </c>
      <c r="CL47" s="304">
        <f t="shared" si="242"/>
        <v>14</v>
      </c>
      <c r="CM47" s="304">
        <f t="shared" si="242"/>
        <v>1</v>
      </c>
      <c r="CN47" s="304">
        <f t="shared" si="242"/>
        <v>0</v>
      </c>
      <c r="CO47" s="304">
        <f t="shared" si="242"/>
        <v>0</v>
      </c>
      <c r="CP47" s="304">
        <f t="shared" si="242"/>
        <v>0</v>
      </c>
      <c r="CS47" s="189"/>
      <c r="DX47" s="208"/>
      <c r="DY47" s="208"/>
      <c r="EO47" s="208"/>
      <c r="EP47" s="208"/>
    </row>
    <row r="48" spans="4:159" x14ac:dyDescent="0.25">
      <c r="T48" s="208"/>
      <c r="AI48" s="208">
        <f>AI47-AJ17</f>
        <v>2214965.5172413792</v>
      </c>
    </row>
    <row r="50" spans="82:98" x14ac:dyDescent="0.25">
      <c r="CD50" s="189" t="str">
        <f>"Base Pricing for Residential Homes Provided by "&amp;DEVELOPER&amp;""</f>
        <v>Base Pricing for Residential Homes Provided by D.R. Horton</v>
      </c>
    </row>
    <row r="59" spans="82:98" x14ac:dyDescent="0.25">
      <c r="CD59" s="75"/>
      <c r="CE59" s="75"/>
      <c r="CS59" s="75"/>
      <c r="CT59" s="75"/>
    </row>
    <row r="60" spans="82:98" x14ac:dyDescent="0.25">
      <c r="CD60" s="75"/>
      <c r="CE60" s="75"/>
      <c r="CS60" s="75"/>
      <c r="CT60" s="75"/>
    </row>
    <row r="61" spans="82:98" x14ac:dyDescent="0.25">
      <c r="CD61" s="75"/>
      <c r="CE61" s="75"/>
      <c r="CS61" s="75"/>
      <c r="CT61" s="75"/>
    </row>
    <row r="62" spans="82:98" x14ac:dyDescent="0.25">
      <c r="CD62" s="75"/>
      <c r="CE62" s="75"/>
      <c r="CS62" s="75"/>
      <c r="CT62" s="75"/>
    </row>
    <row r="74" ht="6.95" customHeight="1" x14ac:dyDescent="0.25"/>
    <row r="77" ht="14.1" customHeight="1" x14ac:dyDescent="0.25"/>
  </sheetData>
  <phoneticPr fontId="39" type="noConversion"/>
  <conditionalFormatting sqref="CF43 CQ43">
    <cfRule type="cellIs" dxfId="11" priority="8" operator="equal">
      <formula>FALSE</formula>
    </cfRule>
    <cfRule type="cellIs" dxfId="10" priority="9" operator="equal">
      <formula>TRUE</formula>
    </cfRule>
  </conditionalFormatting>
  <conditionalFormatting sqref="CG43:CP43">
    <cfRule type="cellIs" dxfId="9" priority="5" operator="equal">
      <formula>FALSE</formula>
    </cfRule>
    <cfRule type="cellIs" dxfId="8" priority="6" operator="equal">
      <formula>TRUE</formula>
    </cfRule>
  </conditionalFormatting>
  <conditionalFormatting sqref="CU43 DF43">
    <cfRule type="cellIs" dxfId="7" priority="3" operator="equal">
      <formula>FALSE</formula>
    </cfRule>
    <cfRule type="cellIs" dxfId="6" priority="4" operator="equal">
      <formula>TRUE</formula>
    </cfRule>
  </conditionalFormatting>
  <conditionalFormatting sqref="CV43:DE43">
    <cfRule type="cellIs" dxfId="5" priority="1" operator="equal">
      <formula>FALSE</formula>
    </cfRule>
    <cfRule type="cellIs" dxfId="4" priority="2" operator="equal">
      <formula>TRUE</formula>
    </cfRule>
  </conditionalFormatting>
  <pageMargins left="0.7" right="0.7" top="0.75" bottom="0.75" header="0.3" footer="0.3"/>
  <pageSetup scale="63" orientation="landscape" r:id="rId1"/>
  <headerFooter>
    <oddFooter>&amp;L&amp;"-,Bold Italic"&amp;K002060&amp;GPrepared by Tierra Financial Advisors, LLC&amp;R&amp;"-,Italic"&amp;8Preliminary, subject to change.</oddFooter>
  </headerFooter>
  <ignoredErrors>
    <ignoredError sqref="G41 Q14" formulaRange="1"/>
    <ignoredError xmlns:x16r3="http://schemas.microsoft.com/office/spreadsheetml/2018/08/main" sqref="AX14 T14 CT14:CT38 AX16:AX33" x16r3:misleadingFormat="1"/>
    <ignoredError sqref="CF11:CL11" formula="1"/>
  </ignoredErrors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4AAEF-F15E-4A63-8FE0-31F8F75778A4}">
  <sheetPr codeName="Sheet23">
    <pageSetUpPr fitToPage="1"/>
  </sheetPr>
  <dimension ref="B1:DE72"/>
  <sheetViews>
    <sheetView showGridLines="0" view="pageBreakPreview" zoomScale="70" zoomScaleNormal="85" zoomScaleSheetLayoutView="70" workbookViewId="0">
      <selection activeCell="H7" sqref="H7"/>
    </sheetView>
  </sheetViews>
  <sheetFormatPr defaultRowHeight="15" outlineLevelCol="2" x14ac:dyDescent="0.25"/>
  <cols>
    <col min="2" max="2" width="12.7109375" bestFit="1" customWidth="1"/>
    <col min="3" max="3" width="8.7109375" customWidth="1"/>
    <col min="4" max="4" width="20.85546875" customWidth="1"/>
    <col min="5" max="5" width="16.85546875" customWidth="1"/>
    <col min="6" max="11" width="16.5703125" customWidth="1"/>
    <col min="12" max="14" width="16.5703125" customWidth="1" outlineLevel="2"/>
    <col min="15" max="15" width="18.140625" customWidth="1"/>
    <col min="16" max="16" width="5.28515625" style="27" customWidth="1"/>
    <col min="17" max="17" width="20" customWidth="1"/>
    <col min="18" max="18" width="14.85546875" customWidth="1"/>
    <col min="19" max="24" width="16.42578125" customWidth="1"/>
    <col min="25" max="27" width="16.42578125" customWidth="1" outlineLevel="1"/>
    <col min="28" max="28" width="18.140625" customWidth="1"/>
    <col min="29" max="29" width="13.5703125" style="27" customWidth="1"/>
    <col min="30" max="30" width="16.85546875" customWidth="1"/>
    <col min="31" max="31" width="12.7109375" customWidth="1"/>
    <col min="32" max="37" width="12.85546875" bestFit="1" customWidth="1"/>
    <col min="38" max="39" width="12.85546875" bestFit="1" customWidth="1" outlineLevel="1"/>
    <col min="40" max="40" width="15" bestFit="1" customWidth="1" outlineLevel="1"/>
    <col min="41" max="41" width="15.5703125" customWidth="1" outlineLevel="1"/>
    <col min="42" max="42" width="18.140625" customWidth="1"/>
    <col min="43" max="44" width="13.5703125" style="27" customWidth="1"/>
    <col min="45" max="45" width="11.28515625" style="27" customWidth="1"/>
    <col min="46" max="51" width="13.5703125" style="27" customWidth="1"/>
    <col min="52" max="55" width="13.5703125" style="27" customWidth="1" outlineLevel="1"/>
    <col min="56" max="56" width="13.5703125" style="27" customWidth="1"/>
    <col min="57" max="57" width="21.42578125" style="27" bestFit="1" customWidth="1"/>
    <col min="58" max="58" width="13.5703125" style="27" customWidth="1"/>
    <col min="59" max="59" width="24.85546875" style="27" customWidth="1"/>
    <col min="60" max="60" width="17.28515625" style="27" customWidth="1"/>
    <col min="61" max="66" width="16.42578125" style="27" customWidth="1"/>
    <col min="67" max="69" width="16.42578125" style="27" customWidth="1" outlineLevel="1"/>
    <col min="70" max="70" width="18.28515625" bestFit="1" customWidth="1"/>
    <col min="71" max="71" width="6.140625" customWidth="1"/>
    <col min="72" max="73" width="19" customWidth="1" outlineLevel="2"/>
    <col min="74" max="82" width="13.28515625" customWidth="1" outlineLevel="2"/>
    <col min="83" max="83" width="6.28515625" customWidth="1" outlineLevel="2"/>
    <col min="84" max="84" width="9.140625" customWidth="1" outlineLevel="1"/>
    <col min="85" max="86" width="19" customWidth="1"/>
    <col min="87" max="92" width="16.28515625" customWidth="1"/>
    <col min="93" max="95" width="16.28515625" customWidth="1" outlineLevel="1"/>
    <col min="96" max="96" width="14.42578125" bestFit="1" customWidth="1"/>
    <col min="98" max="99" width="19" customWidth="1"/>
    <col min="100" max="100" width="19" bestFit="1" customWidth="1"/>
    <col min="101" max="103" width="17.42578125" bestFit="1" customWidth="1"/>
    <col min="104" max="104" width="12.5703125" bestFit="1" customWidth="1"/>
    <col min="105" max="105" width="13.85546875" customWidth="1"/>
    <col min="106" max="108" width="13.85546875" customWidth="1" outlineLevel="1"/>
    <col min="109" max="109" width="20" bestFit="1" customWidth="1"/>
  </cols>
  <sheetData>
    <row r="1" spans="4:109" ht="26.25" x14ac:dyDescent="0.4">
      <c r="D1" s="111" t="str">
        <f>METRO</f>
        <v>Viridian Farm Public Improvement District</v>
      </c>
      <c r="E1" s="111"/>
      <c r="Q1" s="111"/>
      <c r="R1" s="111"/>
      <c r="AD1" s="111" t="str">
        <f>METRO</f>
        <v>Viridian Farm Public Improvement District</v>
      </c>
      <c r="AE1" s="111"/>
      <c r="BG1" s="111" t="str">
        <f>METRO</f>
        <v>Viridian Farm Public Improvement District</v>
      </c>
      <c r="BH1" s="111"/>
      <c r="BT1" s="111" t="str">
        <f>METRO</f>
        <v>Viridian Farm Public Improvement District</v>
      </c>
      <c r="BU1" s="111"/>
      <c r="CG1" s="111"/>
      <c r="CH1" s="111"/>
      <c r="CT1" s="111" t="str">
        <f>METRO</f>
        <v>Viridian Farm Public Improvement District</v>
      </c>
      <c r="CU1" s="111"/>
    </row>
    <row r="2" spans="4:109" ht="18.75" x14ac:dyDescent="0.3">
      <c r="D2" s="110" t="str">
        <f>"City of " &amp; CITY &amp; " / " &amp; COUNTY &amp; " County "</f>
        <v xml:space="preserve">City of Salem / Utah County </v>
      </c>
      <c r="E2" s="110"/>
      <c r="Q2" s="110"/>
      <c r="R2" s="110"/>
      <c r="AD2" s="110" t="str">
        <f>"City of " &amp; CITY &amp; " / " &amp; COUNTY &amp; " County "</f>
        <v xml:space="preserve">City of Salem / Utah County </v>
      </c>
      <c r="AE2" s="110"/>
      <c r="BG2" s="110" t="str">
        <f>"City of " &amp; CITY &amp; " / " &amp; COUNTY &amp; " County "</f>
        <v xml:space="preserve">City of Salem / Utah County </v>
      </c>
      <c r="BH2" s="110"/>
      <c r="BT2" s="110" t="str">
        <f>"City of " &amp; CITY &amp; " / " &amp; COUNTY &amp; " County "</f>
        <v xml:space="preserve">City of Salem / Utah County </v>
      </c>
      <c r="BU2" s="110"/>
      <c r="CG2" s="110"/>
      <c r="CH2" s="110"/>
      <c r="CT2" s="110" t="str">
        <f>"City of " &amp; CITY &amp; " / " &amp; COUNTY &amp; " County "</f>
        <v xml:space="preserve">City of Salem / Utah County </v>
      </c>
      <c r="CU2" s="110"/>
    </row>
    <row r="3" spans="4:109" ht="15.75" x14ac:dyDescent="0.25">
      <c r="D3" s="109" t="str">
        <f>ANALYSIS</f>
        <v>Development Projections at 3.000 Mills for Debt Service</v>
      </c>
      <c r="E3" s="109"/>
      <c r="Q3" s="109"/>
      <c r="R3" s="109"/>
      <c r="AD3" s="109" t="str">
        <f>ANALYSIS</f>
        <v>Development Projections at 3.000 Mills for Debt Service</v>
      </c>
      <c r="AE3" s="109"/>
      <c r="BG3" s="109" t="str">
        <f>ANALYSIS</f>
        <v>Development Projections at 3.000 Mills for Debt Service</v>
      </c>
      <c r="BH3" s="109"/>
      <c r="BT3" s="109" t="str">
        <f>ANALYSIS</f>
        <v>Development Projections at 3.000 Mills for Debt Service</v>
      </c>
      <c r="BU3" s="109"/>
      <c r="CG3" s="109"/>
      <c r="CH3" s="109"/>
      <c r="CT3" s="109" t="str">
        <f>ANALYSIS</f>
        <v>Development Projections at 3.000 Mills for Debt Service</v>
      </c>
      <c r="CU3" s="109"/>
    </row>
    <row r="4" spans="4:109" x14ac:dyDescent="0.25">
      <c r="D4" s="99" t="str">
        <f ca="1">SENIOR_BONDS_SERIES &amp; " - " &amp;TEXT('Sources and Uses - First'!$B$12/1000000,"$0.00") &amp; "MM " &amp; "(" &amp; TEXT(DSC_SENIOR_LIEN_BONDS,"0.00x") &amp; ")" &amp; " and " &amp; SUB_BONDS_SERIES &amp; " - " &amp;TEXT('Sources and Uses - First'!$D$12/1000000,"$0.00") &amp; "MM " &amp; "(" &amp; TEXT(DSC_SUB_LIEN_BONDS,"0.00x") &amp; ")"</f>
        <v>Series 2024A - $5.69MM (1.30x) and Series 2024B - $1.00MM (1.00x)</v>
      </c>
      <c r="E4" s="99"/>
      <c r="Q4" s="99"/>
      <c r="R4" s="99"/>
      <c r="AD4" s="99" t="str">
        <f>SENIOR_BONDS_SERIES &amp; " - " &amp;TEXT('[2]Sources and Uses - First'!$B$11/1000000,"$0.00") &amp; "MM " &amp; "(" &amp; TEXT(DSC_SENIOR_LIEN_BONDS,"0.00x") &amp; ")" &amp; " and " &amp; SUB_BONDS_SERIES &amp; " - " &amp;TEXT('[2]Sources and Uses - First'!$D$11/1000000,"$0.00") &amp; "MM " &amp; "(" &amp; TEXT(DSC_SUB_LIEN_BONDS,"0.00x") &amp; ")"</f>
        <v>Series 2024A - $25.70MM (1.30x) and Series 2024B - $0.00MM (1.00x)</v>
      </c>
      <c r="AE4" s="99"/>
      <c r="BG4" s="99" t="str">
        <f>SENIOR_BONDS_SERIES &amp; " - " &amp;TEXT('[2]Sources and Uses - First'!$B$11/1000000,"$0.00") &amp; "MM " &amp; "(" &amp; TEXT(DSC_SENIOR_LIEN_BONDS,"0.00x") &amp; ")" &amp; " and " &amp; SUB_BONDS_SERIES &amp; " - " &amp;TEXT('[2]Sources and Uses - First'!$D$11/1000000,"$0.00") &amp; "MM " &amp; "(" &amp; TEXT(DSC_SUB_LIEN_BONDS,"0.00x") &amp; ")"</f>
        <v>Series 2024A - $25.70MM (1.30x) and Series 2024B - $0.00MM (1.00x)</v>
      </c>
      <c r="BH4" s="99"/>
      <c r="BT4" s="99" t="str">
        <f>SENIOR_BONDS_SERIES &amp; " - " &amp;TEXT('[2]Sources and Uses - First'!$B$11/1000000,"$0.00") &amp; "MM " &amp; "(" &amp; TEXT(DSC_SENIOR_LIEN_BONDS,"0.00x") &amp; ")" &amp; " and " &amp; SUB_BONDS_SERIES &amp; " - " &amp;TEXT('[2]Sources and Uses - First'!$D$11/1000000,"$0.00") &amp; "MM " &amp; "(" &amp; TEXT(DSC_SUB_LIEN_BONDS,"0.00x") &amp; ")"</f>
        <v>Series 2024A - $25.70MM (1.30x) and Series 2024B - $0.00MM (1.00x)</v>
      </c>
      <c r="BU4" s="99"/>
      <c r="CG4" s="99"/>
      <c r="CH4" s="99"/>
      <c r="CT4" s="99" t="str">
        <f>SENIOR_BONDS_SERIES &amp; " - " &amp;TEXT('[2]Sources and Uses - First'!$B$11/1000000,"$0.00") &amp; "MM " &amp; "(" &amp; TEXT(DSC_SENIOR_LIEN_BONDS,"0.00x") &amp; ")" &amp; " and " &amp; SUB_BONDS_SERIES &amp; " - " &amp;TEXT('[2]Sources and Uses - First'!$D$11/1000000,"$0.00") &amp; "MM " &amp; "(" &amp; TEXT(DSC_SUB_LIEN_BONDS,"0.00x") &amp; ")"</f>
        <v>Series 2024A - $25.70MM (1.30x) and Series 2024B - $0.00MM (1.00x)</v>
      </c>
      <c r="CU4" s="99"/>
      <c r="CX4" t="s">
        <v>315</v>
      </c>
      <c r="CY4">
        <v>12</v>
      </c>
    </row>
    <row r="5" spans="4:109" x14ac:dyDescent="0.25">
      <c r="D5" s="99"/>
      <c r="E5" s="99"/>
      <c r="Q5" s="99"/>
      <c r="R5" s="99"/>
      <c r="AD5" s="99"/>
      <c r="AE5" s="99"/>
      <c r="BW5" s="131"/>
    </row>
    <row r="6" spans="4:109" x14ac:dyDescent="0.25">
      <c r="D6" s="101"/>
      <c r="Q6" s="101"/>
      <c r="BG6" s="171" t="s">
        <v>212</v>
      </c>
      <c r="BH6" s="171"/>
      <c r="BI6" s="101"/>
      <c r="BJ6" s="101"/>
      <c r="BK6" s="101"/>
      <c r="BL6" s="101"/>
      <c r="BM6" s="101"/>
      <c r="BN6" s="101"/>
      <c r="BO6" s="101"/>
      <c r="BP6" s="101"/>
      <c r="BQ6" s="101"/>
      <c r="BR6" s="101"/>
      <c r="BT6" s="101" t="s">
        <v>376</v>
      </c>
      <c r="BU6" s="101"/>
      <c r="CG6" s="101" t="s">
        <v>212</v>
      </c>
      <c r="CH6" s="101"/>
      <c r="CT6" s="101" t="s">
        <v>313</v>
      </c>
      <c r="CU6" s="101"/>
    </row>
    <row r="7" spans="4:109" x14ac:dyDescent="0.25">
      <c r="BR7" s="27"/>
      <c r="BV7" s="203"/>
    </row>
    <row r="8" spans="4:109" x14ac:dyDescent="0.25">
      <c r="D8" s="163" t="s">
        <v>388</v>
      </c>
      <c r="E8" s="163"/>
      <c r="F8" s="106"/>
      <c r="G8" s="106"/>
      <c r="H8" s="106"/>
      <c r="I8" s="106"/>
      <c r="J8" s="106"/>
      <c r="K8" s="106"/>
      <c r="L8" s="106"/>
      <c r="M8" s="106"/>
      <c r="N8" s="106"/>
      <c r="O8" s="106"/>
      <c r="Q8" s="163" t="s">
        <v>387</v>
      </c>
      <c r="R8" s="163"/>
      <c r="S8" s="106"/>
      <c r="T8" s="106"/>
      <c r="U8" s="106"/>
      <c r="V8" s="106"/>
      <c r="W8" s="106"/>
      <c r="X8" s="106"/>
      <c r="Y8" s="106"/>
      <c r="Z8" s="106"/>
      <c r="AA8" s="106"/>
      <c r="AB8" s="106"/>
      <c r="AD8" s="163" t="s">
        <v>316</v>
      </c>
      <c r="AE8" s="163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R8" s="163" t="s">
        <v>360</v>
      </c>
      <c r="AS8" s="163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/>
      <c r="BG8" s="164"/>
      <c r="BH8" s="164"/>
      <c r="BI8" s="113"/>
      <c r="BJ8" s="113"/>
      <c r="BK8" s="113"/>
      <c r="BL8" s="113"/>
      <c r="BM8" s="113"/>
      <c r="BN8" s="113"/>
      <c r="BO8" s="113"/>
      <c r="BP8" s="113"/>
      <c r="BQ8" s="113"/>
      <c r="BR8" s="113"/>
      <c r="BT8" s="164"/>
      <c r="BU8" s="164"/>
      <c r="BV8" s="113"/>
      <c r="BW8" s="113"/>
      <c r="BX8" s="113"/>
      <c r="BY8" s="113"/>
      <c r="BZ8" s="113"/>
      <c r="CA8" s="113"/>
      <c r="CB8" s="113"/>
      <c r="CC8" s="113"/>
      <c r="CD8" s="113"/>
      <c r="CE8" s="113"/>
      <c r="CG8" s="164" t="s">
        <v>377</v>
      </c>
      <c r="CH8" s="164"/>
      <c r="CI8" s="113"/>
      <c r="CJ8" s="113"/>
      <c r="CK8" s="113"/>
      <c r="CL8" s="113"/>
      <c r="CM8" s="113"/>
      <c r="CN8" s="113"/>
      <c r="CO8" s="113"/>
      <c r="CP8" s="113"/>
      <c r="CQ8" s="113"/>
      <c r="CR8" s="113"/>
      <c r="CT8" s="164" t="s">
        <v>316</v>
      </c>
      <c r="CU8" s="164"/>
      <c r="CV8" s="113"/>
      <c r="CW8" s="113"/>
      <c r="CX8" s="113"/>
      <c r="CY8" s="113"/>
      <c r="CZ8" s="113"/>
      <c r="DA8" s="113"/>
      <c r="DB8" s="113"/>
      <c r="DC8" s="113"/>
      <c r="DD8" s="113"/>
      <c r="DE8" s="113"/>
    </row>
    <row r="9" spans="4:109" x14ac:dyDescent="0.25">
      <c r="D9" s="101"/>
      <c r="E9" s="101"/>
      <c r="Q9" s="101"/>
      <c r="R9" s="101"/>
      <c r="AD9" s="101"/>
      <c r="AE9" s="101"/>
      <c r="AR9" s="101"/>
      <c r="AS9" s="101"/>
      <c r="AT9"/>
      <c r="AU9"/>
      <c r="AV9"/>
      <c r="AW9"/>
      <c r="AX9"/>
      <c r="AY9"/>
      <c r="AZ9"/>
      <c r="BA9"/>
      <c r="BB9"/>
      <c r="BC9"/>
      <c r="BD9"/>
      <c r="BE9"/>
      <c r="BR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</row>
    <row r="10" spans="4:109" x14ac:dyDescent="0.25">
      <c r="D10" s="199" t="s">
        <v>378</v>
      </c>
      <c r="E10" s="199"/>
      <c r="F10" s="200"/>
      <c r="G10" s="200"/>
      <c r="H10" s="200"/>
      <c r="I10" s="200"/>
      <c r="J10" s="200"/>
      <c r="K10" s="200"/>
      <c r="L10" s="200"/>
      <c r="M10" s="200"/>
      <c r="N10" s="200"/>
      <c r="O10" s="201">
        <f>SUM(F10:N10)</f>
        <v>0</v>
      </c>
      <c r="Q10" s="199" t="s">
        <v>378</v>
      </c>
      <c r="R10" s="199"/>
      <c r="S10" s="234">
        <f>F10</f>
        <v>0</v>
      </c>
      <c r="T10" s="234">
        <f t="shared" ref="T10:AA12" si="0">G10</f>
        <v>0</v>
      </c>
      <c r="U10" s="234">
        <f t="shared" si="0"/>
        <v>0</v>
      </c>
      <c r="V10" s="234">
        <f t="shared" si="0"/>
        <v>0</v>
      </c>
      <c r="W10" s="234">
        <f t="shared" si="0"/>
        <v>0</v>
      </c>
      <c r="X10" s="234">
        <f t="shared" si="0"/>
        <v>0</v>
      </c>
      <c r="Y10" s="234">
        <f t="shared" si="0"/>
        <v>0</v>
      </c>
      <c r="Z10" s="234">
        <f t="shared" si="0"/>
        <v>0</v>
      </c>
      <c r="AA10" s="234">
        <f t="shared" si="0"/>
        <v>0</v>
      </c>
      <c r="AB10" s="201">
        <f>SUM(S10:AA10)</f>
        <v>0</v>
      </c>
      <c r="AD10" s="199" t="s">
        <v>309</v>
      </c>
      <c r="AE10" s="199"/>
      <c r="AF10" s="234">
        <f t="shared" ref="AF10:AN10" si="1">F10</f>
        <v>0</v>
      </c>
      <c r="AG10" s="234">
        <f t="shared" si="1"/>
        <v>0</v>
      </c>
      <c r="AH10" s="234">
        <f t="shared" si="1"/>
        <v>0</v>
      </c>
      <c r="AI10" s="234">
        <f t="shared" si="1"/>
        <v>0</v>
      </c>
      <c r="AJ10" s="234">
        <f t="shared" si="1"/>
        <v>0</v>
      </c>
      <c r="AK10" s="234">
        <f t="shared" si="1"/>
        <v>0</v>
      </c>
      <c r="AL10" s="234">
        <f t="shared" si="1"/>
        <v>0</v>
      </c>
      <c r="AM10" s="234">
        <f t="shared" si="1"/>
        <v>0</v>
      </c>
      <c r="AN10" s="234">
        <f t="shared" si="1"/>
        <v>0</v>
      </c>
      <c r="AO10" s="200"/>
      <c r="AP10" s="201">
        <f>SUM(AF10:AN10)</f>
        <v>0</v>
      </c>
      <c r="AR10" s="199" t="s">
        <v>309</v>
      </c>
      <c r="AS10" s="199"/>
      <c r="AT10" s="234">
        <f>S10</f>
        <v>0</v>
      </c>
      <c r="AU10" s="234">
        <f t="shared" ref="AU10:BB10" si="2">T10</f>
        <v>0</v>
      </c>
      <c r="AV10" s="234">
        <f t="shared" si="2"/>
        <v>0</v>
      </c>
      <c r="AW10" s="234">
        <f t="shared" si="2"/>
        <v>0</v>
      </c>
      <c r="AX10" s="234">
        <f t="shared" si="2"/>
        <v>0</v>
      </c>
      <c r="AY10" s="234">
        <f t="shared" si="2"/>
        <v>0</v>
      </c>
      <c r="AZ10" s="234">
        <f t="shared" si="2"/>
        <v>0</v>
      </c>
      <c r="BA10" s="234">
        <f t="shared" si="2"/>
        <v>0</v>
      </c>
      <c r="BB10" s="234">
        <f t="shared" si="2"/>
        <v>0</v>
      </c>
      <c r="BC10" s="200"/>
      <c r="BD10" s="201">
        <f>SUM(AT10:BB10)</f>
        <v>0</v>
      </c>
      <c r="BE10" s="201"/>
      <c r="BG10" s="167" t="s">
        <v>378</v>
      </c>
      <c r="BH10" s="167"/>
      <c r="BI10" s="293">
        <f>F10</f>
        <v>0</v>
      </c>
      <c r="BJ10" s="293">
        <f t="shared" ref="BJ10:BQ10" si="3">G10</f>
        <v>0</v>
      </c>
      <c r="BK10" s="293">
        <f t="shared" si="3"/>
        <v>0</v>
      </c>
      <c r="BL10" s="293">
        <f t="shared" si="3"/>
        <v>0</v>
      </c>
      <c r="BM10" s="293">
        <f t="shared" si="3"/>
        <v>0</v>
      </c>
      <c r="BN10" s="293">
        <f t="shared" si="3"/>
        <v>0</v>
      </c>
      <c r="BO10" s="293">
        <f t="shared" si="3"/>
        <v>0</v>
      </c>
      <c r="BP10" s="293">
        <f t="shared" si="3"/>
        <v>0</v>
      </c>
      <c r="BQ10" s="293">
        <f t="shared" si="3"/>
        <v>0</v>
      </c>
      <c r="BR10" s="257"/>
      <c r="BT10" s="167" t="s">
        <v>310</v>
      </c>
      <c r="BU10" s="167"/>
      <c r="BV10" s="235">
        <f t="shared" ref="BV10:CD10" si="4">INFLATION_RATE</f>
        <v>0.03</v>
      </c>
      <c r="BW10" s="235">
        <f t="shared" si="4"/>
        <v>0.03</v>
      </c>
      <c r="BX10" s="235">
        <f t="shared" si="4"/>
        <v>0.03</v>
      </c>
      <c r="BY10" s="235">
        <f t="shared" si="4"/>
        <v>0.03</v>
      </c>
      <c r="BZ10" s="235">
        <f t="shared" si="4"/>
        <v>0.03</v>
      </c>
      <c r="CA10" s="235">
        <f t="shared" si="4"/>
        <v>0.03</v>
      </c>
      <c r="CB10" s="235">
        <f t="shared" si="4"/>
        <v>0.03</v>
      </c>
      <c r="CC10" s="235">
        <f t="shared" si="4"/>
        <v>0.03</v>
      </c>
      <c r="CD10" s="235">
        <f t="shared" si="4"/>
        <v>0.03</v>
      </c>
      <c r="CE10" s="168"/>
      <c r="CG10" s="167" t="s">
        <v>310</v>
      </c>
      <c r="CH10" s="167"/>
      <c r="CI10" s="235">
        <f t="shared" ref="CI10:CQ10" si="5">INFLATION_RATE</f>
        <v>0.03</v>
      </c>
      <c r="CJ10" s="235">
        <f t="shared" si="5"/>
        <v>0.03</v>
      </c>
      <c r="CK10" s="235">
        <f t="shared" si="5"/>
        <v>0.03</v>
      </c>
      <c r="CL10" s="235">
        <f t="shared" si="5"/>
        <v>0.03</v>
      </c>
      <c r="CM10" s="235">
        <f t="shared" si="5"/>
        <v>0.03</v>
      </c>
      <c r="CN10" s="235">
        <f t="shared" si="5"/>
        <v>0.03</v>
      </c>
      <c r="CO10" s="235">
        <f t="shared" si="5"/>
        <v>0.03</v>
      </c>
      <c r="CP10" s="235">
        <f t="shared" si="5"/>
        <v>0.03</v>
      </c>
      <c r="CQ10" s="235">
        <f t="shared" si="5"/>
        <v>0.03</v>
      </c>
      <c r="CR10" s="168"/>
      <c r="CT10" s="167" t="s">
        <v>310</v>
      </c>
      <c r="CU10" s="167"/>
      <c r="CV10" s="235">
        <f t="shared" ref="CV10:DD10" si="6">INFLATION_RATE</f>
        <v>0.03</v>
      </c>
      <c r="CW10" s="235">
        <f t="shared" si="6"/>
        <v>0.03</v>
      </c>
      <c r="CX10" s="235">
        <f t="shared" si="6"/>
        <v>0.03</v>
      </c>
      <c r="CY10" s="235">
        <f t="shared" si="6"/>
        <v>0.03</v>
      </c>
      <c r="CZ10" s="235">
        <f t="shared" si="6"/>
        <v>0.03</v>
      </c>
      <c r="DA10" s="235">
        <f t="shared" si="6"/>
        <v>0.03</v>
      </c>
      <c r="DB10" s="235">
        <f t="shared" si="6"/>
        <v>0.03</v>
      </c>
      <c r="DC10" s="235">
        <f t="shared" si="6"/>
        <v>0.03</v>
      </c>
      <c r="DD10" s="235">
        <f t="shared" si="6"/>
        <v>0.03</v>
      </c>
      <c r="DE10" s="168"/>
    </row>
    <row r="11" spans="4:109" x14ac:dyDescent="0.25">
      <c r="D11" s="162" t="s">
        <v>338</v>
      </c>
      <c r="E11" s="162"/>
      <c r="F11" s="188">
        <f>BI$11</f>
        <v>0</v>
      </c>
      <c r="G11" s="188">
        <f t="shared" ref="G11:N11" si="7">BJ$11</f>
        <v>0</v>
      </c>
      <c r="H11" s="188">
        <f t="shared" si="7"/>
        <v>0</v>
      </c>
      <c r="I11" s="188">
        <f t="shared" si="7"/>
        <v>0</v>
      </c>
      <c r="J11" s="188">
        <f t="shared" si="7"/>
        <v>0</v>
      </c>
      <c r="K11" s="188">
        <f t="shared" si="7"/>
        <v>0</v>
      </c>
      <c r="L11" s="188">
        <f t="shared" si="7"/>
        <v>0</v>
      </c>
      <c r="M11" s="188">
        <f t="shared" si="7"/>
        <v>0</v>
      </c>
      <c r="N11" s="188">
        <f t="shared" si="7"/>
        <v>0</v>
      </c>
      <c r="O11" s="162"/>
      <c r="Q11" s="162" t="s">
        <v>321</v>
      </c>
      <c r="R11" s="162"/>
      <c r="S11" s="188">
        <f>F11</f>
        <v>0</v>
      </c>
      <c r="T11" s="188">
        <f>G11</f>
        <v>0</v>
      </c>
      <c r="U11" s="188">
        <f t="shared" si="0"/>
        <v>0</v>
      </c>
      <c r="V11" s="188">
        <f t="shared" si="0"/>
        <v>0</v>
      </c>
      <c r="W11" s="188">
        <f t="shared" si="0"/>
        <v>0</v>
      </c>
      <c r="X11" s="188">
        <f t="shared" si="0"/>
        <v>0</v>
      </c>
      <c r="Y11" s="188">
        <f t="shared" si="0"/>
        <v>0</v>
      </c>
      <c r="Z11" s="188">
        <f t="shared" si="0"/>
        <v>0</v>
      </c>
      <c r="AA11" s="188">
        <f t="shared" si="0"/>
        <v>0</v>
      </c>
      <c r="AB11" s="162"/>
      <c r="AD11" s="162" t="s">
        <v>98</v>
      </c>
      <c r="AE11" s="162"/>
      <c r="AF11" s="188">
        <f>S11</f>
        <v>0</v>
      </c>
      <c r="AG11" s="188">
        <f t="shared" ref="AG11:AN11" si="8">T11</f>
        <v>0</v>
      </c>
      <c r="AH11" s="188">
        <f t="shared" si="8"/>
        <v>0</v>
      </c>
      <c r="AI11" s="188">
        <f t="shared" si="8"/>
        <v>0</v>
      </c>
      <c r="AJ11" s="188">
        <f t="shared" si="8"/>
        <v>0</v>
      </c>
      <c r="AK11" s="188">
        <f t="shared" si="8"/>
        <v>0</v>
      </c>
      <c r="AL11" s="188">
        <f t="shared" si="8"/>
        <v>0</v>
      </c>
      <c r="AM11" s="188">
        <f t="shared" si="8"/>
        <v>0</v>
      </c>
      <c r="AN11" s="188">
        <f t="shared" si="8"/>
        <v>0</v>
      </c>
      <c r="AO11" s="165"/>
      <c r="AP11" s="162"/>
      <c r="AR11" s="162" t="s">
        <v>98</v>
      </c>
      <c r="AS11" s="162"/>
      <c r="AT11" s="188">
        <f>AF11</f>
        <v>0</v>
      </c>
      <c r="AU11" s="188">
        <f t="shared" ref="AU11:BB11" si="9">AG11</f>
        <v>0</v>
      </c>
      <c r="AV11" s="188">
        <f t="shared" si="9"/>
        <v>0</v>
      </c>
      <c r="AW11" s="188">
        <f t="shared" si="9"/>
        <v>0</v>
      </c>
      <c r="AX11" s="188">
        <f t="shared" si="9"/>
        <v>0</v>
      </c>
      <c r="AY11" s="188">
        <f t="shared" si="9"/>
        <v>0</v>
      </c>
      <c r="AZ11" s="188">
        <f t="shared" si="9"/>
        <v>0</v>
      </c>
      <c r="BA11" s="188">
        <f t="shared" si="9"/>
        <v>0</v>
      </c>
      <c r="BB11" s="188">
        <f t="shared" si="9"/>
        <v>0</v>
      </c>
      <c r="BC11" s="165"/>
      <c r="BD11" s="162"/>
      <c r="BE11" s="162"/>
      <c r="BG11" s="162" t="s">
        <v>311</v>
      </c>
      <c r="BH11" s="162"/>
      <c r="BI11" s="310"/>
      <c r="BJ11" s="310"/>
      <c r="BK11" s="310"/>
      <c r="BL11" s="310"/>
      <c r="BM11" s="310"/>
      <c r="BN11" s="310"/>
      <c r="BO11" s="310"/>
      <c r="BP11" s="310"/>
      <c r="BQ11" s="310"/>
      <c r="BR11" s="258"/>
      <c r="BT11" s="162" t="s">
        <v>311</v>
      </c>
      <c r="BU11" s="162"/>
      <c r="BV11" s="188">
        <f t="shared" ref="BV11:CD12" si="10">BI11</f>
        <v>0</v>
      </c>
      <c r="BW11" s="188">
        <f t="shared" si="10"/>
        <v>0</v>
      </c>
      <c r="BX11" s="188">
        <f t="shared" si="10"/>
        <v>0</v>
      </c>
      <c r="BY11" s="188">
        <f t="shared" si="10"/>
        <v>0</v>
      </c>
      <c r="BZ11" s="188">
        <f t="shared" si="10"/>
        <v>0</v>
      </c>
      <c r="CA11" s="188">
        <f t="shared" si="10"/>
        <v>0</v>
      </c>
      <c r="CB11" s="188">
        <f t="shared" si="10"/>
        <v>0</v>
      </c>
      <c r="CC11" s="188">
        <f t="shared" si="10"/>
        <v>0</v>
      </c>
      <c r="CD11" s="188">
        <f t="shared" si="10"/>
        <v>0</v>
      </c>
      <c r="CE11" s="166"/>
      <c r="CG11" s="162" t="s">
        <v>311</v>
      </c>
      <c r="CH11" s="162"/>
      <c r="CI11" s="188">
        <f t="shared" ref="CI11:CQ11" si="11">BV11</f>
        <v>0</v>
      </c>
      <c r="CJ11" s="188">
        <f t="shared" si="11"/>
        <v>0</v>
      </c>
      <c r="CK11" s="188">
        <f t="shared" si="11"/>
        <v>0</v>
      </c>
      <c r="CL11" s="188">
        <f t="shared" si="11"/>
        <v>0</v>
      </c>
      <c r="CM11" s="188">
        <f t="shared" si="11"/>
        <v>0</v>
      </c>
      <c r="CN11" s="188">
        <f t="shared" si="11"/>
        <v>0</v>
      </c>
      <c r="CO11" s="188">
        <f t="shared" si="11"/>
        <v>0</v>
      </c>
      <c r="CP11" s="188">
        <f t="shared" si="11"/>
        <v>0</v>
      </c>
      <c r="CQ11" s="188">
        <f t="shared" si="11"/>
        <v>0</v>
      </c>
      <c r="CR11" s="166"/>
      <c r="CT11" s="162" t="s">
        <v>311</v>
      </c>
      <c r="CU11" s="162"/>
      <c r="CV11" s="188">
        <f t="shared" ref="CV11:DD11" si="12">CI11</f>
        <v>0</v>
      </c>
      <c r="CW11" s="188">
        <f t="shared" si="12"/>
        <v>0</v>
      </c>
      <c r="CX11" s="188">
        <f t="shared" si="12"/>
        <v>0</v>
      </c>
      <c r="CY11" s="188">
        <f t="shared" si="12"/>
        <v>0</v>
      </c>
      <c r="CZ11" s="188">
        <f t="shared" si="12"/>
        <v>0</v>
      </c>
      <c r="DA11" s="188">
        <f t="shared" si="12"/>
        <v>0</v>
      </c>
      <c r="DB11" s="188">
        <f t="shared" si="12"/>
        <v>0</v>
      </c>
      <c r="DC11" s="188">
        <f t="shared" si="12"/>
        <v>0</v>
      </c>
      <c r="DD11" s="188">
        <f t="shared" si="12"/>
        <v>0</v>
      </c>
      <c r="DE11" s="166"/>
    </row>
    <row r="12" spans="4:109" s="17" customFormat="1" ht="44.25" customHeight="1" x14ac:dyDescent="0.25">
      <c r="D12" s="5" t="s">
        <v>208</v>
      </c>
      <c r="E12" s="5" t="s">
        <v>314</v>
      </c>
      <c r="F12" s="5" t="s">
        <v>379</v>
      </c>
      <c r="G12" s="5" t="s">
        <v>379</v>
      </c>
      <c r="H12" s="5" t="s">
        <v>379</v>
      </c>
      <c r="I12" s="5" t="s">
        <v>380</v>
      </c>
      <c r="J12" s="5" t="s">
        <v>380</v>
      </c>
      <c r="K12" s="5" t="s">
        <v>380</v>
      </c>
      <c r="L12" s="5" t="s">
        <v>381</v>
      </c>
      <c r="M12" s="5" t="s">
        <v>382</v>
      </c>
      <c r="N12" s="5" t="s">
        <v>383</v>
      </c>
      <c r="O12" s="5" t="s">
        <v>206</v>
      </c>
      <c r="P12" s="287"/>
      <c r="Q12" s="5" t="s">
        <v>208</v>
      </c>
      <c r="R12" s="5" t="s">
        <v>314</v>
      </c>
      <c r="S12" s="5" t="str">
        <f>F12</f>
        <v>Flex Office / Industrial</v>
      </c>
      <c r="T12" s="5" t="str">
        <f t="shared" ref="T12" si="13">G12</f>
        <v>Flex Office / Industrial</v>
      </c>
      <c r="U12" s="5" t="str">
        <f t="shared" si="0"/>
        <v>Flex Office / Industrial</v>
      </c>
      <c r="V12" s="5" t="str">
        <f t="shared" si="0"/>
        <v>Retail</v>
      </c>
      <c r="W12" s="5" t="str">
        <f t="shared" si="0"/>
        <v>Retail</v>
      </c>
      <c r="X12" s="5" t="str">
        <f t="shared" si="0"/>
        <v>Retail</v>
      </c>
      <c r="Y12" s="5" t="str">
        <f t="shared" si="0"/>
        <v>Office</v>
      </c>
      <c r="Z12" s="5" t="str">
        <f t="shared" si="0"/>
        <v>Hotel</v>
      </c>
      <c r="AA12" s="5" t="str">
        <f t="shared" si="0"/>
        <v>Industrial/Office/Comm</v>
      </c>
      <c r="AB12" s="5" t="s">
        <v>206</v>
      </c>
      <c r="AC12" s="287"/>
      <c r="AD12" s="5" t="s">
        <v>208</v>
      </c>
      <c r="AE12" s="5" t="s">
        <v>314</v>
      </c>
      <c r="AF12" s="5" t="str">
        <f>F12</f>
        <v>Flex Office / Industrial</v>
      </c>
      <c r="AG12" s="5" t="str">
        <f>G12</f>
        <v>Flex Office / Industrial</v>
      </c>
      <c r="AH12" s="5" t="str">
        <f>H12</f>
        <v>Flex Office / Industrial</v>
      </c>
      <c r="AI12" s="5" t="str">
        <f t="shared" ref="AI12:AN12" si="14">I12</f>
        <v>Retail</v>
      </c>
      <c r="AJ12" s="5" t="str">
        <f t="shared" si="14"/>
        <v>Retail</v>
      </c>
      <c r="AK12" s="5" t="str">
        <f t="shared" si="14"/>
        <v>Retail</v>
      </c>
      <c r="AL12" s="5" t="str">
        <f t="shared" si="14"/>
        <v>Office</v>
      </c>
      <c r="AM12" s="5" t="str">
        <f t="shared" si="14"/>
        <v>Hotel</v>
      </c>
      <c r="AN12" s="5" t="str">
        <f t="shared" si="14"/>
        <v>Industrial/Office/Comm</v>
      </c>
      <c r="AO12" s="5" t="s">
        <v>359</v>
      </c>
      <c r="AP12" s="5" t="s">
        <v>206</v>
      </c>
      <c r="AQ12" s="287"/>
      <c r="AR12" s="5" t="s">
        <v>208</v>
      </c>
      <c r="AS12" s="5" t="s">
        <v>314</v>
      </c>
      <c r="AT12" s="5" t="str">
        <f>T12</f>
        <v>Flex Office / Industrial</v>
      </c>
      <c r="AU12" s="5" t="str">
        <f>U12</f>
        <v>Flex Office / Industrial</v>
      </c>
      <c r="AV12" s="5" t="str">
        <f t="shared" ref="AV12:BB12" si="15">V12</f>
        <v>Retail</v>
      </c>
      <c r="AW12" s="5" t="str">
        <f t="shared" si="15"/>
        <v>Retail</v>
      </c>
      <c r="AX12" s="5" t="str">
        <f t="shared" si="15"/>
        <v>Retail</v>
      </c>
      <c r="AY12" s="5" t="str">
        <f t="shared" si="15"/>
        <v>Office</v>
      </c>
      <c r="AZ12" s="5" t="str">
        <f t="shared" si="15"/>
        <v>Hotel</v>
      </c>
      <c r="BA12" s="5" t="str">
        <f t="shared" si="15"/>
        <v>Industrial/Office/Comm</v>
      </c>
      <c r="BB12" s="5" t="str">
        <f t="shared" si="15"/>
        <v>Totals</v>
      </c>
      <c r="BC12" s="5" t="s">
        <v>359</v>
      </c>
      <c r="BD12" s="5" t="s">
        <v>206</v>
      </c>
      <c r="BE12" s="5" t="s">
        <v>361</v>
      </c>
      <c r="BF12" s="287"/>
      <c r="BG12" s="5" t="s">
        <v>208</v>
      </c>
      <c r="BH12" s="5" t="s">
        <v>314</v>
      </c>
      <c r="BI12" s="5" t="str">
        <f>F12</f>
        <v>Flex Office / Industrial</v>
      </c>
      <c r="BJ12" s="5" t="str">
        <f>G12</f>
        <v>Flex Office / Industrial</v>
      </c>
      <c r="BK12" s="5" t="str">
        <f>H12</f>
        <v>Flex Office / Industrial</v>
      </c>
      <c r="BL12" s="5" t="str">
        <f t="shared" ref="BL12:BQ12" si="16">I12</f>
        <v>Retail</v>
      </c>
      <c r="BM12" s="5" t="str">
        <f t="shared" si="16"/>
        <v>Retail</v>
      </c>
      <c r="BN12" s="5" t="str">
        <f t="shared" si="16"/>
        <v>Retail</v>
      </c>
      <c r="BO12" s="5" t="str">
        <f t="shared" si="16"/>
        <v>Office</v>
      </c>
      <c r="BP12" s="5" t="str">
        <f t="shared" si="16"/>
        <v>Hotel</v>
      </c>
      <c r="BQ12" s="5" t="str">
        <f t="shared" si="16"/>
        <v>Industrial/Office/Comm</v>
      </c>
      <c r="BR12" s="5" t="s">
        <v>206</v>
      </c>
      <c r="BT12" s="5" t="s">
        <v>208</v>
      </c>
      <c r="BU12" s="5" t="s">
        <v>314</v>
      </c>
      <c r="BV12" s="5" t="str">
        <f>BI12</f>
        <v>Flex Office / Industrial</v>
      </c>
      <c r="BW12" s="5" t="str">
        <f t="shared" si="10"/>
        <v>Flex Office / Industrial</v>
      </c>
      <c r="BX12" s="5" t="str">
        <f t="shared" si="10"/>
        <v>Flex Office / Industrial</v>
      </c>
      <c r="BY12" s="5" t="str">
        <f t="shared" si="10"/>
        <v>Retail</v>
      </c>
      <c r="BZ12" s="5" t="str">
        <f t="shared" si="10"/>
        <v>Retail</v>
      </c>
      <c r="CA12" s="5" t="str">
        <f t="shared" si="10"/>
        <v>Retail</v>
      </c>
      <c r="CB12" s="5" t="str">
        <f t="shared" si="10"/>
        <v>Office</v>
      </c>
      <c r="CC12" s="5" t="str">
        <f t="shared" si="10"/>
        <v>Hotel</v>
      </c>
      <c r="CD12" s="5" t="str">
        <f t="shared" si="10"/>
        <v>Industrial/Office/Comm</v>
      </c>
      <c r="CE12" s="5" t="s">
        <v>206</v>
      </c>
      <c r="CG12" s="5" t="s">
        <v>208</v>
      </c>
      <c r="CH12" s="5" t="s">
        <v>314</v>
      </c>
      <c r="CI12" s="5" t="str">
        <f>F12</f>
        <v>Flex Office / Industrial</v>
      </c>
      <c r="CJ12" s="5" t="str">
        <f>G12</f>
        <v>Flex Office / Industrial</v>
      </c>
      <c r="CK12" s="5" t="str">
        <f>H12</f>
        <v>Flex Office / Industrial</v>
      </c>
      <c r="CL12" s="5" t="s">
        <v>205</v>
      </c>
      <c r="CM12" s="5" t="s">
        <v>205</v>
      </c>
      <c r="CN12" s="5" t="s">
        <v>205</v>
      </c>
      <c r="CO12" s="5" t="s">
        <v>205</v>
      </c>
      <c r="CP12" s="5" t="str">
        <f>CC12</f>
        <v>Hotel</v>
      </c>
      <c r="CQ12" s="5" t="str">
        <f>CD12</f>
        <v>Industrial/Office/Comm</v>
      </c>
      <c r="CR12" s="5" t="s">
        <v>206</v>
      </c>
      <c r="CT12" s="5" t="s">
        <v>208</v>
      </c>
      <c r="CU12" s="5" t="s">
        <v>314</v>
      </c>
      <c r="CV12" s="5" t="str">
        <f>F12</f>
        <v>Flex Office / Industrial</v>
      </c>
      <c r="CW12" s="5" t="str">
        <f>G12</f>
        <v>Flex Office / Industrial</v>
      </c>
      <c r="CX12" s="5" t="str">
        <f>H12</f>
        <v>Flex Office / Industrial</v>
      </c>
      <c r="CY12" s="5" t="str">
        <f t="shared" ref="CY12:DD12" si="17">I12</f>
        <v>Retail</v>
      </c>
      <c r="CZ12" s="5" t="str">
        <f t="shared" si="17"/>
        <v>Retail</v>
      </c>
      <c r="DA12" s="5" t="str">
        <f t="shared" si="17"/>
        <v>Retail</v>
      </c>
      <c r="DB12" s="5" t="str">
        <f t="shared" si="17"/>
        <v>Office</v>
      </c>
      <c r="DC12" s="5" t="str">
        <f t="shared" si="17"/>
        <v>Hotel</v>
      </c>
      <c r="DD12" s="5" t="str">
        <f t="shared" si="17"/>
        <v>Industrial/Office/Comm</v>
      </c>
      <c r="DE12" s="5" t="s">
        <v>206</v>
      </c>
    </row>
    <row r="13" spans="4:109" s="27" customFormat="1" ht="6.75" customHeight="1" x14ac:dyDescent="0.25"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R13" s="223"/>
      <c r="AS13" s="223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3"/>
      <c r="BE13" s="223"/>
      <c r="BG13" s="223"/>
      <c r="BH13" s="223"/>
      <c r="BI13" s="223"/>
      <c r="BJ13" s="223"/>
      <c r="BK13" s="223"/>
      <c r="BL13" s="223"/>
      <c r="BM13" s="223"/>
      <c r="BN13" s="223"/>
      <c r="BO13" s="223"/>
      <c r="BP13" s="223"/>
      <c r="BQ13" s="223"/>
      <c r="BR13" s="223"/>
      <c r="BT13" s="223"/>
      <c r="BU13" s="223"/>
      <c r="BV13" s="223"/>
      <c r="BW13" s="223"/>
      <c r="BX13" s="223"/>
      <c r="BY13" s="223"/>
      <c r="BZ13" s="223"/>
      <c r="CA13" s="223"/>
      <c r="CB13" s="223"/>
      <c r="CC13" s="223"/>
      <c r="CD13" s="223"/>
      <c r="CE13" s="223"/>
      <c r="CG13" s="223"/>
      <c r="CH13" s="223"/>
      <c r="CI13" s="223"/>
      <c r="CJ13" s="223"/>
      <c r="CK13" s="223"/>
      <c r="CL13" s="223"/>
      <c r="CM13" s="223"/>
      <c r="CN13" s="223"/>
      <c r="CO13" s="223"/>
      <c r="CP13" s="223"/>
      <c r="CQ13" s="223"/>
      <c r="CR13" s="223"/>
      <c r="CT13" s="223"/>
      <c r="CU13" s="223"/>
      <c r="CV13" s="223"/>
      <c r="CW13" s="223"/>
      <c r="CX13" s="223"/>
      <c r="CY13" s="223"/>
      <c r="CZ13" s="223"/>
      <c r="DA13" s="223"/>
      <c r="DB13" s="223"/>
      <c r="DC13" s="223"/>
      <c r="DD13" s="223"/>
      <c r="DE13" s="223"/>
    </row>
    <row r="14" spans="4:109" x14ac:dyDescent="0.25">
      <c r="D14" s="219">
        <v>43070</v>
      </c>
      <c r="E14" s="219"/>
      <c r="F14" s="255"/>
      <c r="G14" s="255"/>
      <c r="H14" s="255"/>
      <c r="I14" s="255"/>
      <c r="J14" s="31"/>
      <c r="K14" s="31"/>
      <c r="L14" s="31"/>
      <c r="M14" s="31"/>
      <c r="N14" s="31"/>
      <c r="O14" s="256">
        <f>SUM(E14:N14)</f>
        <v>0</v>
      </c>
      <c r="Q14" s="271">
        <f>D14</f>
        <v>43070</v>
      </c>
      <c r="R14" s="219"/>
      <c r="S14" s="221">
        <f t="shared" ref="S14:AA29" si="18">F14*S$11</f>
        <v>0</v>
      </c>
      <c r="T14" s="221">
        <f t="shared" si="18"/>
        <v>0</v>
      </c>
      <c r="U14" s="221">
        <f t="shared" si="18"/>
        <v>0</v>
      </c>
      <c r="V14" s="221">
        <f t="shared" si="18"/>
        <v>0</v>
      </c>
      <c r="W14" s="221">
        <f t="shared" si="18"/>
        <v>0</v>
      </c>
      <c r="X14" s="221">
        <f t="shared" si="18"/>
        <v>0</v>
      </c>
      <c r="Y14" s="221">
        <f t="shared" si="18"/>
        <v>0</v>
      </c>
      <c r="Z14" s="221">
        <f t="shared" si="18"/>
        <v>0</v>
      </c>
      <c r="AA14" s="221">
        <f t="shared" si="18"/>
        <v>0</v>
      </c>
      <c r="AB14" s="221">
        <f t="shared" ref="AB14:AB33" si="19">SUM(R14:AA14)</f>
        <v>0</v>
      </c>
      <c r="AD14" s="271">
        <f>D14</f>
        <v>43070</v>
      </c>
      <c r="AE14" s="221">
        <f t="shared" ref="AE14:AN33" ca="1" si="20">OFFSET(R14,-1,0)</f>
        <v>0</v>
      </c>
      <c r="AF14" s="221">
        <f t="shared" ca="1" si="20"/>
        <v>0</v>
      </c>
      <c r="AG14" s="221">
        <f t="shared" ca="1" si="20"/>
        <v>0</v>
      </c>
      <c r="AH14" s="221">
        <f t="shared" ca="1" si="20"/>
        <v>0</v>
      </c>
      <c r="AI14" s="221">
        <f t="shared" ca="1" si="20"/>
        <v>0</v>
      </c>
      <c r="AJ14" s="221">
        <f t="shared" ca="1" si="20"/>
        <v>0</v>
      </c>
      <c r="AK14" s="221">
        <f t="shared" ca="1" si="20"/>
        <v>0</v>
      </c>
      <c r="AL14" s="221">
        <f t="shared" ca="1" si="20"/>
        <v>0</v>
      </c>
      <c r="AM14" s="221">
        <f t="shared" ca="1" si="20"/>
        <v>0</v>
      </c>
      <c r="AN14" s="221">
        <f t="shared" ca="1" si="20"/>
        <v>0</v>
      </c>
      <c r="AO14" s="221"/>
      <c r="AP14" s="221">
        <f ca="1">SUM(AE14:AO14)</f>
        <v>0</v>
      </c>
      <c r="AR14" s="271">
        <f>D14</f>
        <v>43070</v>
      </c>
      <c r="AS14" s="219"/>
      <c r="AT14" s="221">
        <f ca="1">-OFFSET(AF14,-1,0)</f>
        <v>0</v>
      </c>
      <c r="AU14" s="221">
        <f t="shared" ref="AU14:BB29" ca="1" si="21">-OFFSET(AG14,-1,0)</f>
        <v>0</v>
      </c>
      <c r="AV14" s="221">
        <f t="shared" ca="1" si="21"/>
        <v>0</v>
      </c>
      <c r="AW14" s="221">
        <f t="shared" ca="1" si="21"/>
        <v>0</v>
      </c>
      <c r="AX14" s="221">
        <f t="shared" ca="1" si="21"/>
        <v>0</v>
      </c>
      <c r="AY14" s="221">
        <f t="shared" ca="1" si="21"/>
        <v>0</v>
      </c>
      <c r="AZ14" s="221">
        <f t="shared" ca="1" si="21"/>
        <v>0</v>
      </c>
      <c r="BA14" s="221">
        <f t="shared" ca="1" si="21"/>
        <v>0</v>
      </c>
      <c r="BB14" s="221">
        <f t="shared" ca="1" si="21"/>
        <v>0</v>
      </c>
      <c r="BC14" s="221"/>
      <c r="BD14" s="221">
        <f ca="1">SUM(AS14:BC14)</f>
        <v>0</v>
      </c>
      <c r="BE14" s="221">
        <f ca="1">SUM($AE14:$AN14)+SUM($AS14:$BB14)+BE13</f>
        <v>0</v>
      </c>
      <c r="BG14" s="75">
        <f t="shared" ref="BG14:BG32" si="22">D14</f>
        <v>43070</v>
      </c>
      <c r="BH14" s="75"/>
      <c r="BI14" s="236">
        <f>F14</f>
        <v>0</v>
      </c>
      <c r="BJ14" s="236">
        <f t="shared" ref="BJ14:BQ29" si="23">G14</f>
        <v>0</v>
      </c>
      <c r="BK14" s="236">
        <f t="shared" si="23"/>
        <v>0</v>
      </c>
      <c r="BL14" s="236">
        <f t="shared" si="23"/>
        <v>0</v>
      </c>
      <c r="BM14" s="236">
        <f t="shared" si="23"/>
        <v>0</v>
      </c>
      <c r="BN14" s="236">
        <f t="shared" si="23"/>
        <v>0</v>
      </c>
      <c r="BO14" s="236">
        <f t="shared" si="23"/>
        <v>0</v>
      </c>
      <c r="BP14" s="236">
        <f t="shared" si="23"/>
        <v>0</v>
      </c>
      <c r="BQ14" s="236">
        <f t="shared" si="23"/>
        <v>0</v>
      </c>
      <c r="BR14" s="236">
        <f>SUM(BH14:BQ14)</f>
        <v>0</v>
      </c>
      <c r="BT14" s="75">
        <f>BG14</f>
        <v>43070</v>
      </c>
      <c r="BU14" s="75"/>
      <c r="CG14" s="75">
        <f>BT14</f>
        <v>43070</v>
      </c>
      <c r="CH14" s="222"/>
      <c r="CI14" s="221">
        <f t="shared" ref="CI14:CQ29" si="24">BI14*BV14</f>
        <v>0</v>
      </c>
      <c r="CJ14" s="221">
        <f t="shared" si="24"/>
        <v>0</v>
      </c>
      <c r="CK14" s="221">
        <f t="shared" si="24"/>
        <v>0</v>
      </c>
      <c r="CL14" s="221">
        <f t="shared" si="24"/>
        <v>0</v>
      </c>
      <c r="CM14" s="221">
        <f t="shared" si="24"/>
        <v>0</v>
      </c>
      <c r="CN14" s="221">
        <f t="shared" si="24"/>
        <v>0</v>
      </c>
      <c r="CO14" s="221">
        <f t="shared" si="24"/>
        <v>0</v>
      </c>
      <c r="CP14" s="221">
        <f t="shared" si="24"/>
        <v>0</v>
      </c>
      <c r="CQ14" s="221">
        <f t="shared" si="24"/>
        <v>0</v>
      </c>
      <c r="CR14" s="221">
        <f>SUM(CH14:CQ14)</f>
        <v>0</v>
      </c>
      <c r="CT14" s="75">
        <f>CG14</f>
        <v>43070</v>
      </c>
      <c r="CU14" s="222"/>
      <c r="CV14" s="221">
        <f ca="1">OFFSET(CI14,-1,0)</f>
        <v>0</v>
      </c>
      <c r="CW14" s="221">
        <f t="shared" ref="CW14:DD29" ca="1" si="25">OFFSET(CJ14,-1,0)</f>
        <v>0</v>
      </c>
      <c r="CX14" s="221">
        <f t="shared" ca="1" si="25"/>
        <v>0</v>
      </c>
      <c r="CY14" s="221">
        <f t="shared" ca="1" si="25"/>
        <v>0</v>
      </c>
      <c r="CZ14" s="221">
        <f t="shared" ca="1" si="25"/>
        <v>0</v>
      </c>
      <c r="DA14" s="221">
        <f t="shared" ca="1" si="25"/>
        <v>0</v>
      </c>
      <c r="DB14" s="221">
        <f t="shared" ca="1" si="25"/>
        <v>0</v>
      </c>
      <c r="DC14" s="221">
        <f t="shared" ca="1" si="25"/>
        <v>0</v>
      </c>
      <c r="DD14" s="221">
        <f t="shared" ca="1" si="25"/>
        <v>0</v>
      </c>
      <c r="DE14" s="221">
        <f ca="1">SUM(CU14:DD14)</f>
        <v>0</v>
      </c>
    </row>
    <row r="15" spans="4:109" x14ac:dyDescent="0.25">
      <c r="D15" s="75">
        <f>EDATE(D14,12)</f>
        <v>43435</v>
      </c>
      <c r="E15" s="123"/>
      <c r="F15" s="255"/>
      <c r="G15" s="255"/>
      <c r="H15" s="255"/>
      <c r="I15" s="255"/>
      <c r="J15" s="255"/>
      <c r="K15" s="255"/>
      <c r="L15" s="255"/>
      <c r="M15" s="255"/>
      <c r="N15" s="255"/>
      <c r="O15" s="256">
        <f>SUM(E15:N15)</f>
        <v>0</v>
      </c>
      <c r="Q15" s="75">
        <f>EDATE(Q14,12)</f>
        <v>43435</v>
      </c>
      <c r="R15" s="75"/>
      <c r="S15" s="221">
        <f t="shared" si="18"/>
        <v>0</v>
      </c>
      <c r="T15" s="221">
        <f t="shared" si="18"/>
        <v>0</v>
      </c>
      <c r="U15" s="221">
        <f t="shared" si="18"/>
        <v>0</v>
      </c>
      <c r="V15" s="221">
        <f t="shared" si="18"/>
        <v>0</v>
      </c>
      <c r="W15" s="221">
        <f t="shared" si="18"/>
        <v>0</v>
      </c>
      <c r="X15" s="221">
        <f t="shared" si="18"/>
        <v>0</v>
      </c>
      <c r="Y15" s="221">
        <f t="shared" si="18"/>
        <v>0</v>
      </c>
      <c r="Z15" s="221">
        <f t="shared" si="18"/>
        <v>0</v>
      </c>
      <c r="AA15" s="221">
        <f t="shared" si="18"/>
        <v>0</v>
      </c>
      <c r="AB15" s="221">
        <f t="shared" si="19"/>
        <v>0</v>
      </c>
      <c r="AD15" s="75">
        <f>EDATE(AD14,12)</f>
        <v>43435</v>
      </c>
      <c r="AE15" s="221">
        <f t="shared" ca="1" si="20"/>
        <v>0</v>
      </c>
      <c r="AF15" s="221">
        <f t="shared" ca="1" si="20"/>
        <v>0</v>
      </c>
      <c r="AG15" s="221">
        <f t="shared" ca="1" si="20"/>
        <v>0</v>
      </c>
      <c r="AH15" s="221">
        <f t="shared" ca="1" si="20"/>
        <v>0</v>
      </c>
      <c r="AI15" s="221">
        <f t="shared" ca="1" si="20"/>
        <v>0</v>
      </c>
      <c r="AJ15" s="221">
        <f t="shared" ca="1" si="20"/>
        <v>0</v>
      </c>
      <c r="AK15" s="221">
        <f t="shared" ca="1" si="20"/>
        <v>0</v>
      </c>
      <c r="AL15" s="221">
        <f t="shared" ca="1" si="20"/>
        <v>0</v>
      </c>
      <c r="AM15" s="221">
        <f t="shared" ca="1" si="20"/>
        <v>0</v>
      </c>
      <c r="AN15" s="221">
        <f t="shared" ca="1" si="20"/>
        <v>0</v>
      </c>
      <c r="AO15" s="221"/>
      <c r="AP15" s="221">
        <f t="shared" ref="AP15:AP33" ca="1" si="26">SUM(AE15:AO15)</f>
        <v>0</v>
      </c>
      <c r="AR15" s="75">
        <f>EDATE(AR14,12)</f>
        <v>43435</v>
      </c>
      <c r="AS15" s="75"/>
      <c r="AT15" s="221">
        <f t="shared" ref="AT15:BB33" ca="1" si="27">-OFFSET(AF15,-1,0)</f>
        <v>0</v>
      </c>
      <c r="AU15" s="221">
        <f t="shared" ca="1" si="21"/>
        <v>0</v>
      </c>
      <c r="AV15" s="221">
        <f t="shared" ca="1" si="21"/>
        <v>0</v>
      </c>
      <c r="AW15" s="221">
        <f t="shared" ca="1" si="21"/>
        <v>0</v>
      </c>
      <c r="AX15" s="221">
        <f t="shared" ca="1" si="21"/>
        <v>0</v>
      </c>
      <c r="AY15" s="221">
        <f t="shared" ca="1" si="21"/>
        <v>0</v>
      </c>
      <c r="AZ15" s="221">
        <f t="shared" ca="1" si="21"/>
        <v>0</v>
      </c>
      <c r="BA15" s="221">
        <f t="shared" ca="1" si="21"/>
        <v>0</v>
      </c>
      <c r="BB15" s="221">
        <f t="shared" ca="1" si="21"/>
        <v>0</v>
      </c>
      <c r="BC15" s="221"/>
      <c r="BD15" s="221">
        <f t="shared" ref="BD15:BD33" ca="1" si="28">SUM(AS15:BC15)</f>
        <v>0</v>
      </c>
      <c r="BE15" s="221">
        <f t="shared" ref="BE15:BE33" ca="1" si="29">SUM($AE15:$AN15)+SUM($AS15:$BB15)+BE14</f>
        <v>0</v>
      </c>
      <c r="BG15" s="75">
        <f t="shared" si="22"/>
        <v>43435</v>
      </c>
      <c r="BH15" s="75"/>
      <c r="BI15" s="236">
        <f t="shared" ref="BI15:BQ33" si="30">F15</f>
        <v>0</v>
      </c>
      <c r="BJ15" s="236">
        <f t="shared" si="23"/>
        <v>0</v>
      </c>
      <c r="BK15" s="236">
        <f t="shared" si="23"/>
        <v>0</v>
      </c>
      <c r="BL15" s="236">
        <f t="shared" si="23"/>
        <v>0</v>
      </c>
      <c r="BM15" s="236">
        <f t="shared" si="23"/>
        <v>0</v>
      </c>
      <c r="BN15" s="236">
        <f t="shared" si="23"/>
        <v>0</v>
      </c>
      <c r="BO15" s="236">
        <f t="shared" si="23"/>
        <v>0</v>
      </c>
      <c r="BP15" s="236">
        <f t="shared" si="23"/>
        <v>0</v>
      </c>
      <c r="BQ15" s="236">
        <f t="shared" si="23"/>
        <v>0</v>
      </c>
      <c r="BR15" s="236">
        <f t="shared" ref="BR15:BR32" si="31">SUM(BH15:BQ15)</f>
        <v>0</v>
      </c>
      <c r="BT15" s="75">
        <f t="shared" ref="BT15:BT33" si="32">BG15</f>
        <v>43435</v>
      </c>
      <c r="BU15" s="75"/>
      <c r="BV15" s="218">
        <f t="shared" ref="BV15:CA33" si="33">MAX(BV$11,IF(YEAR(RESID_DELIVERY_YEAR)=YEAR(BT15),BV$11,BV$11*((1+$BV$10)^(((YEAR($BT15)-YEAR(RESID_DELIVERY_YEAR)))))))</f>
        <v>0</v>
      </c>
      <c r="BW15" s="218">
        <f t="shared" si="33"/>
        <v>0</v>
      </c>
      <c r="BX15" s="218">
        <f t="shared" si="33"/>
        <v>0</v>
      </c>
      <c r="BY15" s="218">
        <f t="shared" si="33"/>
        <v>0</v>
      </c>
      <c r="BZ15" s="218">
        <f t="shared" si="33"/>
        <v>0</v>
      </c>
      <c r="CA15" s="218">
        <f t="shared" si="33"/>
        <v>0</v>
      </c>
      <c r="CB15" s="218">
        <f t="shared" ref="CB15:CD33" si="34">IF(YEAR(RESID_DELIVERY_YEAR)=YEAR(CA15),CB$11,CB$11*((1+$BV$10)^(((YEAR($BT15)-YEAR(RESID_DELIVERY_YEAR))))))</f>
        <v>0</v>
      </c>
      <c r="CC15" s="218">
        <f t="shared" si="34"/>
        <v>0</v>
      </c>
      <c r="CD15" s="218">
        <f t="shared" si="34"/>
        <v>0</v>
      </c>
      <c r="CG15" s="75">
        <f t="shared" ref="CG15:CG33" si="35">BT15</f>
        <v>43435</v>
      </c>
      <c r="CH15" s="221"/>
      <c r="CI15" s="221">
        <f t="shared" si="24"/>
        <v>0</v>
      </c>
      <c r="CJ15" s="221">
        <f t="shared" si="24"/>
        <v>0</v>
      </c>
      <c r="CK15" s="221">
        <f t="shared" si="24"/>
        <v>0</v>
      </c>
      <c r="CL15" s="221">
        <f t="shared" si="24"/>
        <v>0</v>
      </c>
      <c r="CM15" s="221">
        <f t="shared" si="24"/>
        <v>0</v>
      </c>
      <c r="CN15" s="221">
        <f t="shared" si="24"/>
        <v>0</v>
      </c>
      <c r="CO15" s="221">
        <f t="shared" si="24"/>
        <v>0</v>
      </c>
      <c r="CP15" s="221">
        <f t="shared" si="24"/>
        <v>0</v>
      </c>
      <c r="CQ15" s="221">
        <f t="shared" si="24"/>
        <v>0</v>
      </c>
      <c r="CR15" s="221">
        <f t="shared" ref="CR15:CR33" si="36">SUM(CH15:CQ15)</f>
        <v>0</v>
      </c>
      <c r="CT15" s="75">
        <f t="shared" ref="CT15:CT33" si="37">CG15</f>
        <v>43435</v>
      </c>
      <c r="CU15" s="221"/>
      <c r="CV15" s="221">
        <f t="shared" ref="CV15:DD33" ca="1" si="38">OFFSET(CI15,-1,0)</f>
        <v>0</v>
      </c>
      <c r="CW15" s="221">
        <f t="shared" ca="1" si="25"/>
        <v>0</v>
      </c>
      <c r="CX15" s="221">
        <f t="shared" ca="1" si="25"/>
        <v>0</v>
      </c>
      <c r="CY15" s="221">
        <f t="shared" ca="1" si="25"/>
        <v>0</v>
      </c>
      <c r="CZ15" s="221">
        <f t="shared" ca="1" si="25"/>
        <v>0</v>
      </c>
      <c r="DA15" s="221">
        <f t="shared" ca="1" si="25"/>
        <v>0</v>
      </c>
      <c r="DB15" s="221">
        <f t="shared" ca="1" si="25"/>
        <v>0</v>
      </c>
      <c r="DC15" s="221">
        <f t="shared" ca="1" si="25"/>
        <v>0</v>
      </c>
      <c r="DD15" s="221">
        <f t="shared" ca="1" si="25"/>
        <v>0</v>
      </c>
      <c r="DE15" s="221">
        <f t="shared" ref="DE15:DE33" ca="1" si="39">SUM(CU15:DD15)</f>
        <v>0</v>
      </c>
    </row>
    <row r="16" spans="4:109" x14ac:dyDescent="0.25">
      <c r="D16" s="75">
        <f t="shared" ref="D16:D33" si="40">EDATE(D15,12)</f>
        <v>43800</v>
      </c>
      <c r="E16" s="123"/>
      <c r="F16" s="190"/>
      <c r="G16" s="288"/>
      <c r="H16" s="288"/>
      <c r="I16" s="288"/>
      <c r="J16" s="288"/>
      <c r="K16" s="288"/>
      <c r="L16" s="288"/>
      <c r="M16" s="288"/>
      <c r="N16" s="288"/>
      <c r="O16" s="256">
        <f t="shared" ref="O16:O33" si="41">SUM(F16:N16)</f>
        <v>0</v>
      </c>
      <c r="Q16" s="75">
        <f t="shared" ref="Q16:Q33" si="42">EDATE(Q15,12)</f>
        <v>43800</v>
      </c>
      <c r="R16" s="75"/>
      <c r="S16" s="221">
        <f t="shared" si="18"/>
        <v>0</v>
      </c>
      <c r="T16" s="221">
        <f t="shared" si="18"/>
        <v>0</v>
      </c>
      <c r="U16" s="221">
        <f t="shared" si="18"/>
        <v>0</v>
      </c>
      <c r="V16" s="221">
        <f t="shared" si="18"/>
        <v>0</v>
      </c>
      <c r="W16" s="221">
        <f t="shared" si="18"/>
        <v>0</v>
      </c>
      <c r="X16" s="221">
        <f t="shared" si="18"/>
        <v>0</v>
      </c>
      <c r="Y16" s="221">
        <f t="shared" si="18"/>
        <v>0</v>
      </c>
      <c r="Z16" s="221">
        <f t="shared" si="18"/>
        <v>0</v>
      </c>
      <c r="AA16" s="221">
        <f t="shared" si="18"/>
        <v>0</v>
      </c>
      <c r="AB16" s="221">
        <f t="shared" si="19"/>
        <v>0</v>
      </c>
      <c r="AD16" s="75">
        <f t="shared" ref="AD16:AD33" si="43">EDATE(AD15,12)</f>
        <v>43800</v>
      </c>
      <c r="AE16" s="221">
        <f t="shared" ca="1" si="20"/>
        <v>0</v>
      </c>
      <c r="AF16" s="221">
        <f t="shared" ca="1" si="20"/>
        <v>0</v>
      </c>
      <c r="AG16" s="221">
        <f t="shared" ca="1" si="20"/>
        <v>0</v>
      </c>
      <c r="AH16" s="221">
        <f t="shared" ca="1" si="20"/>
        <v>0</v>
      </c>
      <c r="AI16" s="221">
        <f t="shared" ca="1" si="20"/>
        <v>0</v>
      </c>
      <c r="AJ16" s="221">
        <f t="shared" ca="1" si="20"/>
        <v>0</v>
      </c>
      <c r="AK16" s="221">
        <f t="shared" ca="1" si="20"/>
        <v>0</v>
      </c>
      <c r="AL16" s="221">
        <f t="shared" ca="1" si="20"/>
        <v>0</v>
      </c>
      <c r="AM16" s="221">
        <f t="shared" ca="1" si="20"/>
        <v>0</v>
      </c>
      <c r="AN16" s="221">
        <f t="shared" ca="1" si="20"/>
        <v>0</v>
      </c>
      <c r="AO16" s="221"/>
      <c r="AP16" s="221">
        <f t="shared" ca="1" si="26"/>
        <v>0</v>
      </c>
      <c r="AR16" s="75">
        <f t="shared" ref="AR16:AR33" si="44">EDATE(AR15,12)</f>
        <v>43800</v>
      </c>
      <c r="AS16" s="75"/>
      <c r="AT16" s="221">
        <f t="shared" ca="1" si="27"/>
        <v>0</v>
      </c>
      <c r="AU16" s="221">
        <f t="shared" ca="1" si="21"/>
        <v>0</v>
      </c>
      <c r="AV16" s="221">
        <f t="shared" ca="1" si="21"/>
        <v>0</v>
      </c>
      <c r="AW16" s="221">
        <f t="shared" ca="1" si="21"/>
        <v>0</v>
      </c>
      <c r="AX16" s="221">
        <f t="shared" ca="1" si="21"/>
        <v>0</v>
      </c>
      <c r="AY16" s="221">
        <f t="shared" ca="1" si="21"/>
        <v>0</v>
      </c>
      <c r="AZ16" s="221">
        <f t="shared" ca="1" si="21"/>
        <v>0</v>
      </c>
      <c r="BA16" s="221">
        <f t="shared" ca="1" si="21"/>
        <v>0</v>
      </c>
      <c r="BB16" s="221">
        <f t="shared" ca="1" si="21"/>
        <v>0</v>
      </c>
      <c r="BC16" s="221"/>
      <c r="BD16" s="221">
        <f t="shared" ca="1" si="28"/>
        <v>0</v>
      </c>
      <c r="BE16" s="221">
        <f t="shared" ca="1" si="29"/>
        <v>0</v>
      </c>
      <c r="BG16" s="75">
        <f t="shared" si="22"/>
        <v>43800</v>
      </c>
      <c r="BH16" s="75"/>
      <c r="BI16" s="236">
        <f t="shared" si="30"/>
        <v>0</v>
      </c>
      <c r="BJ16" s="236">
        <f t="shared" si="23"/>
        <v>0</v>
      </c>
      <c r="BK16" s="236">
        <f t="shared" si="23"/>
        <v>0</v>
      </c>
      <c r="BL16" s="236">
        <f t="shared" si="23"/>
        <v>0</v>
      </c>
      <c r="BM16" s="236">
        <f t="shared" si="23"/>
        <v>0</v>
      </c>
      <c r="BN16" s="236">
        <f t="shared" si="23"/>
        <v>0</v>
      </c>
      <c r="BO16" s="236">
        <f t="shared" si="23"/>
        <v>0</v>
      </c>
      <c r="BP16" s="236">
        <f t="shared" si="23"/>
        <v>0</v>
      </c>
      <c r="BQ16" s="236">
        <f t="shared" si="23"/>
        <v>0</v>
      </c>
      <c r="BR16" s="236">
        <f t="shared" si="31"/>
        <v>0</v>
      </c>
      <c r="BT16" s="75">
        <f t="shared" si="32"/>
        <v>43800</v>
      </c>
      <c r="BU16" s="75"/>
      <c r="BV16" s="218">
        <f t="shared" si="33"/>
        <v>0</v>
      </c>
      <c r="BW16" s="218">
        <f t="shared" si="33"/>
        <v>0</v>
      </c>
      <c r="BX16" s="218">
        <f t="shared" si="33"/>
        <v>0</v>
      </c>
      <c r="BY16" s="218">
        <f t="shared" si="33"/>
        <v>0</v>
      </c>
      <c r="BZ16" s="218">
        <f t="shared" si="33"/>
        <v>0</v>
      </c>
      <c r="CA16" s="218">
        <f t="shared" si="33"/>
        <v>0</v>
      </c>
      <c r="CB16" s="218">
        <f t="shared" si="34"/>
        <v>0</v>
      </c>
      <c r="CC16" s="218">
        <f t="shared" si="34"/>
        <v>0</v>
      </c>
      <c r="CD16" s="218">
        <f t="shared" si="34"/>
        <v>0</v>
      </c>
      <c r="CG16" s="75">
        <f t="shared" si="35"/>
        <v>43800</v>
      </c>
      <c r="CH16" s="221"/>
      <c r="CI16" s="221">
        <f t="shared" si="24"/>
        <v>0</v>
      </c>
      <c r="CJ16" s="221">
        <f t="shared" si="24"/>
        <v>0</v>
      </c>
      <c r="CK16" s="221">
        <f t="shared" si="24"/>
        <v>0</v>
      </c>
      <c r="CL16" s="221">
        <f t="shared" si="24"/>
        <v>0</v>
      </c>
      <c r="CM16" s="221">
        <f t="shared" si="24"/>
        <v>0</v>
      </c>
      <c r="CN16" s="221">
        <f t="shared" si="24"/>
        <v>0</v>
      </c>
      <c r="CO16" s="221">
        <f t="shared" si="24"/>
        <v>0</v>
      </c>
      <c r="CP16" s="221">
        <f t="shared" si="24"/>
        <v>0</v>
      </c>
      <c r="CQ16" s="221">
        <f t="shared" si="24"/>
        <v>0</v>
      </c>
      <c r="CR16" s="221">
        <f t="shared" si="36"/>
        <v>0</v>
      </c>
      <c r="CT16" s="75">
        <f t="shared" si="37"/>
        <v>43800</v>
      </c>
      <c r="CU16" s="221"/>
      <c r="CV16" s="221">
        <f t="shared" ca="1" si="38"/>
        <v>0</v>
      </c>
      <c r="CW16" s="221">
        <f t="shared" ca="1" si="25"/>
        <v>0</v>
      </c>
      <c r="CX16" s="221">
        <f t="shared" ca="1" si="25"/>
        <v>0</v>
      </c>
      <c r="CY16" s="221">
        <f t="shared" ca="1" si="25"/>
        <v>0</v>
      </c>
      <c r="CZ16" s="221">
        <f t="shared" ca="1" si="25"/>
        <v>0</v>
      </c>
      <c r="DA16" s="221">
        <f t="shared" ca="1" si="25"/>
        <v>0</v>
      </c>
      <c r="DB16" s="221">
        <f t="shared" ca="1" si="25"/>
        <v>0</v>
      </c>
      <c r="DC16" s="221">
        <f t="shared" ca="1" si="25"/>
        <v>0</v>
      </c>
      <c r="DD16" s="221">
        <f t="shared" ca="1" si="25"/>
        <v>0</v>
      </c>
      <c r="DE16" s="221">
        <f t="shared" ca="1" si="39"/>
        <v>0</v>
      </c>
    </row>
    <row r="17" spans="2:109" x14ac:dyDescent="0.25">
      <c r="D17" s="75">
        <f t="shared" si="40"/>
        <v>44166</v>
      </c>
      <c r="E17" s="123"/>
      <c r="F17" s="288"/>
      <c r="G17" s="288"/>
      <c r="H17" s="288"/>
      <c r="I17" s="288"/>
      <c r="J17" s="288"/>
      <c r="K17" s="288"/>
      <c r="L17" s="288"/>
      <c r="M17" s="288"/>
      <c r="N17" s="288"/>
      <c r="O17" s="256">
        <f t="shared" si="41"/>
        <v>0</v>
      </c>
      <c r="Q17" s="75">
        <f t="shared" si="42"/>
        <v>44166</v>
      </c>
      <c r="R17" s="222"/>
      <c r="S17" s="221">
        <f t="shared" si="18"/>
        <v>0</v>
      </c>
      <c r="T17" s="221">
        <f t="shared" si="18"/>
        <v>0</v>
      </c>
      <c r="U17" s="221">
        <f t="shared" si="18"/>
        <v>0</v>
      </c>
      <c r="V17" s="221">
        <f t="shared" si="18"/>
        <v>0</v>
      </c>
      <c r="W17" s="221">
        <f t="shared" si="18"/>
        <v>0</v>
      </c>
      <c r="X17" s="221">
        <f t="shared" si="18"/>
        <v>0</v>
      </c>
      <c r="Y17" s="221">
        <f t="shared" si="18"/>
        <v>0</v>
      </c>
      <c r="Z17" s="221">
        <f t="shared" si="18"/>
        <v>0</v>
      </c>
      <c r="AA17" s="221">
        <f t="shared" si="18"/>
        <v>0</v>
      </c>
      <c r="AB17" s="221">
        <f t="shared" si="19"/>
        <v>0</v>
      </c>
      <c r="AD17" s="75">
        <f t="shared" si="43"/>
        <v>44166</v>
      </c>
      <c r="AE17" s="221">
        <f t="shared" ca="1" si="20"/>
        <v>0</v>
      </c>
      <c r="AF17" s="221">
        <f t="shared" ca="1" si="20"/>
        <v>0</v>
      </c>
      <c r="AG17" s="221">
        <f t="shared" ca="1" si="20"/>
        <v>0</v>
      </c>
      <c r="AH17" s="221">
        <f t="shared" ca="1" si="20"/>
        <v>0</v>
      </c>
      <c r="AI17" s="221">
        <f t="shared" ca="1" si="20"/>
        <v>0</v>
      </c>
      <c r="AJ17" s="221">
        <f t="shared" ca="1" si="20"/>
        <v>0</v>
      </c>
      <c r="AK17" s="221">
        <f t="shared" ca="1" si="20"/>
        <v>0</v>
      </c>
      <c r="AL17" s="221">
        <f t="shared" ca="1" si="20"/>
        <v>0</v>
      </c>
      <c r="AM17" s="221">
        <f t="shared" ca="1" si="20"/>
        <v>0</v>
      </c>
      <c r="AN17" s="221">
        <f t="shared" ca="1" si="20"/>
        <v>0</v>
      </c>
      <c r="AO17" s="221"/>
      <c r="AP17" s="221">
        <f t="shared" ca="1" si="26"/>
        <v>0</v>
      </c>
      <c r="AR17" s="75">
        <f t="shared" si="44"/>
        <v>44166</v>
      </c>
      <c r="AS17" s="75"/>
      <c r="AT17" s="221">
        <f t="shared" ca="1" si="27"/>
        <v>0</v>
      </c>
      <c r="AU17" s="221">
        <f t="shared" ca="1" si="21"/>
        <v>0</v>
      </c>
      <c r="AV17" s="221">
        <f t="shared" ca="1" si="21"/>
        <v>0</v>
      </c>
      <c r="AW17" s="221">
        <f t="shared" ca="1" si="21"/>
        <v>0</v>
      </c>
      <c r="AX17" s="221">
        <f t="shared" ca="1" si="21"/>
        <v>0</v>
      </c>
      <c r="AY17" s="221">
        <f t="shared" ca="1" si="21"/>
        <v>0</v>
      </c>
      <c r="AZ17" s="221">
        <f t="shared" ca="1" si="21"/>
        <v>0</v>
      </c>
      <c r="BA17" s="221">
        <f t="shared" ca="1" si="21"/>
        <v>0</v>
      </c>
      <c r="BB17" s="221">
        <f t="shared" ca="1" si="21"/>
        <v>0</v>
      </c>
      <c r="BC17" s="221"/>
      <c r="BD17" s="221">
        <f t="shared" ca="1" si="28"/>
        <v>0</v>
      </c>
      <c r="BE17" s="221">
        <f t="shared" ca="1" si="29"/>
        <v>0</v>
      </c>
      <c r="BG17" s="75">
        <f t="shared" si="22"/>
        <v>44166</v>
      </c>
      <c r="BH17" s="75"/>
      <c r="BI17" s="236">
        <f t="shared" si="30"/>
        <v>0</v>
      </c>
      <c r="BJ17" s="236">
        <f t="shared" si="23"/>
        <v>0</v>
      </c>
      <c r="BK17" s="236">
        <f t="shared" si="23"/>
        <v>0</v>
      </c>
      <c r="BL17" s="236">
        <f t="shared" si="23"/>
        <v>0</v>
      </c>
      <c r="BM17" s="236">
        <f t="shared" si="23"/>
        <v>0</v>
      </c>
      <c r="BN17" s="236">
        <f t="shared" si="23"/>
        <v>0</v>
      </c>
      <c r="BO17" s="236">
        <f t="shared" si="23"/>
        <v>0</v>
      </c>
      <c r="BP17" s="236">
        <f t="shared" si="23"/>
        <v>0</v>
      </c>
      <c r="BQ17" s="236">
        <f t="shared" si="23"/>
        <v>0</v>
      </c>
      <c r="BR17" s="236">
        <f t="shared" si="31"/>
        <v>0</v>
      </c>
      <c r="BT17" s="75">
        <f t="shared" si="32"/>
        <v>44166</v>
      </c>
      <c r="BU17" s="75"/>
      <c r="BV17" s="218">
        <f t="shared" si="33"/>
        <v>0</v>
      </c>
      <c r="BW17" s="218">
        <f t="shared" si="33"/>
        <v>0</v>
      </c>
      <c r="BX17" s="218">
        <f t="shared" si="33"/>
        <v>0</v>
      </c>
      <c r="BY17" s="218">
        <f t="shared" si="33"/>
        <v>0</v>
      </c>
      <c r="BZ17" s="218">
        <f t="shared" si="33"/>
        <v>0</v>
      </c>
      <c r="CA17" s="218">
        <f t="shared" si="33"/>
        <v>0</v>
      </c>
      <c r="CB17" s="218">
        <f t="shared" si="34"/>
        <v>0</v>
      </c>
      <c r="CC17" s="218">
        <f t="shared" si="34"/>
        <v>0</v>
      </c>
      <c r="CD17" s="218">
        <f t="shared" si="34"/>
        <v>0</v>
      </c>
      <c r="CG17" s="75">
        <f t="shared" si="35"/>
        <v>44166</v>
      </c>
      <c r="CH17" s="221"/>
      <c r="CI17" s="221">
        <f>BI17*BV17</f>
        <v>0</v>
      </c>
      <c r="CJ17" s="221">
        <f t="shared" si="24"/>
        <v>0</v>
      </c>
      <c r="CK17" s="221">
        <f t="shared" si="24"/>
        <v>0</v>
      </c>
      <c r="CL17" s="221">
        <f t="shared" si="24"/>
        <v>0</v>
      </c>
      <c r="CM17" s="221">
        <f t="shared" si="24"/>
        <v>0</v>
      </c>
      <c r="CN17" s="221">
        <f t="shared" si="24"/>
        <v>0</v>
      </c>
      <c r="CO17" s="221">
        <f t="shared" si="24"/>
        <v>0</v>
      </c>
      <c r="CP17" s="221">
        <f t="shared" si="24"/>
        <v>0</v>
      </c>
      <c r="CQ17" s="221">
        <f t="shared" si="24"/>
        <v>0</v>
      </c>
      <c r="CR17" s="221">
        <f t="shared" si="36"/>
        <v>0</v>
      </c>
      <c r="CT17" s="75">
        <f t="shared" si="37"/>
        <v>44166</v>
      </c>
      <c r="CU17" s="221"/>
      <c r="CV17" s="221">
        <f t="shared" ca="1" si="38"/>
        <v>0</v>
      </c>
      <c r="CW17" s="221">
        <f t="shared" ca="1" si="25"/>
        <v>0</v>
      </c>
      <c r="CX17" s="221">
        <f t="shared" ca="1" si="25"/>
        <v>0</v>
      </c>
      <c r="CY17" s="221">
        <f t="shared" ca="1" si="25"/>
        <v>0</v>
      </c>
      <c r="CZ17" s="221">
        <f t="shared" ca="1" si="25"/>
        <v>0</v>
      </c>
      <c r="DA17" s="221">
        <f t="shared" ca="1" si="25"/>
        <v>0</v>
      </c>
      <c r="DB17" s="221">
        <f t="shared" ca="1" si="25"/>
        <v>0</v>
      </c>
      <c r="DC17" s="221">
        <f t="shared" ca="1" si="25"/>
        <v>0</v>
      </c>
      <c r="DD17" s="221">
        <f t="shared" ca="1" si="25"/>
        <v>0</v>
      </c>
      <c r="DE17" s="221">
        <f t="shared" ca="1" si="39"/>
        <v>0</v>
      </c>
    </row>
    <row r="18" spans="2:109" x14ac:dyDescent="0.25">
      <c r="D18" s="75">
        <f t="shared" si="40"/>
        <v>44531</v>
      </c>
      <c r="E18" s="123"/>
      <c r="F18" s="288"/>
      <c r="G18" s="288"/>
      <c r="H18" s="288"/>
      <c r="I18" s="288"/>
      <c r="J18" s="288"/>
      <c r="K18" s="288"/>
      <c r="L18" s="288"/>
      <c r="M18" s="288"/>
      <c r="N18" s="288"/>
      <c r="O18" s="256">
        <f t="shared" si="41"/>
        <v>0</v>
      </c>
      <c r="Q18" s="75">
        <f t="shared" si="42"/>
        <v>44531</v>
      </c>
      <c r="R18" s="222"/>
      <c r="S18" s="221">
        <f t="shared" si="18"/>
        <v>0</v>
      </c>
      <c r="T18" s="221">
        <f t="shared" si="18"/>
        <v>0</v>
      </c>
      <c r="U18" s="221">
        <f t="shared" si="18"/>
        <v>0</v>
      </c>
      <c r="V18" s="221">
        <f t="shared" si="18"/>
        <v>0</v>
      </c>
      <c r="W18" s="221">
        <f t="shared" si="18"/>
        <v>0</v>
      </c>
      <c r="X18" s="221">
        <f t="shared" si="18"/>
        <v>0</v>
      </c>
      <c r="Y18" s="221">
        <f t="shared" si="18"/>
        <v>0</v>
      </c>
      <c r="Z18" s="221">
        <f t="shared" si="18"/>
        <v>0</v>
      </c>
      <c r="AA18" s="221">
        <f t="shared" si="18"/>
        <v>0</v>
      </c>
      <c r="AB18" s="221">
        <f t="shared" si="19"/>
        <v>0</v>
      </c>
      <c r="AD18" s="75">
        <f t="shared" si="43"/>
        <v>44531</v>
      </c>
      <c r="AE18" s="221">
        <f t="shared" ca="1" si="20"/>
        <v>0</v>
      </c>
      <c r="AF18" s="221">
        <f t="shared" ca="1" si="20"/>
        <v>0</v>
      </c>
      <c r="AG18" s="221">
        <f t="shared" ca="1" si="20"/>
        <v>0</v>
      </c>
      <c r="AH18" s="221">
        <f t="shared" ca="1" si="20"/>
        <v>0</v>
      </c>
      <c r="AI18" s="221">
        <f t="shared" ca="1" si="20"/>
        <v>0</v>
      </c>
      <c r="AJ18" s="221">
        <f t="shared" ca="1" si="20"/>
        <v>0</v>
      </c>
      <c r="AK18" s="221">
        <f t="shared" ca="1" si="20"/>
        <v>0</v>
      </c>
      <c r="AL18" s="221">
        <f t="shared" ca="1" si="20"/>
        <v>0</v>
      </c>
      <c r="AM18" s="221">
        <f t="shared" ca="1" si="20"/>
        <v>0</v>
      </c>
      <c r="AN18" s="221">
        <f t="shared" ca="1" si="20"/>
        <v>0</v>
      </c>
      <c r="AO18" s="221"/>
      <c r="AP18" s="221">
        <f t="shared" ca="1" si="26"/>
        <v>0</v>
      </c>
      <c r="AR18" s="75">
        <f t="shared" si="44"/>
        <v>44531</v>
      </c>
      <c r="AS18" s="75"/>
      <c r="AT18" s="221">
        <f t="shared" ca="1" si="27"/>
        <v>0</v>
      </c>
      <c r="AU18" s="221">
        <f t="shared" ca="1" si="21"/>
        <v>0</v>
      </c>
      <c r="AV18" s="221">
        <f t="shared" ca="1" si="21"/>
        <v>0</v>
      </c>
      <c r="AW18" s="221">
        <f t="shared" ca="1" si="21"/>
        <v>0</v>
      </c>
      <c r="AX18" s="221">
        <f t="shared" ca="1" si="21"/>
        <v>0</v>
      </c>
      <c r="AY18" s="221">
        <f t="shared" ca="1" si="21"/>
        <v>0</v>
      </c>
      <c r="AZ18" s="221">
        <f t="shared" ca="1" si="21"/>
        <v>0</v>
      </c>
      <c r="BA18" s="221">
        <f t="shared" ca="1" si="21"/>
        <v>0</v>
      </c>
      <c r="BB18" s="221">
        <f t="shared" ca="1" si="21"/>
        <v>0</v>
      </c>
      <c r="BC18" s="221"/>
      <c r="BD18" s="221">
        <f t="shared" ca="1" si="28"/>
        <v>0</v>
      </c>
      <c r="BE18" s="221">
        <f ca="1">SUM($AE18:$AN18)+SUM($AS18:$BB18)+BE17</f>
        <v>0</v>
      </c>
      <c r="BG18" s="75">
        <f t="shared" si="22"/>
        <v>44531</v>
      </c>
      <c r="BH18" s="75"/>
      <c r="BI18" s="236">
        <f t="shared" si="30"/>
        <v>0</v>
      </c>
      <c r="BJ18" s="236">
        <f t="shared" si="23"/>
        <v>0</v>
      </c>
      <c r="BK18" s="236">
        <f t="shared" si="23"/>
        <v>0</v>
      </c>
      <c r="BL18" s="236">
        <f t="shared" si="23"/>
        <v>0</v>
      </c>
      <c r="BM18" s="236">
        <f t="shared" si="23"/>
        <v>0</v>
      </c>
      <c r="BN18" s="236">
        <f t="shared" si="23"/>
        <v>0</v>
      </c>
      <c r="BO18" s="236">
        <f t="shared" si="23"/>
        <v>0</v>
      </c>
      <c r="BP18" s="236">
        <f t="shared" si="23"/>
        <v>0</v>
      </c>
      <c r="BQ18" s="236">
        <f t="shared" si="23"/>
        <v>0</v>
      </c>
      <c r="BR18" s="236">
        <f t="shared" si="31"/>
        <v>0</v>
      </c>
      <c r="BT18" s="75">
        <f t="shared" si="32"/>
        <v>44531</v>
      </c>
      <c r="BU18" s="75"/>
      <c r="BV18" s="218">
        <f t="shared" si="33"/>
        <v>0</v>
      </c>
      <c r="BW18" s="218">
        <f t="shared" si="33"/>
        <v>0</v>
      </c>
      <c r="BX18" s="218">
        <f t="shared" si="33"/>
        <v>0</v>
      </c>
      <c r="BY18" s="218">
        <f t="shared" si="33"/>
        <v>0</v>
      </c>
      <c r="BZ18" s="218">
        <f t="shared" si="33"/>
        <v>0</v>
      </c>
      <c r="CA18" s="218">
        <f t="shared" si="33"/>
        <v>0</v>
      </c>
      <c r="CB18" s="218">
        <f t="shared" si="34"/>
        <v>0</v>
      </c>
      <c r="CC18" s="218">
        <f t="shared" si="34"/>
        <v>0</v>
      </c>
      <c r="CD18" s="218">
        <f t="shared" si="34"/>
        <v>0</v>
      </c>
      <c r="CG18" s="75">
        <f t="shared" si="35"/>
        <v>44531</v>
      </c>
      <c r="CH18" s="221"/>
      <c r="CI18" s="221">
        <f t="shared" si="24"/>
        <v>0</v>
      </c>
      <c r="CJ18" s="221">
        <f t="shared" si="24"/>
        <v>0</v>
      </c>
      <c r="CK18" s="221">
        <f t="shared" si="24"/>
        <v>0</v>
      </c>
      <c r="CL18" s="221">
        <f t="shared" si="24"/>
        <v>0</v>
      </c>
      <c r="CM18" s="221">
        <f t="shared" si="24"/>
        <v>0</v>
      </c>
      <c r="CN18" s="221">
        <f t="shared" si="24"/>
        <v>0</v>
      </c>
      <c r="CO18" s="221">
        <f t="shared" si="24"/>
        <v>0</v>
      </c>
      <c r="CP18" s="221">
        <f t="shared" si="24"/>
        <v>0</v>
      </c>
      <c r="CQ18" s="221">
        <f t="shared" si="24"/>
        <v>0</v>
      </c>
      <c r="CR18" s="221">
        <f t="shared" si="36"/>
        <v>0</v>
      </c>
      <c r="CT18" s="75">
        <f t="shared" si="37"/>
        <v>44531</v>
      </c>
      <c r="CU18" s="221"/>
      <c r="CV18" s="221">
        <f t="shared" ca="1" si="38"/>
        <v>0</v>
      </c>
      <c r="CW18" s="221">
        <f t="shared" ca="1" si="25"/>
        <v>0</v>
      </c>
      <c r="CX18" s="221">
        <f t="shared" ca="1" si="25"/>
        <v>0</v>
      </c>
      <c r="CY18" s="221">
        <f t="shared" ca="1" si="25"/>
        <v>0</v>
      </c>
      <c r="CZ18" s="221">
        <f t="shared" ca="1" si="25"/>
        <v>0</v>
      </c>
      <c r="DA18" s="221">
        <f t="shared" ca="1" si="25"/>
        <v>0</v>
      </c>
      <c r="DB18" s="221">
        <f t="shared" ca="1" si="25"/>
        <v>0</v>
      </c>
      <c r="DC18" s="221">
        <f t="shared" ca="1" si="25"/>
        <v>0</v>
      </c>
      <c r="DD18" s="221">
        <f t="shared" ca="1" si="25"/>
        <v>0</v>
      </c>
      <c r="DE18" s="221">
        <f t="shared" ca="1" si="39"/>
        <v>0</v>
      </c>
    </row>
    <row r="19" spans="2:109" x14ac:dyDescent="0.25">
      <c r="D19" s="75">
        <f t="shared" si="40"/>
        <v>44896</v>
      </c>
      <c r="E19" s="123"/>
      <c r="F19" s="190"/>
      <c r="G19" s="288"/>
      <c r="H19" s="288"/>
      <c r="I19" s="288"/>
      <c r="J19" s="288"/>
      <c r="K19" s="288"/>
      <c r="L19" s="288"/>
      <c r="M19" s="288"/>
      <c r="N19" s="288"/>
      <c r="O19" s="256">
        <f t="shared" si="41"/>
        <v>0</v>
      </c>
      <c r="Q19" s="75">
        <f t="shared" si="42"/>
        <v>44896</v>
      </c>
      <c r="R19" s="160"/>
      <c r="S19" s="221">
        <f t="shared" si="18"/>
        <v>0</v>
      </c>
      <c r="T19" s="221">
        <f t="shared" si="18"/>
        <v>0</v>
      </c>
      <c r="U19" s="221">
        <f t="shared" si="18"/>
        <v>0</v>
      </c>
      <c r="V19" s="221">
        <f t="shared" si="18"/>
        <v>0</v>
      </c>
      <c r="W19" s="221">
        <f t="shared" si="18"/>
        <v>0</v>
      </c>
      <c r="X19" s="221">
        <f t="shared" si="18"/>
        <v>0</v>
      </c>
      <c r="Y19" s="221">
        <f t="shared" si="18"/>
        <v>0</v>
      </c>
      <c r="Z19" s="221">
        <f t="shared" si="18"/>
        <v>0</v>
      </c>
      <c r="AA19" s="221">
        <f t="shared" si="18"/>
        <v>0</v>
      </c>
      <c r="AB19" s="221">
        <f t="shared" si="19"/>
        <v>0</v>
      </c>
      <c r="AD19" s="75">
        <f t="shared" si="43"/>
        <v>44896</v>
      </c>
      <c r="AE19" s="221">
        <f t="shared" ca="1" si="20"/>
        <v>0</v>
      </c>
      <c r="AF19" s="221">
        <f t="shared" ca="1" si="20"/>
        <v>0</v>
      </c>
      <c r="AG19" s="221">
        <f t="shared" ca="1" si="20"/>
        <v>0</v>
      </c>
      <c r="AH19" s="221">
        <f t="shared" ca="1" si="20"/>
        <v>0</v>
      </c>
      <c r="AI19" s="221">
        <f t="shared" ca="1" si="20"/>
        <v>0</v>
      </c>
      <c r="AJ19" s="221">
        <f t="shared" ca="1" si="20"/>
        <v>0</v>
      </c>
      <c r="AK19" s="221">
        <f t="shared" ca="1" si="20"/>
        <v>0</v>
      </c>
      <c r="AL19" s="221">
        <f t="shared" ca="1" si="20"/>
        <v>0</v>
      </c>
      <c r="AM19" s="221">
        <f t="shared" ca="1" si="20"/>
        <v>0</v>
      </c>
      <c r="AN19" s="221">
        <f t="shared" ca="1" si="20"/>
        <v>0</v>
      </c>
      <c r="AO19" s="221"/>
      <c r="AP19" s="221">
        <f t="shared" ca="1" si="26"/>
        <v>0</v>
      </c>
      <c r="AR19" s="75">
        <f t="shared" si="44"/>
        <v>44896</v>
      </c>
      <c r="AS19" s="75"/>
      <c r="AT19" s="221">
        <f t="shared" ca="1" si="27"/>
        <v>0</v>
      </c>
      <c r="AU19" s="221">
        <f t="shared" ca="1" si="21"/>
        <v>0</v>
      </c>
      <c r="AV19" s="221">
        <f t="shared" ca="1" si="21"/>
        <v>0</v>
      </c>
      <c r="AW19" s="221">
        <f t="shared" ca="1" si="21"/>
        <v>0</v>
      </c>
      <c r="AX19" s="221">
        <f t="shared" ca="1" si="21"/>
        <v>0</v>
      </c>
      <c r="AY19" s="221">
        <f t="shared" ca="1" si="21"/>
        <v>0</v>
      </c>
      <c r="AZ19" s="221">
        <f t="shared" ca="1" si="21"/>
        <v>0</v>
      </c>
      <c r="BA19" s="221">
        <f t="shared" ca="1" si="21"/>
        <v>0</v>
      </c>
      <c r="BB19" s="221">
        <f t="shared" ca="1" si="21"/>
        <v>0</v>
      </c>
      <c r="BC19" s="221"/>
      <c r="BD19" s="221">
        <f t="shared" ca="1" si="28"/>
        <v>0</v>
      </c>
      <c r="BE19" s="221">
        <f t="shared" ca="1" si="29"/>
        <v>0</v>
      </c>
      <c r="BG19" s="75">
        <f t="shared" si="22"/>
        <v>44896</v>
      </c>
      <c r="BH19" s="75"/>
      <c r="BI19" s="236">
        <f t="shared" si="30"/>
        <v>0</v>
      </c>
      <c r="BJ19" s="236">
        <f t="shared" si="23"/>
        <v>0</v>
      </c>
      <c r="BK19" s="236">
        <f t="shared" si="23"/>
        <v>0</v>
      </c>
      <c r="BL19" s="236">
        <f t="shared" si="23"/>
        <v>0</v>
      </c>
      <c r="BM19" s="236">
        <f t="shared" si="23"/>
        <v>0</v>
      </c>
      <c r="BN19" s="236">
        <f t="shared" si="23"/>
        <v>0</v>
      </c>
      <c r="BO19" s="236">
        <f t="shared" si="23"/>
        <v>0</v>
      </c>
      <c r="BP19" s="236">
        <f t="shared" si="23"/>
        <v>0</v>
      </c>
      <c r="BQ19" s="236">
        <f t="shared" si="23"/>
        <v>0</v>
      </c>
      <c r="BR19" s="236">
        <f t="shared" si="31"/>
        <v>0</v>
      </c>
      <c r="BT19" s="75">
        <f t="shared" si="32"/>
        <v>44896</v>
      </c>
      <c r="BU19" s="75"/>
      <c r="BV19" s="218">
        <f t="shared" si="33"/>
        <v>0</v>
      </c>
      <c r="BW19" s="218">
        <f t="shared" si="33"/>
        <v>0</v>
      </c>
      <c r="BX19" s="218">
        <f t="shared" si="33"/>
        <v>0</v>
      </c>
      <c r="BY19" s="218">
        <f t="shared" si="33"/>
        <v>0</v>
      </c>
      <c r="BZ19" s="218">
        <f t="shared" si="33"/>
        <v>0</v>
      </c>
      <c r="CA19" s="218">
        <f t="shared" si="33"/>
        <v>0</v>
      </c>
      <c r="CB19" s="218">
        <f t="shared" si="34"/>
        <v>0</v>
      </c>
      <c r="CC19" s="218">
        <f t="shared" si="34"/>
        <v>0</v>
      </c>
      <c r="CD19" s="218">
        <f t="shared" si="34"/>
        <v>0</v>
      </c>
      <c r="CG19" s="75">
        <f t="shared" si="35"/>
        <v>44896</v>
      </c>
      <c r="CH19" s="221"/>
      <c r="CI19" s="221">
        <f>BI19*BV19</f>
        <v>0</v>
      </c>
      <c r="CJ19" s="221">
        <f t="shared" si="24"/>
        <v>0</v>
      </c>
      <c r="CK19" s="221">
        <f t="shared" si="24"/>
        <v>0</v>
      </c>
      <c r="CL19" s="221">
        <f t="shared" si="24"/>
        <v>0</v>
      </c>
      <c r="CM19" s="221">
        <f t="shared" si="24"/>
        <v>0</v>
      </c>
      <c r="CN19" s="221">
        <f t="shared" si="24"/>
        <v>0</v>
      </c>
      <c r="CO19" s="221">
        <f t="shared" si="24"/>
        <v>0</v>
      </c>
      <c r="CP19" s="221">
        <f t="shared" si="24"/>
        <v>0</v>
      </c>
      <c r="CQ19" s="221">
        <f t="shared" si="24"/>
        <v>0</v>
      </c>
      <c r="CR19" s="221">
        <f t="shared" si="36"/>
        <v>0</v>
      </c>
      <c r="CT19" s="75">
        <f t="shared" si="37"/>
        <v>44896</v>
      </c>
      <c r="CU19" s="221"/>
      <c r="CV19" s="221">
        <f t="shared" ca="1" si="38"/>
        <v>0</v>
      </c>
      <c r="CW19" s="221">
        <f t="shared" ca="1" si="25"/>
        <v>0</v>
      </c>
      <c r="CX19" s="221">
        <f t="shared" ca="1" si="25"/>
        <v>0</v>
      </c>
      <c r="CY19" s="221">
        <f t="shared" ca="1" si="25"/>
        <v>0</v>
      </c>
      <c r="CZ19" s="221">
        <f t="shared" ca="1" si="25"/>
        <v>0</v>
      </c>
      <c r="DA19" s="221">
        <f t="shared" ca="1" si="25"/>
        <v>0</v>
      </c>
      <c r="DB19" s="221">
        <f t="shared" ca="1" si="25"/>
        <v>0</v>
      </c>
      <c r="DC19" s="221">
        <f t="shared" ca="1" si="25"/>
        <v>0</v>
      </c>
      <c r="DD19" s="221">
        <f t="shared" ca="1" si="25"/>
        <v>0</v>
      </c>
      <c r="DE19" s="221">
        <f t="shared" ca="1" si="39"/>
        <v>0</v>
      </c>
    </row>
    <row r="20" spans="2:109" x14ac:dyDescent="0.25">
      <c r="B20" s="7"/>
      <c r="D20" s="75">
        <f t="shared" si="40"/>
        <v>45261</v>
      </c>
      <c r="E20" s="123"/>
      <c r="F20" s="190"/>
      <c r="G20" s="288"/>
      <c r="H20" s="288"/>
      <c r="I20" s="288"/>
      <c r="J20" s="288"/>
      <c r="K20" s="288"/>
      <c r="L20" s="288"/>
      <c r="M20" s="288"/>
      <c r="N20" s="288"/>
      <c r="O20" s="256">
        <f t="shared" si="41"/>
        <v>0</v>
      </c>
      <c r="Q20" s="75">
        <f t="shared" si="42"/>
        <v>45261</v>
      </c>
      <c r="R20" s="75"/>
      <c r="S20" s="221">
        <f t="shared" si="18"/>
        <v>0</v>
      </c>
      <c r="T20" s="221">
        <f>G20*T$11</f>
        <v>0</v>
      </c>
      <c r="U20" s="221">
        <f t="shared" si="18"/>
        <v>0</v>
      </c>
      <c r="V20" s="221">
        <f t="shared" si="18"/>
        <v>0</v>
      </c>
      <c r="W20" s="221">
        <f t="shared" si="18"/>
        <v>0</v>
      </c>
      <c r="X20" s="221">
        <f t="shared" si="18"/>
        <v>0</v>
      </c>
      <c r="Y20" s="221">
        <f t="shared" si="18"/>
        <v>0</v>
      </c>
      <c r="Z20" s="221">
        <f t="shared" si="18"/>
        <v>0</v>
      </c>
      <c r="AA20" s="221">
        <f t="shared" si="18"/>
        <v>0</v>
      </c>
      <c r="AB20" s="221">
        <f t="shared" si="19"/>
        <v>0</v>
      </c>
      <c r="AD20" s="75">
        <f t="shared" si="43"/>
        <v>45261</v>
      </c>
      <c r="AE20" s="221">
        <f t="shared" ca="1" si="20"/>
        <v>0</v>
      </c>
      <c r="AF20" s="221">
        <f t="shared" ca="1" si="20"/>
        <v>0</v>
      </c>
      <c r="AG20" s="221">
        <f t="shared" ca="1" si="20"/>
        <v>0</v>
      </c>
      <c r="AH20" s="221">
        <f t="shared" ca="1" si="20"/>
        <v>0</v>
      </c>
      <c r="AI20" s="221">
        <f t="shared" ca="1" si="20"/>
        <v>0</v>
      </c>
      <c r="AJ20" s="221">
        <f t="shared" ca="1" si="20"/>
        <v>0</v>
      </c>
      <c r="AK20" s="221">
        <f t="shared" ca="1" si="20"/>
        <v>0</v>
      </c>
      <c r="AL20" s="221">
        <f t="shared" ca="1" si="20"/>
        <v>0</v>
      </c>
      <c r="AM20" s="221">
        <f t="shared" ca="1" si="20"/>
        <v>0</v>
      </c>
      <c r="AN20" s="221">
        <f t="shared" ca="1" si="20"/>
        <v>0</v>
      </c>
      <c r="AO20" s="221"/>
      <c r="AP20" s="221">
        <f t="shared" ca="1" si="26"/>
        <v>0</v>
      </c>
      <c r="AR20" s="75">
        <f t="shared" si="44"/>
        <v>45261</v>
      </c>
      <c r="AS20" s="75"/>
      <c r="AT20" s="221">
        <f t="shared" ca="1" si="27"/>
        <v>0</v>
      </c>
      <c r="AU20" s="221">
        <f t="shared" ca="1" si="21"/>
        <v>0</v>
      </c>
      <c r="AV20" s="221">
        <f t="shared" ca="1" si="21"/>
        <v>0</v>
      </c>
      <c r="AW20" s="221">
        <f t="shared" ca="1" si="21"/>
        <v>0</v>
      </c>
      <c r="AX20" s="221">
        <f t="shared" ca="1" si="21"/>
        <v>0</v>
      </c>
      <c r="AY20" s="221">
        <f t="shared" ca="1" si="21"/>
        <v>0</v>
      </c>
      <c r="AZ20" s="221">
        <f t="shared" ca="1" si="21"/>
        <v>0</v>
      </c>
      <c r="BA20" s="221">
        <f t="shared" ca="1" si="21"/>
        <v>0</v>
      </c>
      <c r="BB20" s="221">
        <f t="shared" ca="1" si="21"/>
        <v>0</v>
      </c>
      <c r="BC20" s="221"/>
      <c r="BD20" s="221">
        <f t="shared" ca="1" si="28"/>
        <v>0</v>
      </c>
      <c r="BE20" s="221">
        <f t="shared" ca="1" si="29"/>
        <v>0</v>
      </c>
      <c r="BG20" s="75">
        <f t="shared" si="22"/>
        <v>45261</v>
      </c>
      <c r="BH20" s="75"/>
      <c r="BI20" s="236">
        <f t="shared" si="30"/>
        <v>0</v>
      </c>
      <c r="BJ20" s="236">
        <f t="shared" si="23"/>
        <v>0</v>
      </c>
      <c r="BK20" s="236">
        <f t="shared" si="23"/>
        <v>0</v>
      </c>
      <c r="BL20" s="236">
        <f t="shared" si="23"/>
        <v>0</v>
      </c>
      <c r="BM20" s="236">
        <f t="shared" si="23"/>
        <v>0</v>
      </c>
      <c r="BN20" s="236">
        <f t="shared" si="23"/>
        <v>0</v>
      </c>
      <c r="BO20" s="236">
        <f t="shared" si="23"/>
        <v>0</v>
      </c>
      <c r="BP20" s="236">
        <f t="shared" si="23"/>
        <v>0</v>
      </c>
      <c r="BQ20" s="236">
        <f t="shared" si="23"/>
        <v>0</v>
      </c>
      <c r="BR20" s="236">
        <f t="shared" si="31"/>
        <v>0</v>
      </c>
      <c r="BT20" s="75">
        <f t="shared" si="32"/>
        <v>45261</v>
      </c>
      <c r="BU20" s="75"/>
      <c r="BV20" s="218">
        <f t="shared" si="33"/>
        <v>0</v>
      </c>
      <c r="BW20" s="218">
        <f t="shared" si="33"/>
        <v>0</v>
      </c>
      <c r="BX20" s="218">
        <f t="shared" si="33"/>
        <v>0</v>
      </c>
      <c r="BY20" s="218">
        <f t="shared" si="33"/>
        <v>0</v>
      </c>
      <c r="BZ20" s="218">
        <f t="shared" si="33"/>
        <v>0</v>
      </c>
      <c r="CA20" s="218">
        <f t="shared" si="33"/>
        <v>0</v>
      </c>
      <c r="CB20" s="218">
        <f t="shared" si="34"/>
        <v>0</v>
      </c>
      <c r="CC20" s="218">
        <f t="shared" si="34"/>
        <v>0</v>
      </c>
      <c r="CD20" s="218">
        <f t="shared" si="34"/>
        <v>0</v>
      </c>
      <c r="CG20" s="75">
        <f t="shared" si="35"/>
        <v>45261</v>
      </c>
      <c r="CH20" s="221"/>
      <c r="CI20" s="221">
        <f>BI20*BV20</f>
        <v>0</v>
      </c>
      <c r="CJ20" s="221">
        <f t="shared" si="24"/>
        <v>0</v>
      </c>
      <c r="CK20" s="221">
        <f t="shared" si="24"/>
        <v>0</v>
      </c>
      <c r="CL20" s="221">
        <f t="shared" si="24"/>
        <v>0</v>
      </c>
      <c r="CM20" s="221">
        <f t="shared" si="24"/>
        <v>0</v>
      </c>
      <c r="CN20" s="221">
        <f t="shared" si="24"/>
        <v>0</v>
      </c>
      <c r="CO20" s="221">
        <f t="shared" si="24"/>
        <v>0</v>
      </c>
      <c r="CP20" s="221">
        <f t="shared" si="24"/>
        <v>0</v>
      </c>
      <c r="CQ20" s="221">
        <f t="shared" si="24"/>
        <v>0</v>
      </c>
      <c r="CR20" s="221">
        <f t="shared" si="36"/>
        <v>0</v>
      </c>
      <c r="CT20" s="75">
        <f t="shared" si="37"/>
        <v>45261</v>
      </c>
      <c r="CU20" s="221"/>
      <c r="CV20" s="221">
        <f t="shared" ca="1" si="38"/>
        <v>0</v>
      </c>
      <c r="CW20" s="221">
        <f t="shared" ca="1" si="25"/>
        <v>0</v>
      </c>
      <c r="CX20" s="221">
        <f t="shared" ca="1" si="25"/>
        <v>0</v>
      </c>
      <c r="CY20" s="221">
        <f t="shared" ca="1" si="25"/>
        <v>0</v>
      </c>
      <c r="CZ20" s="221">
        <f t="shared" ca="1" si="25"/>
        <v>0</v>
      </c>
      <c r="DA20" s="221">
        <f t="shared" ca="1" si="25"/>
        <v>0</v>
      </c>
      <c r="DB20" s="221">
        <f t="shared" ca="1" si="25"/>
        <v>0</v>
      </c>
      <c r="DC20" s="221">
        <f t="shared" ca="1" si="25"/>
        <v>0</v>
      </c>
      <c r="DD20" s="221">
        <f t="shared" ca="1" si="25"/>
        <v>0</v>
      </c>
      <c r="DE20" s="221">
        <f t="shared" ca="1" si="39"/>
        <v>0</v>
      </c>
    </row>
    <row r="21" spans="2:109" x14ac:dyDescent="0.25">
      <c r="D21" s="75">
        <f t="shared" si="40"/>
        <v>45627</v>
      </c>
      <c r="E21" s="123"/>
      <c r="F21" s="190"/>
      <c r="G21" s="288"/>
      <c r="H21" s="288"/>
      <c r="I21" s="288"/>
      <c r="J21" s="288"/>
      <c r="K21" s="288"/>
      <c r="L21" s="288"/>
      <c r="M21" s="288"/>
      <c r="N21" s="288"/>
      <c r="O21" s="256">
        <f t="shared" si="41"/>
        <v>0</v>
      </c>
      <c r="Q21" s="75">
        <f t="shared" si="42"/>
        <v>45627</v>
      </c>
      <c r="R21" s="75"/>
      <c r="S21" s="221">
        <f t="shared" si="18"/>
        <v>0</v>
      </c>
      <c r="T21" s="221">
        <f t="shared" si="18"/>
        <v>0</v>
      </c>
      <c r="U21" s="221">
        <f t="shared" si="18"/>
        <v>0</v>
      </c>
      <c r="V21" s="221">
        <f t="shared" si="18"/>
        <v>0</v>
      </c>
      <c r="W21" s="221">
        <f t="shared" si="18"/>
        <v>0</v>
      </c>
      <c r="X21" s="221">
        <f t="shared" si="18"/>
        <v>0</v>
      </c>
      <c r="Y21" s="221">
        <f t="shared" si="18"/>
        <v>0</v>
      </c>
      <c r="Z21" s="221">
        <f t="shared" si="18"/>
        <v>0</v>
      </c>
      <c r="AA21" s="221">
        <f t="shared" si="18"/>
        <v>0</v>
      </c>
      <c r="AB21" s="221">
        <f t="shared" si="19"/>
        <v>0</v>
      </c>
      <c r="AD21" s="75">
        <f t="shared" si="43"/>
        <v>45627</v>
      </c>
      <c r="AE21" s="221">
        <f t="shared" ca="1" si="20"/>
        <v>0</v>
      </c>
      <c r="AF21" s="221">
        <f t="shared" ca="1" si="20"/>
        <v>0</v>
      </c>
      <c r="AG21" s="221">
        <f t="shared" ca="1" si="20"/>
        <v>0</v>
      </c>
      <c r="AH21" s="221">
        <f t="shared" ca="1" si="20"/>
        <v>0</v>
      </c>
      <c r="AI21" s="221">
        <f t="shared" ca="1" si="20"/>
        <v>0</v>
      </c>
      <c r="AJ21" s="221">
        <f t="shared" ca="1" si="20"/>
        <v>0</v>
      </c>
      <c r="AK21" s="221">
        <f t="shared" ca="1" si="20"/>
        <v>0</v>
      </c>
      <c r="AL21" s="221">
        <f t="shared" ca="1" si="20"/>
        <v>0</v>
      </c>
      <c r="AM21" s="221">
        <f t="shared" ca="1" si="20"/>
        <v>0</v>
      </c>
      <c r="AN21" s="221">
        <f t="shared" ca="1" si="20"/>
        <v>0</v>
      </c>
      <c r="AO21" s="221"/>
      <c r="AP21" s="221">
        <f t="shared" ca="1" si="26"/>
        <v>0</v>
      </c>
      <c r="AR21" s="75">
        <f t="shared" si="44"/>
        <v>45627</v>
      </c>
      <c r="AS21" s="272">
        <f ca="1">-AE18</f>
        <v>0</v>
      </c>
      <c r="AT21" s="221">
        <f t="shared" ca="1" si="27"/>
        <v>0</v>
      </c>
      <c r="AU21" s="221">
        <f t="shared" ca="1" si="21"/>
        <v>0</v>
      </c>
      <c r="AV21" s="221">
        <f t="shared" ca="1" si="21"/>
        <v>0</v>
      </c>
      <c r="AW21" s="221">
        <f t="shared" ca="1" si="21"/>
        <v>0</v>
      </c>
      <c r="AX21" s="221">
        <f t="shared" ca="1" si="21"/>
        <v>0</v>
      </c>
      <c r="AY21" s="221">
        <f t="shared" ca="1" si="21"/>
        <v>0</v>
      </c>
      <c r="AZ21" s="221">
        <f t="shared" ca="1" si="21"/>
        <v>0</v>
      </c>
      <c r="BA21" s="221">
        <f t="shared" ca="1" si="21"/>
        <v>0</v>
      </c>
      <c r="BB21" s="221">
        <f t="shared" ca="1" si="21"/>
        <v>0</v>
      </c>
      <c r="BC21" s="221"/>
      <c r="BD21" s="221">
        <f t="shared" ca="1" si="28"/>
        <v>0</v>
      </c>
      <c r="BE21" s="221">
        <f t="shared" ca="1" si="29"/>
        <v>0</v>
      </c>
      <c r="BG21" s="75">
        <f t="shared" si="22"/>
        <v>45627</v>
      </c>
      <c r="BH21" s="75"/>
      <c r="BI21" s="236">
        <f t="shared" si="30"/>
        <v>0</v>
      </c>
      <c r="BJ21" s="236">
        <f t="shared" si="23"/>
        <v>0</v>
      </c>
      <c r="BK21" s="236">
        <f t="shared" si="23"/>
        <v>0</v>
      </c>
      <c r="BL21" s="236">
        <f t="shared" si="23"/>
        <v>0</v>
      </c>
      <c r="BM21" s="236">
        <f t="shared" si="23"/>
        <v>0</v>
      </c>
      <c r="BN21" s="236">
        <f t="shared" si="23"/>
        <v>0</v>
      </c>
      <c r="BO21" s="236">
        <f t="shared" si="23"/>
        <v>0</v>
      </c>
      <c r="BP21" s="236">
        <f t="shared" si="23"/>
        <v>0</v>
      </c>
      <c r="BQ21" s="236">
        <f t="shared" si="23"/>
        <v>0</v>
      </c>
      <c r="BR21" s="236">
        <f t="shared" si="31"/>
        <v>0</v>
      </c>
      <c r="BT21" s="75">
        <f t="shared" si="32"/>
        <v>45627</v>
      </c>
      <c r="BU21" s="75"/>
      <c r="BV21" s="218">
        <f t="shared" si="33"/>
        <v>0</v>
      </c>
      <c r="BW21" s="218">
        <f t="shared" si="33"/>
        <v>0</v>
      </c>
      <c r="BX21" s="218">
        <f t="shared" si="33"/>
        <v>0</v>
      </c>
      <c r="BY21" s="218">
        <f t="shared" si="33"/>
        <v>0</v>
      </c>
      <c r="BZ21" s="218">
        <f t="shared" si="33"/>
        <v>0</v>
      </c>
      <c r="CA21" s="218">
        <f t="shared" si="33"/>
        <v>0</v>
      </c>
      <c r="CB21" s="218">
        <f t="shared" si="34"/>
        <v>0</v>
      </c>
      <c r="CC21" s="218">
        <f t="shared" si="34"/>
        <v>0</v>
      </c>
      <c r="CD21" s="218">
        <f t="shared" si="34"/>
        <v>0</v>
      </c>
      <c r="CG21" s="75">
        <f t="shared" si="35"/>
        <v>45627</v>
      </c>
      <c r="CH21" s="221"/>
      <c r="CI21" s="221">
        <f t="shared" si="24"/>
        <v>0</v>
      </c>
      <c r="CJ21" s="221">
        <f t="shared" si="24"/>
        <v>0</v>
      </c>
      <c r="CK21" s="221">
        <f t="shared" si="24"/>
        <v>0</v>
      </c>
      <c r="CL21" s="221">
        <f t="shared" si="24"/>
        <v>0</v>
      </c>
      <c r="CM21" s="221">
        <f t="shared" si="24"/>
        <v>0</v>
      </c>
      <c r="CN21" s="221">
        <f t="shared" si="24"/>
        <v>0</v>
      </c>
      <c r="CO21" s="221">
        <f t="shared" si="24"/>
        <v>0</v>
      </c>
      <c r="CP21" s="221">
        <f t="shared" si="24"/>
        <v>0</v>
      </c>
      <c r="CQ21" s="221">
        <f t="shared" si="24"/>
        <v>0</v>
      </c>
      <c r="CR21" s="221">
        <f t="shared" si="36"/>
        <v>0</v>
      </c>
      <c r="CT21" s="75">
        <f t="shared" si="37"/>
        <v>45627</v>
      </c>
      <c r="CU21" s="221"/>
      <c r="CV21" s="221">
        <f t="shared" ca="1" si="38"/>
        <v>0</v>
      </c>
      <c r="CW21" s="221">
        <f t="shared" ca="1" si="25"/>
        <v>0</v>
      </c>
      <c r="CX21" s="221">
        <f t="shared" ca="1" si="25"/>
        <v>0</v>
      </c>
      <c r="CY21" s="221">
        <f t="shared" ca="1" si="25"/>
        <v>0</v>
      </c>
      <c r="CZ21" s="221">
        <f t="shared" ca="1" si="25"/>
        <v>0</v>
      </c>
      <c r="DA21" s="221">
        <f t="shared" ca="1" si="25"/>
        <v>0</v>
      </c>
      <c r="DB21" s="221">
        <f t="shared" ca="1" si="25"/>
        <v>0</v>
      </c>
      <c r="DC21" s="221">
        <f t="shared" ca="1" si="25"/>
        <v>0</v>
      </c>
      <c r="DD21" s="221">
        <f t="shared" ca="1" si="25"/>
        <v>0</v>
      </c>
      <c r="DE21" s="221">
        <f t="shared" ca="1" si="39"/>
        <v>0</v>
      </c>
    </row>
    <row r="22" spans="2:109" x14ac:dyDescent="0.25">
      <c r="D22" s="75">
        <f t="shared" si="40"/>
        <v>45992</v>
      </c>
      <c r="E22" s="123"/>
      <c r="F22" s="190"/>
      <c r="G22" s="288"/>
      <c r="H22" s="288"/>
      <c r="I22" s="288"/>
      <c r="J22" s="288"/>
      <c r="K22" s="288"/>
      <c r="L22" s="288"/>
      <c r="M22" s="288"/>
      <c r="N22" s="288"/>
      <c r="O22" s="256">
        <f t="shared" si="41"/>
        <v>0</v>
      </c>
      <c r="Q22" s="75">
        <f t="shared" si="42"/>
        <v>45992</v>
      </c>
      <c r="R22" s="75"/>
      <c r="S22" s="221">
        <f t="shared" si="18"/>
        <v>0</v>
      </c>
      <c r="T22" s="221">
        <f t="shared" si="18"/>
        <v>0</v>
      </c>
      <c r="U22" s="221">
        <f t="shared" si="18"/>
        <v>0</v>
      </c>
      <c r="V22" s="221">
        <f t="shared" si="18"/>
        <v>0</v>
      </c>
      <c r="W22" s="221">
        <f t="shared" si="18"/>
        <v>0</v>
      </c>
      <c r="X22" s="221">
        <f t="shared" si="18"/>
        <v>0</v>
      </c>
      <c r="Y22" s="221">
        <f t="shared" si="18"/>
        <v>0</v>
      </c>
      <c r="Z22" s="221">
        <f t="shared" si="18"/>
        <v>0</v>
      </c>
      <c r="AA22" s="221">
        <f t="shared" si="18"/>
        <v>0</v>
      </c>
      <c r="AB22" s="221">
        <f t="shared" si="19"/>
        <v>0</v>
      </c>
      <c r="AD22" s="75">
        <f t="shared" si="43"/>
        <v>45992</v>
      </c>
      <c r="AE22" s="221">
        <f t="shared" ca="1" si="20"/>
        <v>0</v>
      </c>
      <c r="AF22" s="221">
        <f t="shared" ca="1" si="20"/>
        <v>0</v>
      </c>
      <c r="AG22" s="221">
        <f t="shared" ca="1" si="20"/>
        <v>0</v>
      </c>
      <c r="AH22" s="221">
        <f t="shared" ca="1" si="20"/>
        <v>0</v>
      </c>
      <c r="AI22" s="221">
        <f t="shared" ca="1" si="20"/>
        <v>0</v>
      </c>
      <c r="AJ22" s="221">
        <f t="shared" ca="1" si="20"/>
        <v>0</v>
      </c>
      <c r="AK22" s="221">
        <f t="shared" ca="1" si="20"/>
        <v>0</v>
      </c>
      <c r="AL22" s="221">
        <f t="shared" ca="1" si="20"/>
        <v>0</v>
      </c>
      <c r="AM22" s="221">
        <f t="shared" ca="1" si="20"/>
        <v>0</v>
      </c>
      <c r="AN22" s="221">
        <f t="shared" ca="1" si="20"/>
        <v>0</v>
      </c>
      <c r="AO22" s="221"/>
      <c r="AP22" s="221">
        <f t="shared" ca="1" si="26"/>
        <v>0</v>
      </c>
      <c r="AR22" s="75">
        <f t="shared" si="44"/>
        <v>45992</v>
      </c>
      <c r="AS22" s="75"/>
      <c r="AT22" s="221">
        <f t="shared" ca="1" si="27"/>
        <v>0</v>
      </c>
      <c r="AU22" s="221">
        <f t="shared" ca="1" si="21"/>
        <v>0</v>
      </c>
      <c r="AV22" s="221">
        <f t="shared" ca="1" si="21"/>
        <v>0</v>
      </c>
      <c r="AW22" s="221">
        <f t="shared" ca="1" si="21"/>
        <v>0</v>
      </c>
      <c r="AX22" s="221">
        <f t="shared" ca="1" si="21"/>
        <v>0</v>
      </c>
      <c r="AY22" s="221">
        <f t="shared" ca="1" si="21"/>
        <v>0</v>
      </c>
      <c r="AZ22" s="221">
        <f t="shared" ca="1" si="21"/>
        <v>0</v>
      </c>
      <c r="BA22" s="221">
        <f t="shared" ca="1" si="21"/>
        <v>0</v>
      </c>
      <c r="BB22" s="221">
        <f t="shared" ca="1" si="21"/>
        <v>0</v>
      </c>
      <c r="BC22" s="221"/>
      <c r="BD22" s="221">
        <f t="shared" ca="1" si="28"/>
        <v>0</v>
      </c>
      <c r="BE22" s="221">
        <f t="shared" ca="1" si="29"/>
        <v>0</v>
      </c>
      <c r="BG22" s="75">
        <f t="shared" si="22"/>
        <v>45992</v>
      </c>
      <c r="BH22" s="75"/>
      <c r="BI22" s="236">
        <f t="shared" si="30"/>
        <v>0</v>
      </c>
      <c r="BJ22" s="236">
        <f t="shared" si="23"/>
        <v>0</v>
      </c>
      <c r="BK22" s="236">
        <f t="shared" si="23"/>
        <v>0</v>
      </c>
      <c r="BL22" s="236">
        <f t="shared" si="23"/>
        <v>0</v>
      </c>
      <c r="BM22" s="236">
        <f t="shared" si="23"/>
        <v>0</v>
      </c>
      <c r="BN22" s="236">
        <f t="shared" si="23"/>
        <v>0</v>
      </c>
      <c r="BO22" s="236">
        <f t="shared" si="23"/>
        <v>0</v>
      </c>
      <c r="BP22" s="236">
        <f t="shared" si="23"/>
        <v>0</v>
      </c>
      <c r="BQ22" s="236">
        <f t="shared" si="23"/>
        <v>0</v>
      </c>
      <c r="BR22" s="236">
        <f t="shared" si="31"/>
        <v>0</v>
      </c>
      <c r="BT22" s="75">
        <f t="shared" si="32"/>
        <v>45992</v>
      </c>
      <c r="BU22" s="75"/>
      <c r="BV22" s="218">
        <f t="shared" si="33"/>
        <v>0</v>
      </c>
      <c r="BW22" s="218">
        <f t="shared" si="33"/>
        <v>0</v>
      </c>
      <c r="BX22" s="218">
        <f t="shared" si="33"/>
        <v>0</v>
      </c>
      <c r="BY22" s="218">
        <f t="shared" si="33"/>
        <v>0</v>
      </c>
      <c r="BZ22" s="218">
        <f t="shared" si="33"/>
        <v>0</v>
      </c>
      <c r="CA22" s="218">
        <f t="shared" si="33"/>
        <v>0</v>
      </c>
      <c r="CB22" s="218">
        <f t="shared" si="34"/>
        <v>0</v>
      </c>
      <c r="CC22" s="218">
        <f t="shared" si="34"/>
        <v>0</v>
      </c>
      <c r="CD22" s="218">
        <f t="shared" si="34"/>
        <v>0</v>
      </c>
      <c r="CG22" s="75">
        <f t="shared" si="35"/>
        <v>45992</v>
      </c>
      <c r="CH22" s="221"/>
      <c r="CI22" s="221">
        <f t="shared" si="24"/>
        <v>0</v>
      </c>
      <c r="CJ22" s="221">
        <f t="shared" si="24"/>
        <v>0</v>
      </c>
      <c r="CK22" s="221">
        <f t="shared" si="24"/>
        <v>0</v>
      </c>
      <c r="CL22" s="221">
        <f t="shared" si="24"/>
        <v>0</v>
      </c>
      <c r="CM22" s="221">
        <f t="shared" si="24"/>
        <v>0</v>
      </c>
      <c r="CN22" s="221">
        <f t="shared" si="24"/>
        <v>0</v>
      </c>
      <c r="CO22" s="221">
        <f t="shared" si="24"/>
        <v>0</v>
      </c>
      <c r="CP22" s="221">
        <f t="shared" si="24"/>
        <v>0</v>
      </c>
      <c r="CQ22" s="221">
        <f t="shared" si="24"/>
        <v>0</v>
      </c>
      <c r="CR22" s="221">
        <f t="shared" si="36"/>
        <v>0</v>
      </c>
      <c r="CT22" s="75">
        <f t="shared" si="37"/>
        <v>45992</v>
      </c>
      <c r="CU22" s="221"/>
      <c r="CV22" s="221">
        <f t="shared" ca="1" si="38"/>
        <v>0</v>
      </c>
      <c r="CW22" s="221">
        <f t="shared" ca="1" si="25"/>
        <v>0</v>
      </c>
      <c r="CX22" s="221">
        <f t="shared" ca="1" si="25"/>
        <v>0</v>
      </c>
      <c r="CY22" s="221">
        <f t="shared" ca="1" si="25"/>
        <v>0</v>
      </c>
      <c r="CZ22" s="221">
        <f t="shared" ca="1" si="25"/>
        <v>0</v>
      </c>
      <c r="DA22" s="221">
        <f t="shared" ca="1" si="25"/>
        <v>0</v>
      </c>
      <c r="DB22" s="221">
        <f t="shared" ca="1" si="25"/>
        <v>0</v>
      </c>
      <c r="DC22" s="221">
        <f t="shared" ca="1" si="25"/>
        <v>0</v>
      </c>
      <c r="DD22" s="221">
        <f t="shared" ca="1" si="25"/>
        <v>0</v>
      </c>
      <c r="DE22" s="221">
        <f t="shared" ca="1" si="39"/>
        <v>0</v>
      </c>
    </row>
    <row r="23" spans="2:109" x14ac:dyDescent="0.25">
      <c r="D23" s="75">
        <f t="shared" si="40"/>
        <v>46357</v>
      </c>
      <c r="E23" s="123"/>
      <c r="F23" s="190"/>
      <c r="G23" s="288"/>
      <c r="H23" s="288"/>
      <c r="I23" s="288"/>
      <c r="J23" s="288"/>
      <c r="K23" s="288"/>
      <c r="L23" s="288"/>
      <c r="M23" s="288"/>
      <c r="N23" s="288"/>
      <c r="O23" s="256">
        <f t="shared" si="41"/>
        <v>0</v>
      </c>
      <c r="Q23" s="75">
        <f t="shared" si="42"/>
        <v>46357</v>
      </c>
      <c r="R23" s="75"/>
      <c r="S23" s="221">
        <f t="shared" si="18"/>
        <v>0</v>
      </c>
      <c r="T23" s="221">
        <f t="shared" si="18"/>
        <v>0</v>
      </c>
      <c r="U23" s="221">
        <f t="shared" si="18"/>
        <v>0</v>
      </c>
      <c r="V23" s="221">
        <f t="shared" si="18"/>
        <v>0</v>
      </c>
      <c r="W23" s="221">
        <f t="shared" si="18"/>
        <v>0</v>
      </c>
      <c r="X23" s="221">
        <f t="shared" si="18"/>
        <v>0</v>
      </c>
      <c r="Y23" s="221">
        <f t="shared" si="18"/>
        <v>0</v>
      </c>
      <c r="Z23" s="221">
        <f t="shared" si="18"/>
        <v>0</v>
      </c>
      <c r="AA23" s="221">
        <f t="shared" si="18"/>
        <v>0</v>
      </c>
      <c r="AB23" s="221">
        <f t="shared" si="19"/>
        <v>0</v>
      </c>
      <c r="AD23" s="75">
        <f t="shared" si="43"/>
        <v>46357</v>
      </c>
      <c r="AE23" s="221">
        <f t="shared" ca="1" si="20"/>
        <v>0</v>
      </c>
      <c r="AF23" s="221">
        <f t="shared" ca="1" si="20"/>
        <v>0</v>
      </c>
      <c r="AG23" s="221">
        <f t="shared" ca="1" si="20"/>
        <v>0</v>
      </c>
      <c r="AH23" s="221">
        <f t="shared" ca="1" si="20"/>
        <v>0</v>
      </c>
      <c r="AI23" s="221">
        <f t="shared" ca="1" si="20"/>
        <v>0</v>
      </c>
      <c r="AJ23" s="221">
        <f t="shared" ca="1" si="20"/>
        <v>0</v>
      </c>
      <c r="AK23" s="221">
        <f t="shared" ca="1" si="20"/>
        <v>0</v>
      </c>
      <c r="AL23" s="221">
        <f t="shared" ca="1" si="20"/>
        <v>0</v>
      </c>
      <c r="AM23" s="221">
        <f t="shared" ca="1" si="20"/>
        <v>0</v>
      </c>
      <c r="AN23" s="221">
        <f t="shared" ca="1" si="20"/>
        <v>0</v>
      </c>
      <c r="AO23" s="221"/>
      <c r="AP23" s="221">
        <f t="shared" ca="1" si="26"/>
        <v>0</v>
      </c>
      <c r="AR23" s="75">
        <f t="shared" si="44"/>
        <v>46357</v>
      </c>
      <c r="AS23" s="75"/>
      <c r="AT23" s="221">
        <f t="shared" ca="1" si="27"/>
        <v>0</v>
      </c>
      <c r="AU23" s="221">
        <f t="shared" ca="1" si="21"/>
        <v>0</v>
      </c>
      <c r="AV23" s="221">
        <f t="shared" ca="1" si="21"/>
        <v>0</v>
      </c>
      <c r="AW23" s="221">
        <f t="shared" ca="1" si="21"/>
        <v>0</v>
      </c>
      <c r="AX23" s="221">
        <f t="shared" ca="1" si="21"/>
        <v>0</v>
      </c>
      <c r="AY23" s="221">
        <f t="shared" ca="1" si="21"/>
        <v>0</v>
      </c>
      <c r="AZ23" s="221">
        <f t="shared" ca="1" si="21"/>
        <v>0</v>
      </c>
      <c r="BA23" s="221">
        <f t="shared" ca="1" si="21"/>
        <v>0</v>
      </c>
      <c r="BB23" s="221">
        <f t="shared" ca="1" si="21"/>
        <v>0</v>
      </c>
      <c r="BC23" s="221"/>
      <c r="BD23" s="221">
        <f t="shared" ca="1" si="28"/>
        <v>0</v>
      </c>
      <c r="BE23" s="221">
        <f t="shared" ca="1" si="29"/>
        <v>0</v>
      </c>
      <c r="BG23" s="75">
        <f t="shared" si="22"/>
        <v>46357</v>
      </c>
      <c r="BH23" s="75"/>
      <c r="BI23" s="236">
        <f t="shared" si="30"/>
        <v>0</v>
      </c>
      <c r="BJ23" s="236">
        <f t="shared" si="23"/>
        <v>0</v>
      </c>
      <c r="BK23" s="236">
        <f t="shared" si="23"/>
        <v>0</v>
      </c>
      <c r="BL23" s="236">
        <f t="shared" si="23"/>
        <v>0</v>
      </c>
      <c r="BM23" s="236">
        <f t="shared" si="23"/>
        <v>0</v>
      </c>
      <c r="BN23" s="236">
        <f t="shared" si="23"/>
        <v>0</v>
      </c>
      <c r="BO23" s="236">
        <f t="shared" si="23"/>
        <v>0</v>
      </c>
      <c r="BP23" s="236">
        <f t="shared" si="23"/>
        <v>0</v>
      </c>
      <c r="BQ23" s="236">
        <f t="shared" si="23"/>
        <v>0</v>
      </c>
      <c r="BR23" s="236">
        <f t="shared" si="31"/>
        <v>0</v>
      </c>
      <c r="BT23" s="75">
        <f t="shared" si="32"/>
        <v>46357</v>
      </c>
      <c r="BU23" s="75"/>
      <c r="BV23" s="218">
        <f t="shared" si="33"/>
        <v>0</v>
      </c>
      <c r="BW23" s="218">
        <f t="shared" si="33"/>
        <v>0</v>
      </c>
      <c r="BX23" s="218">
        <f t="shared" si="33"/>
        <v>0</v>
      </c>
      <c r="BY23" s="218">
        <f t="shared" si="33"/>
        <v>0</v>
      </c>
      <c r="BZ23" s="218">
        <f t="shared" si="33"/>
        <v>0</v>
      </c>
      <c r="CA23" s="218">
        <f t="shared" si="33"/>
        <v>0</v>
      </c>
      <c r="CB23" s="218">
        <f t="shared" si="34"/>
        <v>0</v>
      </c>
      <c r="CC23" s="218">
        <f t="shared" si="34"/>
        <v>0</v>
      </c>
      <c r="CD23" s="218">
        <f t="shared" si="34"/>
        <v>0</v>
      </c>
      <c r="CG23" s="75">
        <f t="shared" si="35"/>
        <v>46357</v>
      </c>
      <c r="CH23" s="221"/>
      <c r="CI23" s="221">
        <f t="shared" si="24"/>
        <v>0</v>
      </c>
      <c r="CJ23" s="221">
        <f t="shared" si="24"/>
        <v>0</v>
      </c>
      <c r="CK23" s="221">
        <f t="shared" si="24"/>
        <v>0</v>
      </c>
      <c r="CL23" s="221">
        <f t="shared" si="24"/>
        <v>0</v>
      </c>
      <c r="CM23" s="221">
        <f t="shared" si="24"/>
        <v>0</v>
      </c>
      <c r="CN23" s="221">
        <f t="shared" si="24"/>
        <v>0</v>
      </c>
      <c r="CO23" s="221">
        <f t="shared" si="24"/>
        <v>0</v>
      </c>
      <c r="CP23" s="221">
        <f t="shared" si="24"/>
        <v>0</v>
      </c>
      <c r="CQ23" s="221">
        <f t="shared" si="24"/>
        <v>0</v>
      </c>
      <c r="CR23" s="221">
        <f t="shared" si="36"/>
        <v>0</v>
      </c>
      <c r="CT23" s="75">
        <f t="shared" si="37"/>
        <v>46357</v>
      </c>
      <c r="CU23" s="221"/>
      <c r="CV23" s="221">
        <f t="shared" ca="1" si="38"/>
        <v>0</v>
      </c>
      <c r="CW23" s="221">
        <f t="shared" ca="1" si="25"/>
        <v>0</v>
      </c>
      <c r="CX23" s="221">
        <f t="shared" ca="1" si="25"/>
        <v>0</v>
      </c>
      <c r="CY23" s="221">
        <f t="shared" ca="1" si="25"/>
        <v>0</v>
      </c>
      <c r="CZ23" s="221">
        <f t="shared" ca="1" si="25"/>
        <v>0</v>
      </c>
      <c r="DA23" s="221">
        <f t="shared" ca="1" si="25"/>
        <v>0</v>
      </c>
      <c r="DB23" s="221">
        <f t="shared" ca="1" si="25"/>
        <v>0</v>
      </c>
      <c r="DC23" s="221">
        <f t="shared" ca="1" si="25"/>
        <v>0</v>
      </c>
      <c r="DD23" s="221">
        <f t="shared" ca="1" si="25"/>
        <v>0</v>
      </c>
      <c r="DE23" s="221">
        <f t="shared" ca="1" si="39"/>
        <v>0</v>
      </c>
    </row>
    <row r="24" spans="2:109" x14ac:dyDescent="0.25">
      <c r="D24" s="75">
        <f t="shared" si="40"/>
        <v>46722</v>
      </c>
      <c r="E24" s="123"/>
      <c r="F24" s="190"/>
      <c r="G24" s="288"/>
      <c r="H24" s="288"/>
      <c r="I24" s="288"/>
      <c r="J24" s="288"/>
      <c r="K24" s="288"/>
      <c r="L24" s="288"/>
      <c r="M24" s="288"/>
      <c r="N24" s="288"/>
      <c r="O24" s="256">
        <f t="shared" si="41"/>
        <v>0</v>
      </c>
      <c r="Q24" s="75">
        <f t="shared" si="42"/>
        <v>46722</v>
      </c>
      <c r="R24" s="75"/>
      <c r="S24" s="221">
        <f t="shared" si="18"/>
        <v>0</v>
      </c>
      <c r="T24" s="221">
        <f t="shared" si="18"/>
        <v>0</v>
      </c>
      <c r="U24" s="221">
        <f t="shared" si="18"/>
        <v>0</v>
      </c>
      <c r="V24" s="221">
        <f t="shared" si="18"/>
        <v>0</v>
      </c>
      <c r="W24" s="221">
        <f t="shared" si="18"/>
        <v>0</v>
      </c>
      <c r="X24" s="221">
        <f t="shared" si="18"/>
        <v>0</v>
      </c>
      <c r="Y24" s="221">
        <f t="shared" si="18"/>
        <v>0</v>
      </c>
      <c r="Z24" s="221">
        <f t="shared" si="18"/>
        <v>0</v>
      </c>
      <c r="AA24" s="221">
        <f t="shared" si="18"/>
        <v>0</v>
      </c>
      <c r="AB24" s="221">
        <f t="shared" si="19"/>
        <v>0</v>
      </c>
      <c r="AD24" s="75">
        <f t="shared" si="43"/>
        <v>46722</v>
      </c>
      <c r="AE24" s="221">
        <f t="shared" ca="1" si="20"/>
        <v>0</v>
      </c>
      <c r="AF24" s="221">
        <f t="shared" ca="1" si="20"/>
        <v>0</v>
      </c>
      <c r="AG24" s="221">
        <f t="shared" ca="1" si="20"/>
        <v>0</v>
      </c>
      <c r="AH24" s="221">
        <f t="shared" ca="1" si="20"/>
        <v>0</v>
      </c>
      <c r="AI24" s="221">
        <f t="shared" ca="1" si="20"/>
        <v>0</v>
      </c>
      <c r="AJ24" s="221">
        <f t="shared" ca="1" si="20"/>
        <v>0</v>
      </c>
      <c r="AK24" s="221">
        <f t="shared" ca="1" si="20"/>
        <v>0</v>
      </c>
      <c r="AL24" s="221">
        <f t="shared" ca="1" si="20"/>
        <v>0</v>
      </c>
      <c r="AM24" s="221">
        <f t="shared" ca="1" si="20"/>
        <v>0</v>
      </c>
      <c r="AN24" s="221">
        <f t="shared" ca="1" si="20"/>
        <v>0</v>
      </c>
      <c r="AO24" s="221"/>
      <c r="AP24" s="221">
        <f t="shared" ca="1" si="26"/>
        <v>0</v>
      </c>
      <c r="AR24" s="75">
        <f t="shared" si="44"/>
        <v>46722</v>
      </c>
      <c r="AS24" s="75"/>
      <c r="AT24" s="221">
        <f t="shared" ca="1" si="27"/>
        <v>0</v>
      </c>
      <c r="AU24" s="221">
        <f t="shared" ca="1" si="21"/>
        <v>0</v>
      </c>
      <c r="AV24" s="221">
        <f t="shared" ca="1" si="21"/>
        <v>0</v>
      </c>
      <c r="AW24" s="221">
        <f t="shared" ca="1" si="21"/>
        <v>0</v>
      </c>
      <c r="AX24" s="221">
        <f t="shared" ca="1" si="21"/>
        <v>0</v>
      </c>
      <c r="AY24" s="221">
        <f t="shared" ca="1" si="21"/>
        <v>0</v>
      </c>
      <c r="AZ24" s="221">
        <f t="shared" ca="1" si="21"/>
        <v>0</v>
      </c>
      <c r="BA24" s="221">
        <f t="shared" ca="1" si="21"/>
        <v>0</v>
      </c>
      <c r="BB24" s="221">
        <f t="shared" ca="1" si="21"/>
        <v>0</v>
      </c>
      <c r="BC24" s="221"/>
      <c r="BD24" s="221">
        <f t="shared" ca="1" si="28"/>
        <v>0</v>
      </c>
      <c r="BE24" s="221">
        <f t="shared" ca="1" si="29"/>
        <v>0</v>
      </c>
      <c r="BG24" s="75">
        <f t="shared" si="22"/>
        <v>46722</v>
      </c>
      <c r="BH24" s="75"/>
      <c r="BI24" s="236">
        <f t="shared" si="30"/>
        <v>0</v>
      </c>
      <c r="BJ24" s="236">
        <f t="shared" si="23"/>
        <v>0</v>
      </c>
      <c r="BK24" s="236">
        <f t="shared" si="23"/>
        <v>0</v>
      </c>
      <c r="BL24" s="236">
        <f t="shared" si="23"/>
        <v>0</v>
      </c>
      <c r="BM24" s="236">
        <f t="shared" si="23"/>
        <v>0</v>
      </c>
      <c r="BN24" s="236">
        <f t="shared" si="23"/>
        <v>0</v>
      </c>
      <c r="BO24" s="236">
        <f t="shared" si="23"/>
        <v>0</v>
      </c>
      <c r="BP24" s="236">
        <f t="shared" si="23"/>
        <v>0</v>
      </c>
      <c r="BQ24" s="236">
        <f t="shared" si="23"/>
        <v>0</v>
      </c>
      <c r="BR24" s="236">
        <f t="shared" si="31"/>
        <v>0</v>
      </c>
      <c r="BT24" s="75">
        <f t="shared" si="32"/>
        <v>46722</v>
      </c>
      <c r="BU24" s="75"/>
      <c r="BV24" s="218">
        <f t="shared" si="33"/>
        <v>0</v>
      </c>
      <c r="BW24" s="218">
        <f t="shared" si="33"/>
        <v>0</v>
      </c>
      <c r="BX24" s="218">
        <f t="shared" si="33"/>
        <v>0</v>
      </c>
      <c r="BY24" s="218">
        <f t="shared" si="33"/>
        <v>0</v>
      </c>
      <c r="BZ24" s="218">
        <f t="shared" si="33"/>
        <v>0</v>
      </c>
      <c r="CA24" s="218">
        <f t="shared" si="33"/>
        <v>0</v>
      </c>
      <c r="CB24" s="218">
        <f t="shared" si="34"/>
        <v>0</v>
      </c>
      <c r="CC24" s="218">
        <f t="shared" si="34"/>
        <v>0</v>
      </c>
      <c r="CD24" s="218">
        <f t="shared" si="34"/>
        <v>0</v>
      </c>
      <c r="CG24" s="75">
        <f t="shared" si="35"/>
        <v>46722</v>
      </c>
      <c r="CH24" s="221"/>
      <c r="CI24" s="221">
        <f t="shared" si="24"/>
        <v>0</v>
      </c>
      <c r="CJ24" s="221">
        <f t="shared" si="24"/>
        <v>0</v>
      </c>
      <c r="CK24" s="221">
        <f t="shared" si="24"/>
        <v>0</v>
      </c>
      <c r="CL24" s="221">
        <f t="shared" si="24"/>
        <v>0</v>
      </c>
      <c r="CM24" s="221">
        <f t="shared" si="24"/>
        <v>0</v>
      </c>
      <c r="CN24" s="221">
        <f t="shared" si="24"/>
        <v>0</v>
      </c>
      <c r="CO24" s="221">
        <f t="shared" si="24"/>
        <v>0</v>
      </c>
      <c r="CP24" s="221">
        <f t="shared" si="24"/>
        <v>0</v>
      </c>
      <c r="CQ24" s="221">
        <f t="shared" si="24"/>
        <v>0</v>
      </c>
      <c r="CR24" s="221">
        <f t="shared" si="36"/>
        <v>0</v>
      </c>
      <c r="CT24" s="75">
        <f t="shared" si="37"/>
        <v>46722</v>
      </c>
      <c r="CU24" s="221"/>
      <c r="CV24" s="221">
        <f t="shared" ca="1" si="38"/>
        <v>0</v>
      </c>
      <c r="CW24" s="221">
        <f t="shared" ca="1" si="25"/>
        <v>0</v>
      </c>
      <c r="CX24" s="221">
        <f t="shared" ca="1" si="25"/>
        <v>0</v>
      </c>
      <c r="CY24" s="221">
        <f t="shared" ca="1" si="25"/>
        <v>0</v>
      </c>
      <c r="CZ24" s="221">
        <f t="shared" ca="1" si="25"/>
        <v>0</v>
      </c>
      <c r="DA24" s="221">
        <f t="shared" ca="1" si="25"/>
        <v>0</v>
      </c>
      <c r="DB24" s="221">
        <f t="shared" ca="1" si="25"/>
        <v>0</v>
      </c>
      <c r="DC24" s="221">
        <f t="shared" ca="1" si="25"/>
        <v>0</v>
      </c>
      <c r="DD24" s="221">
        <f t="shared" ca="1" si="25"/>
        <v>0</v>
      </c>
      <c r="DE24" s="221">
        <f t="shared" ca="1" si="39"/>
        <v>0</v>
      </c>
    </row>
    <row r="25" spans="2:109" x14ac:dyDescent="0.25">
      <c r="D25" s="75">
        <f t="shared" si="40"/>
        <v>47088</v>
      </c>
      <c r="E25" s="123"/>
      <c r="F25" s="288"/>
      <c r="G25" s="288"/>
      <c r="H25" s="288"/>
      <c r="I25" s="288"/>
      <c r="J25" s="288"/>
      <c r="K25" s="288"/>
      <c r="L25" s="288"/>
      <c r="M25" s="288"/>
      <c r="N25" s="288"/>
      <c r="O25" s="256">
        <f t="shared" si="41"/>
        <v>0</v>
      </c>
      <c r="Q25" s="75">
        <f t="shared" si="42"/>
        <v>47088</v>
      </c>
      <c r="R25" s="75"/>
      <c r="S25" s="221">
        <f t="shared" si="18"/>
        <v>0</v>
      </c>
      <c r="T25" s="221">
        <f t="shared" si="18"/>
        <v>0</v>
      </c>
      <c r="U25" s="221">
        <f t="shared" si="18"/>
        <v>0</v>
      </c>
      <c r="V25" s="221">
        <f t="shared" si="18"/>
        <v>0</v>
      </c>
      <c r="W25" s="221">
        <f t="shared" si="18"/>
        <v>0</v>
      </c>
      <c r="X25" s="221">
        <f t="shared" si="18"/>
        <v>0</v>
      </c>
      <c r="Y25" s="221">
        <f t="shared" si="18"/>
        <v>0</v>
      </c>
      <c r="Z25" s="221">
        <f t="shared" si="18"/>
        <v>0</v>
      </c>
      <c r="AA25" s="221">
        <f t="shared" si="18"/>
        <v>0</v>
      </c>
      <c r="AB25" s="221">
        <f t="shared" si="19"/>
        <v>0</v>
      </c>
      <c r="AD25" s="75">
        <f t="shared" si="43"/>
        <v>47088</v>
      </c>
      <c r="AE25" s="221">
        <f t="shared" ca="1" si="20"/>
        <v>0</v>
      </c>
      <c r="AF25" s="221">
        <f t="shared" ca="1" si="20"/>
        <v>0</v>
      </c>
      <c r="AG25" s="221">
        <f t="shared" ca="1" si="20"/>
        <v>0</v>
      </c>
      <c r="AH25" s="221">
        <f t="shared" ca="1" si="20"/>
        <v>0</v>
      </c>
      <c r="AI25" s="221">
        <f t="shared" ca="1" si="20"/>
        <v>0</v>
      </c>
      <c r="AJ25" s="221">
        <f t="shared" ca="1" si="20"/>
        <v>0</v>
      </c>
      <c r="AK25" s="221">
        <f t="shared" ca="1" si="20"/>
        <v>0</v>
      </c>
      <c r="AL25" s="221">
        <f t="shared" ca="1" si="20"/>
        <v>0</v>
      </c>
      <c r="AM25" s="221">
        <f t="shared" ca="1" si="20"/>
        <v>0</v>
      </c>
      <c r="AN25" s="221">
        <f t="shared" ca="1" si="20"/>
        <v>0</v>
      </c>
      <c r="AO25" s="221"/>
      <c r="AP25" s="221">
        <f t="shared" ca="1" si="26"/>
        <v>0</v>
      </c>
      <c r="AR25" s="75">
        <f t="shared" si="44"/>
        <v>47088</v>
      </c>
      <c r="AS25" s="75"/>
      <c r="AT25" s="221">
        <f t="shared" ca="1" si="27"/>
        <v>0</v>
      </c>
      <c r="AU25" s="221">
        <f t="shared" ca="1" si="21"/>
        <v>0</v>
      </c>
      <c r="AV25" s="221">
        <f t="shared" ca="1" si="21"/>
        <v>0</v>
      </c>
      <c r="AW25" s="221">
        <f t="shared" ca="1" si="21"/>
        <v>0</v>
      </c>
      <c r="AX25" s="221">
        <f t="shared" ca="1" si="21"/>
        <v>0</v>
      </c>
      <c r="AY25" s="221">
        <f t="shared" ca="1" si="21"/>
        <v>0</v>
      </c>
      <c r="AZ25" s="221">
        <f t="shared" ca="1" si="21"/>
        <v>0</v>
      </c>
      <c r="BA25" s="221">
        <f t="shared" ca="1" si="21"/>
        <v>0</v>
      </c>
      <c r="BB25" s="221">
        <f t="shared" ca="1" si="21"/>
        <v>0</v>
      </c>
      <c r="BC25" s="221"/>
      <c r="BD25" s="221">
        <f t="shared" ca="1" si="28"/>
        <v>0</v>
      </c>
      <c r="BE25" s="221">
        <f t="shared" ca="1" si="29"/>
        <v>0</v>
      </c>
      <c r="BG25" s="75">
        <f t="shared" si="22"/>
        <v>47088</v>
      </c>
      <c r="BH25" s="75"/>
      <c r="BI25" s="236">
        <f t="shared" si="30"/>
        <v>0</v>
      </c>
      <c r="BJ25" s="236">
        <f t="shared" si="23"/>
        <v>0</v>
      </c>
      <c r="BK25" s="236">
        <f t="shared" si="23"/>
        <v>0</v>
      </c>
      <c r="BL25" s="236">
        <f t="shared" si="23"/>
        <v>0</v>
      </c>
      <c r="BM25" s="236">
        <f t="shared" si="23"/>
        <v>0</v>
      </c>
      <c r="BN25" s="236">
        <f t="shared" si="23"/>
        <v>0</v>
      </c>
      <c r="BO25" s="236">
        <f t="shared" si="23"/>
        <v>0</v>
      </c>
      <c r="BP25" s="236">
        <f t="shared" si="23"/>
        <v>0</v>
      </c>
      <c r="BQ25" s="236">
        <f t="shared" si="23"/>
        <v>0</v>
      </c>
      <c r="BR25" s="236">
        <f t="shared" si="31"/>
        <v>0</v>
      </c>
      <c r="BT25" s="75">
        <f t="shared" si="32"/>
        <v>47088</v>
      </c>
      <c r="BU25" s="75"/>
      <c r="BV25" s="218">
        <f t="shared" si="33"/>
        <v>0</v>
      </c>
      <c r="BW25" s="218">
        <f t="shared" si="33"/>
        <v>0</v>
      </c>
      <c r="BX25" s="218">
        <f t="shared" si="33"/>
        <v>0</v>
      </c>
      <c r="BY25" s="218">
        <f t="shared" si="33"/>
        <v>0</v>
      </c>
      <c r="BZ25" s="218">
        <f t="shared" si="33"/>
        <v>0</v>
      </c>
      <c r="CA25" s="218">
        <f t="shared" si="33"/>
        <v>0</v>
      </c>
      <c r="CB25" s="218">
        <f t="shared" si="34"/>
        <v>0</v>
      </c>
      <c r="CC25" s="218">
        <f t="shared" si="34"/>
        <v>0</v>
      </c>
      <c r="CD25" s="218">
        <f t="shared" si="34"/>
        <v>0</v>
      </c>
      <c r="CG25" s="75">
        <f t="shared" si="35"/>
        <v>47088</v>
      </c>
      <c r="CH25" s="221"/>
      <c r="CI25" s="221">
        <f t="shared" si="24"/>
        <v>0</v>
      </c>
      <c r="CJ25" s="221">
        <f t="shared" si="24"/>
        <v>0</v>
      </c>
      <c r="CK25" s="221">
        <f t="shared" si="24"/>
        <v>0</v>
      </c>
      <c r="CL25" s="221">
        <f t="shared" si="24"/>
        <v>0</v>
      </c>
      <c r="CM25" s="221">
        <f t="shared" si="24"/>
        <v>0</v>
      </c>
      <c r="CN25" s="221">
        <f t="shared" si="24"/>
        <v>0</v>
      </c>
      <c r="CO25" s="221">
        <f t="shared" si="24"/>
        <v>0</v>
      </c>
      <c r="CP25" s="221">
        <f t="shared" si="24"/>
        <v>0</v>
      </c>
      <c r="CQ25" s="221">
        <f t="shared" si="24"/>
        <v>0</v>
      </c>
      <c r="CR25" s="221">
        <f t="shared" si="36"/>
        <v>0</v>
      </c>
      <c r="CT25" s="75">
        <f t="shared" si="37"/>
        <v>47088</v>
      </c>
      <c r="CU25" s="221"/>
      <c r="CV25" s="221">
        <f t="shared" ca="1" si="38"/>
        <v>0</v>
      </c>
      <c r="CW25" s="221">
        <f t="shared" ca="1" si="25"/>
        <v>0</v>
      </c>
      <c r="CX25" s="221">
        <f t="shared" ca="1" si="25"/>
        <v>0</v>
      </c>
      <c r="CY25" s="221">
        <f t="shared" ca="1" si="25"/>
        <v>0</v>
      </c>
      <c r="CZ25" s="221">
        <f t="shared" ca="1" si="25"/>
        <v>0</v>
      </c>
      <c r="DA25" s="221">
        <f t="shared" ca="1" si="25"/>
        <v>0</v>
      </c>
      <c r="DB25" s="221">
        <f t="shared" ca="1" si="25"/>
        <v>0</v>
      </c>
      <c r="DC25" s="221">
        <f t="shared" ca="1" si="25"/>
        <v>0</v>
      </c>
      <c r="DD25" s="221">
        <f t="shared" ca="1" si="25"/>
        <v>0</v>
      </c>
      <c r="DE25" s="221">
        <f t="shared" ca="1" si="39"/>
        <v>0</v>
      </c>
    </row>
    <row r="26" spans="2:109" x14ac:dyDescent="0.25">
      <c r="D26" s="75">
        <f t="shared" si="40"/>
        <v>47453</v>
      </c>
      <c r="E26" s="123"/>
      <c r="F26" s="288"/>
      <c r="G26" s="288"/>
      <c r="H26" s="288"/>
      <c r="I26" s="288"/>
      <c r="J26" s="288"/>
      <c r="K26" s="288"/>
      <c r="L26" s="288"/>
      <c r="M26" s="288"/>
      <c r="N26" s="288"/>
      <c r="O26" s="256">
        <f t="shared" si="41"/>
        <v>0</v>
      </c>
      <c r="Q26" s="75">
        <f t="shared" si="42"/>
        <v>47453</v>
      </c>
      <c r="R26" s="75"/>
      <c r="S26" s="221">
        <f t="shared" si="18"/>
        <v>0</v>
      </c>
      <c r="T26" s="221">
        <f t="shared" si="18"/>
        <v>0</v>
      </c>
      <c r="U26" s="221">
        <f t="shared" si="18"/>
        <v>0</v>
      </c>
      <c r="V26" s="221">
        <f t="shared" si="18"/>
        <v>0</v>
      </c>
      <c r="W26" s="221">
        <f t="shared" si="18"/>
        <v>0</v>
      </c>
      <c r="X26" s="221">
        <f t="shared" si="18"/>
        <v>0</v>
      </c>
      <c r="Y26" s="221">
        <f t="shared" si="18"/>
        <v>0</v>
      </c>
      <c r="Z26" s="221">
        <f t="shared" si="18"/>
        <v>0</v>
      </c>
      <c r="AA26" s="221">
        <f t="shared" si="18"/>
        <v>0</v>
      </c>
      <c r="AB26" s="221">
        <f t="shared" si="19"/>
        <v>0</v>
      </c>
      <c r="AD26" s="75">
        <f t="shared" si="43"/>
        <v>47453</v>
      </c>
      <c r="AE26" s="221">
        <f t="shared" ca="1" si="20"/>
        <v>0</v>
      </c>
      <c r="AF26" s="221">
        <f t="shared" ca="1" si="20"/>
        <v>0</v>
      </c>
      <c r="AG26" s="221">
        <f t="shared" ca="1" si="20"/>
        <v>0</v>
      </c>
      <c r="AH26" s="221">
        <f t="shared" ca="1" si="20"/>
        <v>0</v>
      </c>
      <c r="AI26" s="221">
        <f t="shared" ca="1" si="20"/>
        <v>0</v>
      </c>
      <c r="AJ26" s="221">
        <f t="shared" ca="1" si="20"/>
        <v>0</v>
      </c>
      <c r="AK26" s="221">
        <f t="shared" ca="1" si="20"/>
        <v>0</v>
      </c>
      <c r="AL26" s="221">
        <f t="shared" ca="1" si="20"/>
        <v>0</v>
      </c>
      <c r="AM26" s="221">
        <f t="shared" ca="1" si="20"/>
        <v>0</v>
      </c>
      <c r="AN26" s="221">
        <f t="shared" ca="1" si="20"/>
        <v>0</v>
      </c>
      <c r="AO26" s="221"/>
      <c r="AP26" s="221">
        <f t="shared" ca="1" si="26"/>
        <v>0</v>
      </c>
      <c r="AR26" s="75">
        <f t="shared" si="44"/>
        <v>47453</v>
      </c>
      <c r="AS26" s="75"/>
      <c r="AT26" s="221">
        <f t="shared" ca="1" si="27"/>
        <v>0</v>
      </c>
      <c r="AU26" s="221">
        <f t="shared" ca="1" si="21"/>
        <v>0</v>
      </c>
      <c r="AV26" s="221">
        <f t="shared" ca="1" si="21"/>
        <v>0</v>
      </c>
      <c r="AW26" s="221">
        <f t="shared" ca="1" si="21"/>
        <v>0</v>
      </c>
      <c r="AX26" s="221">
        <f t="shared" ca="1" si="21"/>
        <v>0</v>
      </c>
      <c r="AY26" s="221">
        <f t="shared" ca="1" si="21"/>
        <v>0</v>
      </c>
      <c r="AZ26" s="221">
        <f t="shared" ca="1" si="21"/>
        <v>0</v>
      </c>
      <c r="BA26" s="221">
        <f t="shared" ca="1" si="21"/>
        <v>0</v>
      </c>
      <c r="BB26" s="221">
        <f t="shared" ca="1" si="21"/>
        <v>0</v>
      </c>
      <c r="BC26" s="221"/>
      <c r="BD26" s="221">
        <f t="shared" ca="1" si="28"/>
        <v>0</v>
      </c>
      <c r="BE26" s="221">
        <f t="shared" ca="1" si="29"/>
        <v>0</v>
      </c>
      <c r="BG26" s="75">
        <f t="shared" si="22"/>
        <v>47453</v>
      </c>
      <c r="BH26" s="75"/>
      <c r="BI26" s="236">
        <f t="shared" si="30"/>
        <v>0</v>
      </c>
      <c r="BJ26" s="236">
        <f t="shared" si="23"/>
        <v>0</v>
      </c>
      <c r="BK26" s="236">
        <f t="shared" si="23"/>
        <v>0</v>
      </c>
      <c r="BL26" s="236">
        <f t="shared" si="23"/>
        <v>0</v>
      </c>
      <c r="BM26" s="236">
        <f t="shared" si="23"/>
        <v>0</v>
      </c>
      <c r="BN26" s="236">
        <f t="shared" si="23"/>
        <v>0</v>
      </c>
      <c r="BO26" s="236">
        <f t="shared" si="23"/>
        <v>0</v>
      </c>
      <c r="BP26" s="236">
        <f t="shared" si="23"/>
        <v>0</v>
      </c>
      <c r="BQ26" s="236">
        <f t="shared" si="23"/>
        <v>0</v>
      </c>
      <c r="BR26" s="236">
        <f t="shared" si="31"/>
        <v>0</v>
      </c>
      <c r="BT26" s="75">
        <f t="shared" si="32"/>
        <v>47453</v>
      </c>
      <c r="BU26" s="75"/>
      <c r="BV26" s="218">
        <f t="shared" si="33"/>
        <v>0</v>
      </c>
      <c r="BW26" s="218">
        <f t="shared" si="33"/>
        <v>0</v>
      </c>
      <c r="BX26" s="218">
        <f t="shared" si="33"/>
        <v>0</v>
      </c>
      <c r="BY26" s="218">
        <f t="shared" si="33"/>
        <v>0</v>
      </c>
      <c r="BZ26" s="218">
        <f t="shared" si="33"/>
        <v>0</v>
      </c>
      <c r="CA26" s="218">
        <f t="shared" si="33"/>
        <v>0</v>
      </c>
      <c r="CB26" s="218">
        <f t="shared" si="34"/>
        <v>0</v>
      </c>
      <c r="CC26" s="218">
        <f t="shared" si="34"/>
        <v>0</v>
      </c>
      <c r="CD26" s="218">
        <f t="shared" si="34"/>
        <v>0</v>
      </c>
      <c r="CG26" s="75">
        <f t="shared" si="35"/>
        <v>47453</v>
      </c>
      <c r="CH26" s="221"/>
      <c r="CI26" s="221">
        <f t="shared" si="24"/>
        <v>0</v>
      </c>
      <c r="CJ26" s="221">
        <f t="shared" si="24"/>
        <v>0</v>
      </c>
      <c r="CK26" s="221">
        <f t="shared" si="24"/>
        <v>0</v>
      </c>
      <c r="CL26" s="221">
        <f t="shared" si="24"/>
        <v>0</v>
      </c>
      <c r="CM26" s="221">
        <f t="shared" si="24"/>
        <v>0</v>
      </c>
      <c r="CN26" s="221">
        <f t="shared" si="24"/>
        <v>0</v>
      </c>
      <c r="CO26" s="221">
        <f t="shared" si="24"/>
        <v>0</v>
      </c>
      <c r="CP26" s="221">
        <f t="shared" si="24"/>
        <v>0</v>
      </c>
      <c r="CQ26" s="221">
        <f t="shared" si="24"/>
        <v>0</v>
      </c>
      <c r="CR26" s="221">
        <f t="shared" si="36"/>
        <v>0</v>
      </c>
      <c r="CT26" s="75">
        <f t="shared" si="37"/>
        <v>47453</v>
      </c>
      <c r="CU26" s="221"/>
      <c r="CV26" s="221">
        <f t="shared" ca="1" si="38"/>
        <v>0</v>
      </c>
      <c r="CW26" s="221">
        <f t="shared" ca="1" si="25"/>
        <v>0</v>
      </c>
      <c r="CX26" s="221">
        <f t="shared" ca="1" si="25"/>
        <v>0</v>
      </c>
      <c r="CY26" s="221">
        <f t="shared" ca="1" si="25"/>
        <v>0</v>
      </c>
      <c r="CZ26" s="221">
        <f t="shared" ca="1" si="25"/>
        <v>0</v>
      </c>
      <c r="DA26" s="221">
        <f t="shared" ca="1" si="25"/>
        <v>0</v>
      </c>
      <c r="DB26" s="221">
        <f t="shared" ca="1" si="25"/>
        <v>0</v>
      </c>
      <c r="DC26" s="221">
        <f t="shared" ca="1" si="25"/>
        <v>0</v>
      </c>
      <c r="DD26" s="221">
        <f t="shared" ca="1" si="25"/>
        <v>0</v>
      </c>
      <c r="DE26" s="221">
        <f t="shared" ca="1" si="39"/>
        <v>0</v>
      </c>
    </row>
    <row r="27" spans="2:109" x14ac:dyDescent="0.25">
      <c r="D27" s="75">
        <f t="shared" si="40"/>
        <v>47818</v>
      </c>
      <c r="E27" s="123"/>
      <c r="F27" s="288"/>
      <c r="G27" s="288"/>
      <c r="H27" s="288"/>
      <c r="I27" s="288"/>
      <c r="J27" s="288"/>
      <c r="K27" s="288"/>
      <c r="L27" s="288"/>
      <c r="M27" s="288"/>
      <c r="N27" s="288"/>
      <c r="O27" s="256">
        <f t="shared" si="41"/>
        <v>0</v>
      </c>
      <c r="Q27" s="75">
        <f t="shared" si="42"/>
        <v>47818</v>
      </c>
      <c r="R27" s="75"/>
      <c r="S27" s="221">
        <f t="shared" si="18"/>
        <v>0</v>
      </c>
      <c r="T27" s="221">
        <f t="shared" si="18"/>
        <v>0</v>
      </c>
      <c r="U27" s="221">
        <f t="shared" si="18"/>
        <v>0</v>
      </c>
      <c r="V27" s="221">
        <f t="shared" si="18"/>
        <v>0</v>
      </c>
      <c r="W27" s="221">
        <f t="shared" si="18"/>
        <v>0</v>
      </c>
      <c r="X27" s="221">
        <f t="shared" si="18"/>
        <v>0</v>
      </c>
      <c r="Y27" s="221">
        <f t="shared" si="18"/>
        <v>0</v>
      </c>
      <c r="Z27" s="221">
        <f t="shared" si="18"/>
        <v>0</v>
      </c>
      <c r="AA27" s="221">
        <f t="shared" si="18"/>
        <v>0</v>
      </c>
      <c r="AB27" s="221">
        <f t="shared" si="19"/>
        <v>0</v>
      </c>
      <c r="AD27" s="75">
        <f t="shared" si="43"/>
        <v>47818</v>
      </c>
      <c r="AE27" s="221">
        <f t="shared" ca="1" si="20"/>
        <v>0</v>
      </c>
      <c r="AF27" s="221">
        <f t="shared" ca="1" si="20"/>
        <v>0</v>
      </c>
      <c r="AG27" s="221">
        <f t="shared" ca="1" si="20"/>
        <v>0</v>
      </c>
      <c r="AH27" s="221">
        <f t="shared" ca="1" si="20"/>
        <v>0</v>
      </c>
      <c r="AI27" s="221">
        <f t="shared" ca="1" si="20"/>
        <v>0</v>
      </c>
      <c r="AJ27" s="221">
        <f t="shared" ca="1" si="20"/>
        <v>0</v>
      </c>
      <c r="AK27" s="221">
        <f t="shared" ca="1" si="20"/>
        <v>0</v>
      </c>
      <c r="AL27" s="221">
        <f t="shared" ca="1" si="20"/>
        <v>0</v>
      </c>
      <c r="AM27" s="221">
        <f t="shared" ca="1" si="20"/>
        <v>0</v>
      </c>
      <c r="AN27" s="221">
        <f t="shared" ca="1" si="20"/>
        <v>0</v>
      </c>
      <c r="AO27" s="221"/>
      <c r="AP27" s="221">
        <f t="shared" ca="1" si="26"/>
        <v>0</v>
      </c>
      <c r="AR27" s="75">
        <f t="shared" si="44"/>
        <v>47818</v>
      </c>
      <c r="AS27" s="75"/>
      <c r="AT27" s="221">
        <f t="shared" ca="1" si="27"/>
        <v>0</v>
      </c>
      <c r="AU27" s="221">
        <f t="shared" ca="1" si="21"/>
        <v>0</v>
      </c>
      <c r="AV27" s="221">
        <f t="shared" ca="1" si="21"/>
        <v>0</v>
      </c>
      <c r="AW27" s="221">
        <f t="shared" ca="1" si="21"/>
        <v>0</v>
      </c>
      <c r="AX27" s="221">
        <f t="shared" ca="1" si="21"/>
        <v>0</v>
      </c>
      <c r="AY27" s="221">
        <f t="shared" ca="1" si="21"/>
        <v>0</v>
      </c>
      <c r="AZ27" s="221">
        <f t="shared" ca="1" si="21"/>
        <v>0</v>
      </c>
      <c r="BA27" s="221">
        <f t="shared" ca="1" si="21"/>
        <v>0</v>
      </c>
      <c r="BB27" s="221">
        <f t="shared" ca="1" si="21"/>
        <v>0</v>
      </c>
      <c r="BC27" s="221"/>
      <c r="BD27" s="221">
        <f t="shared" ca="1" si="28"/>
        <v>0</v>
      </c>
      <c r="BE27" s="221">
        <f t="shared" ca="1" si="29"/>
        <v>0</v>
      </c>
      <c r="BG27" s="75">
        <f t="shared" si="22"/>
        <v>47818</v>
      </c>
      <c r="BH27" s="75"/>
      <c r="BI27" s="236">
        <f t="shared" si="30"/>
        <v>0</v>
      </c>
      <c r="BJ27" s="236">
        <f t="shared" si="23"/>
        <v>0</v>
      </c>
      <c r="BK27" s="236">
        <f t="shared" si="23"/>
        <v>0</v>
      </c>
      <c r="BL27" s="236">
        <f t="shared" si="23"/>
        <v>0</v>
      </c>
      <c r="BM27" s="236">
        <f t="shared" si="23"/>
        <v>0</v>
      </c>
      <c r="BN27" s="236">
        <f t="shared" si="23"/>
        <v>0</v>
      </c>
      <c r="BO27" s="236">
        <f t="shared" si="23"/>
        <v>0</v>
      </c>
      <c r="BP27" s="236">
        <f t="shared" si="23"/>
        <v>0</v>
      </c>
      <c r="BQ27" s="236">
        <f t="shared" si="23"/>
        <v>0</v>
      </c>
      <c r="BR27" s="236">
        <f t="shared" si="31"/>
        <v>0</v>
      </c>
      <c r="BT27" s="75">
        <f t="shared" si="32"/>
        <v>47818</v>
      </c>
      <c r="BU27" s="75"/>
      <c r="BV27" s="218">
        <f t="shared" si="33"/>
        <v>0</v>
      </c>
      <c r="BW27" s="218">
        <f t="shared" si="33"/>
        <v>0</v>
      </c>
      <c r="BX27" s="218">
        <f t="shared" si="33"/>
        <v>0</v>
      </c>
      <c r="BY27" s="218">
        <f t="shared" si="33"/>
        <v>0</v>
      </c>
      <c r="BZ27" s="218">
        <f t="shared" si="33"/>
        <v>0</v>
      </c>
      <c r="CA27" s="218">
        <f t="shared" si="33"/>
        <v>0</v>
      </c>
      <c r="CB27" s="218">
        <f t="shared" si="34"/>
        <v>0</v>
      </c>
      <c r="CC27" s="218">
        <f t="shared" si="34"/>
        <v>0</v>
      </c>
      <c r="CD27" s="218">
        <f t="shared" si="34"/>
        <v>0</v>
      </c>
      <c r="CG27" s="75">
        <f t="shared" si="35"/>
        <v>47818</v>
      </c>
      <c r="CH27" s="221"/>
      <c r="CI27" s="221">
        <f t="shared" si="24"/>
        <v>0</v>
      </c>
      <c r="CJ27" s="221">
        <f t="shared" si="24"/>
        <v>0</v>
      </c>
      <c r="CK27" s="221">
        <f t="shared" si="24"/>
        <v>0</v>
      </c>
      <c r="CL27" s="221">
        <f t="shared" si="24"/>
        <v>0</v>
      </c>
      <c r="CM27" s="221">
        <f t="shared" si="24"/>
        <v>0</v>
      </c>
      <c r="CN27" s="221">
        <f t="shared" si="24"/>
        <v>0</v>
      </c>
      <c r="CO27" s="221">
        <f t="shared" si="24"/>
        <v>0</v>
      </c>
      <c r="CP27" s="221">
        <f t="shared" si="24"/>
        <v>0</v>
      </c>
      <c r="CQ27" s="221">
        <f t="shared" si="24"/>
        <v>0</v>
      </c>
      <c r="CR27" s="221">
        <f t="shared" si="36"/>
        <v>0</v>
      </c>
      <c r="CT27" s="75">
        <f t="shared" si="37"/>
        <v>47818</v>
      </c>
      <c r="CU27" s="221"/>
      <c r="CV27" s="221">
        <f t="shared" ca="1" si="38"/>
        <v>0</v>
      </c>
      <c r="CW27" s="221">
        <f t="shared" ca="1" si="25"/>
        <v>0</v>
      </c>
      <c r="CX27" s="221">
        <f t="shared" ca="1" si="25"/>
        <v>0</v>
      </c>
      <c r="CY27" s="221">
        <f t="shared" ca="1" si="25"/>
        <v>0</v>
      </c>
      <c r="CZ27" s="221">
        <f t="shared" ca="1" si="25"/>
        <v>0</v>
      </c>
      <c r="DA27" s="221">
        <f t="shared" ca="1" si="25"/>
        <v>0</v>
      </c>
      <c r="DB27" s="221">
        <f t="shared" ca="1" si="25"/>
        <v>0</v>
      </c>
      <c r="DC27" s="221">
        <f t="shared" ca="1" si="25"/>
        <v>0</v>
      </c>
      <c r="DD27" s="221">
        <f t="shared" ca="1" si="25"/>
        <v>0</v>
      </c>
      <c r="DE27" s="221">
        <f t="shared" ca="1" si="39"/>
        <v>0</v>
      </c>
    </row>
    <row r="28" spans="2:109" x14ac:dyDescent="0.25">
      <c r="D28" s="75">
        <f t="shared" si="40"/>
        <v>48183</v>
      </c>
      <c r="E28" s="123"/>
      <c r="F28" s="288"/>
      <c r="G28" s="288"/>
      <c r="H28" s="288"/>
      <c r="I28" s="288"/>
      <c r="J28" s="288"/>
      <c r="K28" s="288"/>
      <c r="L28" s="288"/>
      <c r="M28" s="288"/>
      <c r="N28" s="288"/>
      <c r="O28" s="256">
        <f t="shared" si="41"/>
        <v>0</v>
      </c>
      <c r="Q28" s="75">
        <f t="shared" si="42"/>
        <v>48183</v>
      </c>
      <c r="R28" s="75"/>
      <c r="S28" s="221">
        <f t="shared" si="18"/>
        <v>0</v>
      </c>
      <c r="T28" s="221">
        <f t="shared" si="18"/>
        <v>0</v>
      </c>
      <c r="U28" s="221">
        <f t="shared" si="18"/>
        <v>0</v>
      </c>
      <c r="V28" s="221">
        <f t="shared" si="18"/>
        <v>0</v>
      </c>
      <c r="W28" s="221">
        <f t="shared" si="18"/>
        <v>0</v>
      </c>
      <c r="X28" s="221">
        <f t="shared" si="18"/>
        <v>0</v>
      </c>
      <c r="Y28" s="221">
        <f t="shared" si="18"/>
        <v>0</v>
      </c>
      <c r="Z28" s="221">
        <f t="shared" si="18"/>
        <v>0</v>
      </c>
      <c r="AA28" s="221">
        <f t="shared" si="18"/>
        <v>0</v>
      </c>
      <c r="AB28" s="221">
        <f t="shared" si="19"/>
        <v>0</v>
      </c>
      <c r="AD28" s="75">
        <f t="shared" si="43"/>
        <v>48183</v>
      </c>
      <c r="AE28" s="221">
        <f t="shared" ca="1" si="20"/>
        <v>0</v>
      </c>
      <c r="AF28" s="221">
        <f t="shared" ca="1" si="20"/>
        <v>0</v>
      </c>
      <c r="AG28" s="221">
        <f t="shared" ca="1" si="20"/>
        <v>0</v>
      </c>
      <c r="AH28" s="221">
        <f t="shared" ca="1" si="20"/>
        <v>0</v>
      </c>
      <c r="AI28" s="221">
        <f t="shared" ca="1" si="20"/>
        <v>0</v>
      </c>
      <c r="AJ28" s="221">
        <f t="shared" ca="1" si="20"/>
        <v>0</v>
      </c>
      <c r="AK28" s="221">
        <f t="shared" ca="1" si="20"/>
        <v>0</v>
      </c>
      <c r="AL28" s="221">
        <f t="shared" ca="1" si="20"/>
        <v>0</v>
      </c>
      <c r="AM28" s="221">
        <f t="shared" ca="1" si="20"/>
        <v>0</v>
      </c>
      <c r="AN28" s="221">
        <f t="shared" ca="1" si="20"/>
        <v>0</v>
      </c>
      <c r="AO28" s="221"/>
      <c r="AP28" s="221">
        <f t="shared" ca="1" si="26"/>
        <v>0</v>
      </c>
      <c r="AR28" s="75">
        <f t="shared" si="44"/>
        <v>48183</v>
      </c>
      <c r="AS28" s="75"/>
      <c r="AT28" s="221">
        <f t="shared" ca="1" si="27"/>
        <v>0</v>
      </c>
      <c r="AU28" s="221">
        <f t="shared" ca="1" si="21"/>
        <v>0</v>
      </c>
      <c r="AV28" s="221">
        <f t="shared" ca="1" si="21"/>
        <v>0</v>
      </c>
      <c r="AW28" s="221">
        <f t="shared" ca="1" si="21"/>
        <v>0</v>
      </c>
      <c r="AX28" s="221">
        <f t="shared" ca="1" si="21"/>
        <v>0</v>
      </c>
      <c r="AY28" s="221">
        <f t="shared" ca="1" si="21"/>
        <v>0</v>
      </c>
      <c r="AZ28" s="221">
        <f t="shared" ca="1" si="21"/>
        <v>0</v>
      </c>
      <c r="BA28" s="221">
        <f t="shared" ca="1" si="21"/>
        <v>0</v>
      </c>
      <c r="BB28" s="221">
        <f t="shared" ca="1" si="21"/>
        <v>0</v>
      </c>
      <c r="BC28" s="221"/>
      <c r="BD28" s="221">
        <f t="shared" ca="1" si="28"/>
        <v>0</v>
      </c>
      <c r="BE28" s="221">
        <f t="shared" ca="1" si="29"/>
        <v>0</v>
      </c>
      <c r="BG28" s="75">
        <f t="shared" si="22"/>
        <v>48183</v>
      </c>
      <c r="BH28" s="75"/>
      <c r="BI28" s="236">
        <f t="shared" si="30"/>
        <v>0</v>
      </c>
      <c r="BJ28" s="236">
        <f t="shared" si="23"/>
        <v>0</v>
      </c>
      <c r="BK28" s="236">
        <f t="shared" si="23"/>
        <v>0</v>
      </c>
      <c r="BL28" s="236">
        <f t="shared" si="23"/>
        <v>0</v>
      </c>
      <c r="BM28" s="236">
        <f t="shared" si="23"/>
        <v>0</v>
      </c>
      <c r="BN28" s="236">
        <f t="shared" si="23"/>
        <v>0</v>
      </c>
      <c r="BO28" s="236">
        <f t="shared" si="23"/>
        <v>0</v>
      </c>
      <c r="BP28" s="236">
        <f t="shared" si="23"/>
        <v>0</v>
      </c>
      <c r="BQ28" s="236">
        <f t="shared" si="23"/>
        <v>0</v>
      </c>
      <c r="BR28" s="236">
        <f t="shared" si="31"/>
        <v>0</v>
      </c>
      <c r="BT28" s="75">
        <f t="shared" si="32"/>
        <v>48183</v>
      </c>
      <c r="BU28" s="75"/>
      <c r="BV28" s="218">
        <f t="shared" si="33"/>
        <v>0</v>
      </c>
      <c r="BW28" s="218">
        <f t="shared" si="33"/>
        <v>0</v>
      </c>
      <c r="BX28" s="218">
        <f t="shared" si="33"/>
        <v>0</v>
      </c>
      <c r="BY28" s="218">
        <f t="shared" si="33"/>
        <v>0</v>
      </c>
      <c r="BZ28" s="218">
        <f t="shared" si="33"/>
        <v>0</v>
      </c>
      <c r="CA28" s="218">
        <f t="shared" si="33"/>
        <v>0</v>
      </c>
      <c r="CB28" s="218">
        <f t="shared" si="34"/>
        <v>0</v>
      </c>
      <c r="CC28" s="218">
        <f t="shared" si="34"/>
        <v>0</v>
      </c>
      <c r="CD28" s="218">
        <f t="shared" si="34"/>
        <v>0</v>
      </c>
      <c r="CG28" s="75">
        <f t="shared" si="35"/>
        <v>48183</v>
      </c>
      <c r="CH28" s="221"/>
      <c r="CI28" s="221">
        <f t="shared" si="24"/>
        <v>0</v>
      </c>
      <c r="CJ28" s="221">
        <f t="shared" si="24"/>
        <v>0</v>
      </c>
      <c r="CK28" s="221">
        <f t="shared" si="24"/>
        <v>0</v>
      </c>
      <c r="CL28" s="221">
        <f t="shared" si="24"/>
        <v>0</v>
      </c>
      <c r="CM28" s="221">
        <f t="shared" si="24"/>
        <v>0</v>
      </c>
      <c r="CN28" s="221">
        <f t="shared" si="24"/>
        <v>0</v>
      </c>
      <c r="CO28" s="221">
        <f t="shared" si="24"/>
        <v>0</v>
      </c>
      <c r="CP28" s="221">
        <f t="shared" si="24"/>
        <v>0</v>
      </c>
      <c r="CQ28" s="221">
        <f t="shared" si="24"/>
        <v>0</v>
      </c>
      <c r="CR28" s="221">
        <f t="shared" si="36"/>
        <v>0</v>
      </c>
      <c r="CT28" s="75">
        <f t="shared" si="37"/>
        <v>48183</v>
      </c>
      <c r="CU28" s="221"/>
      <c r="CV28" s="221">
        <f t="shared" ca="1" si="38"/>
        <v>0</v>
      </c>
      <c r="CW28" s="221">
        <f t="shared" ca="1" si="25"/>
        <v>0</v>
      </c>
      <c r="CX28" s="221">
        <f t="shared" ca="1" si="25"/>
        <v>0</v>
      </c>
      <c r="CY28" s="221">
        <f t="shared" ca="1" si="25"/>
        <v>0</v>
      </c>
      <c r="CZ28" s="221">
        <f t="shared" ca="1" si="25"/>
        <v>0</v>
      </c>
      <c r="DA28" s="221">
        <f t="shared" ca="1" si="25"/>
        <v>0</v>
      </c>
      <c r="DB28" s="221">
        <f t="shared" ca="1" si="25"/>
        <v>0</v>
      </c>
      <c r="DC28" s="221">
        <f t="shared" ca="1" si="25"/>
        <v>0</v>
      </c>
      <c r="DD28" s="221">
        <f t="shared" ca="1" si="25"/>
        <v>0</v>
      </c>
      <c r="DE28" s="221">
        <f t="shared" ca="1" si="39"/>
        <v>0</v>
      </c>
    </row>
    <row r="29" spans="2:109" x14ac:dyDescent="0.25">
      <c r="D29" s="75">
        <f t="shared" si="40"/>
        <v>48549</v>
      </c>
      <c r="E29" s="123"/>
      <c r="F29" s="288"/>
      <c r="G29" s="288"/>
      <c r="H29" s="288"/>
      <c r="I29" s="288"/>
      <c r="J29" s="288"/>
      <c r="K29" s="288"/>
      <c r="L29" s="288"/>
      <c r="M29" s="288"/>
      <c r="N29" s="288"/>
      <c r="O29" s="256">
        <f t="shared" si="41"/>
        <v>0</v>
      </c>
      <c r="Q29" s="75">
        <f t="shared" si="42"/>
        <v>48549</v>
      </c>
      <c r="R29" s="75"/>
      <c r="S29" s="221">
        <f t="shared" si="18"/>
        <v>0</v>
      </c>
      <c r="T29" s="221">
        <f t="shared" si="18"/>
        <v>0</v>
      </c>
      <c r="U29" s="221">
        <f t="shared" si="18"/>
        <v>0</v>
      </c>
      <c r="V29" s="221">
        <f t="shared" si="18"/>
        <v>0</v>
      </c>
      <c r="W29" s="221">
        <f t="shared" si="18"/>
        <v>0</v>
      </c>
      <c r="X29" s="221">
        <f t="shared" si="18"/>
        <v>0</v>
      </c>
      <c r="Y29" s="221">
        <f t="shared" si="18"/>
        <v>0</v>
      </c>
      <c r="Z29" s="221">
        <f t="shared" si="18"/>
        <v>0</v>
      </c>
      <c r="AA29" s="221">
        <f t="shared" si="18"/>
        <v>0</v>
      </c>
      <c r="AB29" s="221">
        <f t="shared" si="19"/>
        <v>0</v>
      </c>
      <c r="AD29" s="75">
        <f t="shared" si="43"/>
        <v>48549</v>
      </c>
      <c r="AE29" s="221">
        <f t="shared" ca="1" si="20"/>
        <v>0</v>
      </c>
      <c r="AF29" s="221">
        <f t="shared" ca="1" si="20"/>
        <v>0</v>
      </c>
      <c r="AG29" s="221">
        <f t="shared" ca="1" si="20"/>
        <v>0</v>
      </c>
      <c r="AH29" s="221">
        <f t="shared" ca="1" si="20"/>
        <v>0</v>
      </c>
      <c r="AI29" s="221">
        <f t="shared" ca="1" si="20"/>
        <v>0</v>
      </c>
      <c r="AJ29" s="221">
        <f t="shared" ca="1" si="20"/>
        <v>0</v>
      </c>
      <c r="AK29" s="221">
        <f t="shared" ca="1" si="20"/>
        <v>0</v>
      </c>
      <c r="AL29" s="221">
        <f t="shared" ca="1" si="20"/>
        <v>0</v>
      </c>
      <c r="AM29" s="221">
        <f t="shared" ca="1" si="20"/>
        <v>0</v>
      </c>
      <c r="AN29" s="221">
        <f t="shared" ca="1" si="20"/>
        <v>0</v>
      </c>
      <c r="AO29" s="221"/>
      <c r="AP29" s="221">
        <f t="shared" ca="1" si="26"/>
        <v>0</v>
      </c>
      <c r="AR29" s="75">
        <f t="shared" si="44"/>
        <v>48549</v>
      </c>
      <c r="AS29" s="75"/>
      <c r="AT29" s="221">
        <f t="shared" ca="1" si="27"/>
        <v>0</v>
      </c>
      <c r="AU29" s="221">
        <f t="shared" ca="1" si="21"/>
        <v>0</v>
      </c>
      <c r="AV29" s="221">
        <f t="shared" ca="1" si="21"/>
        <v>0</v>
      </c>
      <c r="AW29" s="221">
        <f t="shared" ca="1" si="21"/>
        <v>0</v>
      </c>
      <c r="AX29" s="221">
        <f t="shared" ca="1" si="21"/>
        <v>0</v>
      </c>
      <c r="AY29" s="221">
        <f t="shared" ca="1" si="21"/>
        <v>0</v>
      </c>
      <c r="AZ29" s="221">
        <f t="shared" ca="1" si="21"/>
        <v>0</v>
      </c>
      <c r="BA29" s="221">
        <f t="shared" ca="1" si="21"/>
        <v>0</v>
      </c>
      <c r="BB29" s="221">
        <f t="shared" ca="1" si="21"/>
        <v>0</v>
      </c>
      <c r="BC29" s="221"/>
      <c r="BD29" s="221">
        <f t="shared" ca="1" si="28"/>
        <v>0</v>
      </c>
      <c r="BE29" s="221">
        <f t="shared" ca="1" si="29"/>
        <v>0</v>
      </c>
      <c r="BG29" s="75">
        <f t="shared" si="22"/>
        <v>48549</v>
      </c>
      <c r="BH29" s="75"/>
      <c r="BI29" s="236">
        <f t="shared" si="30"/>
        <v>0</v>
      </c>
      <c r="BJ29" s="236">
        <f t="shared" si="23"/>
        <v>0</v>
      </c>
      <c r="BK29" s="236">
        <f t="shared" si="23"/>
        <v>0</v>
      </c>
      <c r="BL29" s="236">
        <f t="shared" si="23"/>
        <v>0</v>
      </c>
      <c r="BM29" s="236">
        <f t="shared" si="23"/>
        <v>0</v>
      </c>
      <c r="BN29" s="236">
        <f t="shared" si="23"/>
        <v>0</v>
      </c>
      <c r="BO29" s="236">
        <f t="shared" si="23"/>
        <v>0</v>
      </c>
      <c r="BP29" s="236">
        <f t="shared" si="23"/>
        <v>0</v>
      </c>
      <c r="BQ29" s="236">
        <f t="shared" si="23"/>
        <v>0</v>
      </c>
      <c r="BR29" s="236">
        <f t="shared" si="31"/>
        <v>0</v>
      </c>
      <c r="BT29" s="75">
        <f t="shared" si="32"/>
        <v>48549</v>
      </c>
      <c r="BU29" s="75"/>
      <c r="BV29" s="218">
        <f t="shared" si="33"/>
        <v>0</v>
      </c>
      <c r="BW29" s="218">
        <f t="shared" si="33"/>
        <v>0</v>
      </c>
      <c r="BX29" s="218">
        <f t="shared" si="33"/>
        <v>0</v>
      </c>
      <c r="BY29" s="218">
        <f t="shared" si="33"/>
        <v>0</v>
      </c>
      <c r="BZ29" s="218">
        <f t="shared" si="33"/>
        <v>0</v>
      </c>
      <c r="CA29" s="218">
        <f t="shared" si="33"/>
        <v>0</v>
      </c>
      <c r="CB29" s="218">
        <f t="shared" si="34"/>
        <v>0</v>
      </c>
      <c r="CC29" s="218">
        <f t="shared" si="34"/>
        <v>0</v>
      </c>
      <c r="CD29" s="218">
        <f t="shared" si="34"/>
        <v>0</v>
      </c>
      <c r="CG29" s="75">
        <f t="shared" si="35"/>
        <v>48549</v>
      </c>
      <c r="CH29" s="221"/>
      <c r="CI29" s="221">
        <f t="shared" si="24"/>
        <v>0</v>
      </c>
      <c r="CJ29" s="221">
        <f t="shared" si="24"/>
        <v>0</v>
      </c>
      <c r="CK29" s="221">
        <f t="shared" si="24"/>
        <v>0</v>
      </c>
      <c r="CL29" s="221">
        <f t="shared" si="24"/>
        <v>0</v>
      </c>
      <c r="CM29" s="221">
        <f t="shared" si="24"/>
        <v>0</v>
      </c>
      <c r="CN29" s="221">
        <f t="shared" si="24"/>
        <v>0</v>
      </c>
      <c r="CO29" s="221">
        <f t="shared" si="24"/>
        <v>0</v>
      </c>
      <c r="CP29" s="221">
        <f t="shared" si="24"/>
        <v>0</v>
      </c>
      <c r="CQ29" s="221">
        <f t="shared" si="24"/>
        <v>0</v>
      </c>
      <c r="CR29" s="221">
        <f t="shared" si="36"/>
        <v>0</v>
      </c>
      <c r="CT29" s="75">
        <f t="shared" si="37"/>
        <v>48549</v>
      </c>
      <c r="CU29" s="221"/>
      <c r="CV29" s="221">
        <f t="shared" ca="1" si="38"/>
        <v>0</v>
      </c>
      <c r="CW29" s="221">
        <f t="shared" ca="1" si="25"/>
        <v>0</v>
      </c>
      <c r="CX29" s="221">
        <f t="shared" ca="1" si="25"/>
        <v>0</v>
      </c>
      <c r="CY29" s="221">
        <f t="shared" ca="1" si="25"/>
        <v>0</v>
      </c>
      <c r="CZ29" s="221">
        <f t="shared" ca="1" si="25"/>
        <v>0</v>
      </c>
      <c r="DA29" s="221">
        <f t="shared" ca="1" si="25"/>
        <v>0</v>
      </c>
      <c r="DB29" s="221">
        <f t="shared" ca="1" si="25"/>
        <v>0</v>
      </c>
      <c r="DC29" s="221">
        <f t="shared" ca="1" si="25"/>
        <v>0</v>
      </c>
      <c r="DD29" s="221">
        <f t="shared" ca="1" si="25"/>
        <v>0</v>
      </c>
      <c r="DE29" s="221">
        <f t="shared" ca="1" si="39"/>
        <v>0</v>
      </c>
    </row>
    <row r="30" spans="2:109" x14ac:dyDescent="0.25">
      <c r="D30" s="75">
        <f t="shared" si="40"/>
        <v>48914</v>
      </c>
      <c r="E30" s="123"/>
      <c r="F30" s="288"/>
      <c r="G30" s="288"/>
      <c r="H30" s="288"/>
      <c r="I30" s="288"/>
      <c r="J30" s="288"/>
      <c r="K30" s="288"/>
      <c r="L30" s="288"/>
      <c r="M30" s="288"/>
      <c r="N30" s="288"/>
      <c r="O30" s="256">
        <f t="shared" si="41"/>
        <v>0</v>
      </c>
      <c r="Q30" s="75">
        <f t="shared" si="42"/>
        <v>48914</v>
      </c>
      <c r="R30" s="75"/>
      <c r="S30" s="221">
        <f t="shared" ref="S30:AA33" si="45">F30*S$11</f>
        <v>0</v>
      </c>
      <c r="T30" s="221">
        <f t="shared" si="45"/>
        <v>0</v>
      </c>
      <c r="U30" s="221">
        <f t="shared" si="45"/>
        <v>0</v>
      </c>
      <c r="V30" s="221">
        <f t="shared" si="45"/>
        <v>0</v>
      </c>
      <c r="W30" s="221">
        <f t="shared" si="45"/>
        <v>0</v>
      </c>
      <c r="X30" s="221">
        <f t="shared" si="45"/>
        <v>0</v>
      </c>
      <c r="Y30" s="221">
        <f t="shared" si="45"/>
        <v>0</v>
      </c>
      <c r="Z30" s="221">
        <f t="shared" si="45"/>
        <v>0</v>
      </c>
      <c r="AA30" s="221">
        <f t="shared" si="45"/>
        <v>0</v>
      </c>
      <c r="AB30" s="221">
        <f t="shared" si="19"/>
        <v>0</v>
      </c>
      <c r="AD30" s="75">
        <f t="shared" si="43"/>
        <v>48914</v>
      </c>
      <c r="AE30" s="221">
        <f t="shared" ca="1" si="20"/>
        <v>0</v>
      </c>
      <c r="AF30" s="221">
        <f t="shared" ca="1" si="20"/>
        <v>0</v>
      </c>
      <c r="AG30" s="221">
        <f t="shared" ca="1" si="20"/>
        <v>0</v>
      </c>
      <c r="AH30" s="221">
        <f t="shared" ca="1" si="20"/>
        <v>0</v>
      </c>
      <c r="AI30" s="221">
        <f t="shared" ca="1" si="20"/>
        <v>0</v>
      </c>
      <c r="AJ30" s="221">
        <f t="shared" ca="1" si="20"/>
        <v>0</v>
      </c>
      <c r="AK30" s="221">
        <f t="shared" ca="1" si="20"/>
        <v>0</v>
      </c>
      <c r="AL30" s="221">
        <f t="shared" ca="1" si="20"/>
        <v>0</v>
      </c>
      <c r="AM30" s="221">
        <f t="shared" ca="1" si="20"/>
        <v>0</v>
      </c>
      <c r="AN30" s="221">
        <f t="shared" ca="1" si="20"/>
        <v>0</v>
      </c>
      <c r="AO30" s="221"/>
      <c r="AP30" s="221">
        <f t="shared" ca="1" si="26"/>
        <v>0</v>
      </c>
      <c r="AR30" s="75">
        <f t="shared" si="44"/>
        <v>48914</v>
      </c>
      <c r="AS30" s="75"/>
      <c r="AT30" s="221">
        <f t="shared" ca="1" si="27"/>
        <v>0</v>
      </c>
      <c r="AU30" s="221">
        <f t="shared" ca="1" si="27"/>
        <v>0</v>
      </c>
      <c r="AV30" s="221">
        <f t="shared" ca="1" si="27"/>
        <v>0</v>
      </c>
      <c r="AW30" s="221">
        <f t="shared" ca="1" si="27"/>
        <v>0</v>
      </c>
      <c r="AX30" s="221">
        <f t="shared" ca="1" si="27"/>
        <v>0</v>
      </c>
      <c r="AY30" s="221">
        <f t="shared" ca="1" si="27"/>
        <v>0</v>
      </c>
      <c r="AZ30" s="221">
        <f t="shared" ca="1" si="27"/>
        <v>0</v>
      </c>
      <c r="BA30" s="221">
        <f t="shared" ca="1" si="27"/>
        <v>0</v>
      </c>
      <c r="BB30" s="221">
        <f t="shared" ca="1" si="27"/>
        <v>0</v>
      </c>
      <c r="BC30" s="221"/>
      <c r="BD30" s="221">
        <f t="shared" ca="1" si="28"/>
        <v>0</v>
      </c>
      <c r="BE30" s="221">
        <f t="shared" ca="1" si="29"/>
        <v>0</v>
      </c>
      <c r="BG30" s="75">
        <f t="shared" si="22"/>
        <v>48914</v>
      </c>
      <c r="BH30" s="75"/>
      <c r="BI30" s="236">
        <f t="shared" si="30"/>
        <v>0</v>
      </c>
      <c r="BJ30" s="236">
        <f t="shared" si="30"/>
        <v>0</v>
      </c>
      <c r="BK30" s="236">
        <f t="shared" si="30"/>
        <v>0</v>
      </c>
      <c r="BL30" s="236">
        <f t="shared" si="30"/>
        <v>0</v>
      </c>
      <c r="BM30" s="236">
        <f t="shared" si="30"/>
        <v>0</v>
      </c>
      <c r="BN30" s="236">
        <f t="shared" si="30"/>
        <v>0</v>
      </c>
      <c r="BO30" s="236">
        <f t="shared" si="30"/>
        <v>0</v>
      </c>
      <c r="BP30" s="236">
        <f t="shared" si="30"/>
        <v>0</v>
      </c>
      <c r="BQ30" s="236">
        <f t="shared" si="30"/>
        <v>0</v>
      </c>
      <c r="BR30" s="236">
        <f t="shared" si="31"/>
        <v>0</v>
      </c>
      <c r="BT30" s="75">
        <f t="shared" si="32"/>
        <v>48914</v>
      </c>
      <c r="BU30" s="75"/>
      <c r="BV30" s="218">
        <f t="shared" si="33"/>
        <v>0</v>
      </c>
      <c r="BW30" s="218">
        <f t="shared" si="33"/>
        <v>0</v>
      </c>
      <c r="BX30" s="218">
        <f t="shared" si="33"/>
        <v>0</v>
      </c>
      <c r="BY30" s="218">
        <f t="shared" si="33"/>
        <v>0</v>
      </c>
      <c r="BZ30" s="218">
        <f t="shared" si="33"/>
        <v>0</v>
      </c>
      <c r="CA30" s="218">
        <f t="shared" si="33"/>
        <v>0</v>
      </c>
      <c r="CB30" s="218">
        <f t="shared" si="34"/>
        <v>0</v>
      </c>
      <c r="CC30" s="218">
        <f t="shared" si="34"/>
        <v>0</v>
      </c>
      <c r="CD30" s="218">
        <f t="shared" si="34"/>
        <v>0</v>
      </c>
      <c r="CG30" s="75">
        <f t="shared" si="35"/>
        <v>48914</v>
      </c>
      <c r="CH30" s="221"/>
      <c r="CI30" s="221">
        <f>BI30*BV30</f>
        <v>0</v>
      </c>
      <c r="CJ30" s="221">
        <f t="shared" ref="CJ30:CQ33" si="46">BJ30*BW30</f>
        <v>0</v>
      </c>
      <c r="CK30" s="221">
        <f t="shared" si="46"/>
        <v>0</v>
      </c>
      <c r="CL30" s="221">
        <f t="shared" si="46"/>
        <v>0</v>
      </c>
      <c r="CM30" s="221">
        <f t="shared" si="46"/>
        <v>0</v>
      </c>
      <c r="CN30" s="221">
        <f t="shared" si="46"/>
        <v>0</v>
      </c>
      <c r="CO30" s="221">
        <f t="shared" si="46"/>
        <v>0</v>
      </c>
      <c r="CP30" s="221">
        <f t="shared" si="46"/>
        <v>0</v>
      </c>
      <c r="CQ30" s="221">
        <f t="shared" si="46"/>
        <v>0</v>
      </c>
      <c r="CR30" s="221">
        <f t="shared" si="36"/>
        <v>0</v>
      </c>
      <c r="CT30" s="75">
        <f t="shared" si="37"/>
        <v>48914</v>
      </c>
      <c r="CU30" s="221"/>
      <c r="CV30" s="221">
        <f t="shared" ca="1" si="38"/>
        <v>0</v>
      </c>
      <c r="CW30" s="221">
        <f t="shared" ca="1" si="38"/>
        <v>0</v>
      </c>
      <c r="CX30" s="221">
        <f t="shared" ca="1" si="38"/>
        <v>0</v>
      </c>
      <c r="CY30" s="221">
        <f t="shared" ca="1" si="38"/>
        <v>0</v>
      </c>
      <c r="CZ30" s="221">
        <f t="shared" ca="1" si="38"/>
        <v>0</v>
      </c>
      <c r="DA30" s="221">
        <f t="shared" ca="1" si="38"/>
        <v>0</v>
      </c>
      <c r="DB30" s="221">
        <f t="shared" ca="1" si="38"/>
        <v>0</v>
      </c>
      <c r="DC30" s="221">
        <f t="shared" ca="1" si="38"/>
        <v>0</v>
      </c>
      <c r="DD30" s="221">
        <f t="shared" ca="1" si="38"/>
        <v>0</v>
      </c>
      <c r="DE30" s="221">
        <f t="shared" ca="1" si="39"/>
        <v>0</v>
      </c>
    </row>
    <row r="31" spans="2:109" x14ac:dyDescent="0.25">
      <c r="D31" s="75">
        <f t="shared" si="40"/>
        <v>49279</v>
      </c>
      <c r="E31" s="123"/>
      <c r="F31" s="288"/>
      <c r="G31" s="288"/>
      <c r="H31" s="288"/>
      <c r="I31" s="288"/>
      <c r="J31" s="288"/>
      <c r="K31" s="288"/>
      <c r="L31" s="288"/>
      <c r="M31" s="288"/>
      <c r="N31" s="288"/>
      <c r="O31" s="256">
        <f t="shared" si="41"/>
        <v>0</v>
      </c>
      <c r="Q31" s="75">
        <f t="shared" si="42"/>
        <v>49279</v>
      </c>
      <c r="R31" s="75"/>
      <c r="S31" s="221">
        <f t="shared" si="45"/>
        <v>0</v>
      </c>
      <c r="T31" s="221">
        <f t="shared" si="45"/>
        <v>0</v>
      </c>
      <c r="U31" s="221">
        <f t="shared" si="45"/>
        <v>0</v>
      </c>
      <c r="V31" s="221">
        <f t="shared" si="45"/>
        <v>0</v>
      </c>
      <c r="W31" s="221">
        <f t="shared" si="45"/>
        <v>0</v>
      </c>
      <c r="X31" s="221">
        <f t="shared" si="45"/>
        <v>0</v>
      </c>
      <c r="Y31" s="221">
        <f t="shared" si="45"/>
        <v>0</v>
      </c>
      <c r="Z31" s="221">
        <f t="shared" si="45"/>
        <v>0</v>
      </c>
      <c r="AA31" s="221">
        <f t="shared" si="45"/>
        <v>0</v>
      </c>
      <c r="AB31" s="221">
        <f t="shared" si="19"/>
        <v>0</v>
      </c>
      <c r="AD31" s="75">
        <f t="shared" si="43"/>
        <v>49279</v>
      </c>
      <c r="AE31" s="221">
        <f t="shared" ca="1" si="20"/>
        <v>0</v>
      </c>
      <c r="AF31" s="221">
        <f t="shared" ca="1" si="20"/>
        <v>0</v>
      </c>
      <c r="AG31" s="221">
        <f t="shared" ca="1" si="20"/>
        <v>0</v>
      </c>
      <c r="AH31" s="221">
        <f t="shared" ca="1" si="20"/>
        <v>0</v>
      </c>
      <c r="AI31" s="221">
        <f t="shared" ca="1" si="20"/>
        <v>0</v>
      </c>
      <c r="AJ31" s="221">
        <f t="shared" ca="1" si="20"/>
        <v>0</v>
      </c>
      <c r="AK31" s="221">
        <f t="shared" ca="1" si="20"/>
        <v>0</v>
      </c>
      <c r="AL31" s="221">
        <f t="shared" ca="1" si="20"/>
        <v>0</v>
      </c>
      <c r="AM31" s="221">
        <f t="shared" ca="1" si="20"/>
        <v>0</v>
      </c>
      <c r="AN31" s="221">
        <f t="shared" ca="1" si="20"/>
        <v>0</v>
      </c>
      <c r="AO31" s="221"/>
      <c r="AP31" s="221">
        <f t="shared" ca="1" si="26"/>
        <v>0</v>
      </c>
      <c r="AR31" s="75">
        <f t="shared" si="44"/>
        <v>49279</v>
      </c>
      <c r="AS31" s="75"/>
      <c r="AT31" s="221">
        <f t="shared" ca="1" si="27"/>
        <v>0</v>
      </c>
      <c r="AU31" s="221">
        <f t="shared" ca="1" si="27"/>
        <v>0</v>
      </c>
      <c r="AV31" s="221">
        <f t="shared" ca="1" si="27"/>
        <v>0</v>
      </c>
      <c r="AW31" s="221">
        <f t="shared" ca="1" si="27"/>
        <v>0</v>
      </c>
      <c r="AX31" s="221">
        <f t="shared" ca="1" si="27"/>
        <v>0</v>
      </c>
      <c r="AY31" s="221">
        <f t="shared" ca="1" si="27"/>
        <v>0</v>
      </c>
      <c r="AZ31" s="221">
        <f t="shared" ca="1" si="27"/>
        <v>0</v>
      </c>
      <c r="BA31" s="221">
        <f t="shared" ca="1" si="27"/>
        <v>0</v>
      </c>
      <c r="BB31" s="221">
        <f t="shared" ca="1" si="27"/>
        <v>0</v>
      </c>
      <c r="BC31" s="221"/>
      <c r="BD31" s="221">
        <f t="shared" ca="1" si="28"/>
        <v>0</v>
      </c>
      <c r="BE31" s="221">
        <f t="shared" ca="1" si="29"/>
        <v>0</v>
      </c>
      <c r="BG31" s="75">
        <f t="shared" si="22"/>
        <v>49279</v>
      </c>
      <c r="BH31" s="75"/>
      <c r="BI31" s="236">
        <f t="shared" si="30"/>
        <v>0</v>
      </c>
      <c r="BJ31" s="236">
        <f t="shared" si="30"/>
        <v>0</v>
      </c>
      <c r="BK31" s="236">
        <f t="shared" si="30"/>
        <v>0</v>
      </c>
      <c r="BL31" s="236">
        <f t="shared" si="30"/>
        <v>0</v>
      </c>
      <c r="BM31" s="236">
        <f t="shared" si="30"/>
        <v>0</v>
      </c>
      <c r="BN31" s="236">
        <f t="shared" si="30"/>
        <v>0</v>
      </c>
      <c r="BO31" s="236">
        <f t="shared" si="30"/>
        <v>0</v>
      </c>
      <c r="BP31" s="236">
        <f t="shared" si="30"/>
        <v>0</v>
      </c>
      <c r="BQ31" s="236">
        <f t="shared" si="30"/>
        <v>0</v>
      </c>
      <c r="BR31" s="236">
        <f t="shared" si="31"/>
        <v>0</v>
      </c>
      <c r="BT31" s="75">
        <f t="shared" si="32"/>
        <v>49279</v>
      </c>
      <c r="BU31" s="75"/>
      <c r="BV31" s="218">
        <f t="shared" si="33"/>
        <v>0</v>
      </c>
      <c r="BW31" s="218">
        <f t="shared" si="33"/>
        <v>0</v>
      </c>
      <c r="BX31" s="218">
        <f t="shared" si="33"/>
        <v>0</v>
      </c>
      <c r="BY31" s="218">
        <f t="shared" si="33"/>
        <v>0</v>
      </c>
      <c r="BZ31" s="218">
        <f t="shared" si="33"/>
        <v>0</v>
      </c>
      <c r="CA31" s="218">
        <f t="shared" si="33"/>
        <v>0</v>
      </c>
      <c r="CB31" s="218">
        <f t="shared" si="34"/>
        <v>0</v>
      </c>
      <c r="CC31" s="218">
        <f t="shared" si="34"/>
        <v>0</v>
      </c>
      <c r="CD31" s="218">
        <f t="shared" si="34"/>
        <v>0</v>
      </c>
      <c r="CG31" s="75">
        <f t="shared" si="35"/>
        <v>49279</v>
      </c>
      <c r="CH31" s="221"/>
      <c r="CI31" s="221">
        <f>BI31*BV31</f>
        <v>0</v>
      </c>
      <c r="CJ31" s="221">
        <f t="shared" si="46"/>
        <v>0</v>
      </c>
      <c r="CK31" s="221">
        <f t="shared" si="46"/>
        <v>0</v>
      </c>
      <c r="CL31" s="221">
        <f t="shared" si="46"/>
        <v>0</v>
      </c>
      <c r="CM31" s="221">
        <f t="shared" si="46"/>
        <v>0</v>
      </c>
      <c r="CN31" s="221">
        <f t="shared" si="46"/>
        <v>0</v>
      </c>
      <c r="CO31" s="221">
        <f t="shared" si="46"/>
        <v>0</v>
      </c>
      <c r="CP31" s="221">
        <f t="shared" si="46"/>
        <v>0</v>
      </c>
      <c r="CQ31" s="221">
        <f t="shared" si="46"/>
        <v>0</v>
      </c>
      <c r="CR31" s="221">
        <f t="shared" si="36"/>
        <v>0</v>
      </c>
      <c r="CT31" s="75">
        <f t="shared" si="37"/>
        <v>49279</v>
      </c>
      <c r="CU31" s="221"/>
      <c r="CV31" s="221">
        <f t="shared" ca="1" si="38"/>
        <v>0</v>
      </c>
      <c r="CW31" s="221">
        <f t="shared" ca="1" si="38"/>
        <v>0</v>
      </c>
      <c r="CX31" s="221">
        <f t="shared" ca="1" si="38"/>
        <v>0</v>
      </c>
      <c r="CY31" s="221">
        <f t="shared" ca="1" si="38"/>
        <v>0</v>
      </c>
      <c r="CZ31" s="221">
        <f t="shared" ca="1" si="38"/>
        <v>0</v>
      </c>
      <c r="DA31" s="221">
        <f t="shared" ca="1" si="38"/>
        <v>0</v>
      </c>
      <c r="DB31" s="221">
        <f t="shared" ca="1" si="38"/>
        <v>0</v>
      </c>
      <c r="DC31" s="221">
        <f t="shared" ca="1" si="38"/>
        <v>0</v>
      </c>
      <c r="DD31" s="221">
        <f t="shared" ca="1" si="38"/>
        <v>0</v>
      </c>
      <c r="DE31" s="221">
        <f t="shared" ca="1" si="39"/>
        <v>0</v>
      </c>
    </row>
    <row r="32" spans="2:109" x14ac:dyDescent="0.25">
      <c r="D32" s="75">
        <f t="shared" si="40"/>
        <v>49644</v>
      </c>
      <c r="E32" s="123"/>
      <c r="F32" s="288"/>
      <c r="G32" s="288"/>
      <c r="H32" s="288"/>
      <c r="I32" s="288"/>
      <c r="J32" s="288"/>
      <c r="K32" s="288"/>
      <c r="L32" s="288"/>
      <c r="M32" s="288"/>
      <c r="N32" s="288"/>
      <c r="O32" s="256">
        <f t="shared" si="41"/>
        <v>0</v>
      </c>
      <c r="Q32" s="75">
        <f t="shared" si="42"/>
        <v>49644</v>
      </c>
      <c r="R32" s="75"/>
      <c r="S32" s="221">
        <f t="shared" si="45"/>
        <v>0</v>
      </c>
      <c r="T32" s="221">
        <f t="shared" si="45"/>
        <v>0</v>
      </c>
      <c r="U32" s="221">
        <f t="shared" si="45"/>
        <v>0</v>
      </c>
      <c r="V32" s="221">
        <f t="shared" si="45"/>
        <v>0</v>
      </c>
      <c r="W32" s="221">
        <f t="shared" si="45"/>
        <v>0</v>
      </c>
      <c r="X32" s="221">
        <f t="shared" si="45"/>
        <v>0</v>
      </c>
      <c r="Y32" s="221">
        <f t="shared" si="45"/>
        <v>0</v>
      </c>
      <c r="Z32" s="221">
        <f t="shared" si="45"/>
        <v>0</v>
      </c>
      <c r="AA32" s="221">
        <f t="shared" si="45"/>
        <v>0</v>
      </c>
      <c r="AB32" s="221">
        <f t="shared" si="19"/>
        <v>0</v>
      </c>
      <c r="AD32" s="75">
        <f t="shared" si="43"/>
        <v>49644</v>
      </c>
      <c r="AE32" s="221">
        <f t="shared" ca="1" si="20"/>
        <v>0</v>
      </c>
      <c r="AF32" s="221">
        <f t="shared" ca="1" si="20"/>
        <v>0</v>
      </c>
      <c r="AG32" s="221">
        <f t="shared" ca="1" si="20"/>
        <v>0</v>
      </c>
      <c r="AH32" s="221">
        <f t="shared" ca="1" si="20"/>
        <v>0</v>
      </c>
      <c r="AI32" s="221">
        <f t="shared" ca="1" si="20"/>
        <v>0</v>
      </c>
      <c r="AJ32" s="221">
        <f t="shared" ca="1" si="20"/>
        <v>0</v>
      </c>
      <c r="AK32" s="221">
        <f t="shared" ca="1" si="20"/>
        <v>0</v>
      </c>
      <c r="AL32" s="221">
        <f t="shared" ca="1" si="20"/>
        <v>0</v>
      </c>
      <c r="AM32" s="221">
        <f t="shared" ca="1" si="20"/>
        <v>0</v>
      </c>
      <c r="AN32" s="221">
        <f t="shared" ca="1" si="20"/>
        <v>0</v>
      </c>
      <c r="AO32" s="221"/>
      <c r="AP32" s="221">
        <f t="shared" ca="1" si="26"/>
        <v>0</v>
      </c>
      <c r="AR32" s="75">
        <f t="shared" si="44"/>
        <v>49644</v>
      </c>
      <c r="AS32" s="75"/>
      <c r="AT32" s="221">
        <f t="shared" ca="1" si="27"/>
        <v>0</v>
      </c>
      <c r="AU32" s="221">
        <f t="shared" ca="1" si="27"/>
        <v>0</v>
      </c>
      <c r="AV32" s="221">
        <f t="shared" ca="1" si="27"/>
        <v>0</v>
      </c>
      <c r="AW32" s="221">
        <f t="shared" ca="1" si="27"/>
        <v>0</v>
      </c>
      <c r="AX32" s="221">
        <f t="shared" ca="1" si="27"/>
        <v>0</v>
      </c>
      <c r="AY32" s="221">
        <f t="shared" ca="1" si="27"/>
        <v>0</v>
      </c>
      <c r="AZ32" s="221">
        <f t="shared" ca="1" si="27"/>
        <v>0</v>
      </c>
      <c r="BA32" s="221">
        <f t="shared" ca="1" si="27"/>
        <v>0</v>
      </c>
      <c r="BB32" s="221">
        <f t="shared" ca="1" si="27"/>
        <v>0</v>
      </c>
      <c r="BC32" s="221"/>
      <c r="BD32" s="221">
        <f t="shared" ca="1" si="28"/>
        <v>0</v>
      </c>
      <c r="BE32" s="221">
        <f t="shared" ca="1" si="29"/>
        <v>0</v>
      </c>
      <c r="BG32" s="75">
        <f t="shared" si="22"/>
        <v>49644</v>
      </c>
      <c r="BH32" s="75"/>
      <c r="BI32" s="236">
        <f t="shared" si="30"/>
        <v>0</v>
      </c>
      <c r="BJ32" s="236">
        <f t="shared" si="30"/>
        <v>0</v>
      </c>
      <c r="BK32" s="236">
        <f t="shared" si="30"/>
        <v>0</v>
      </c>
      <c r="BL32" s="236">
        <f t="shared" si="30"/>
        <v>0</v>
      </c>
      <c r="BM32" s="236">
        <f t="shared" si="30"/>
        <v>0</v>
      </c>
      <c r="BN32" s="236">
        <f t="shared" si="30"/>
        <v>0</v>
      </c>
      <c r="BO32" s="236">
        <f t="shared" si="30"/>
        <v>0</v>
      </c>
      <c r="BP32" s="236">
        <f t="shared" si="30"/>
        <v>0</v>
      </c>
      <c r="BQ32" s="236">
        <f t="shared" si="30"/>
        <v>0</v>
      </c>
      <c r="BR32" s="236">
        <f t="shared" si="31"/>
        <v>0</v>
      </c>
      <c r="BT32" s="75">
        <f t="shared" si="32"/>
        <v>49644</v>
      </c>
      <c r="BU32" s="75"/>
      <c r="BV32" s="218">
        <f t="shared" si="33"/>
        <v>0</v>
      </c>
      <c r="BW32" s="218">
        <f t="shared" si="33"/>
        <v>0</v>
      </c>
      <c r="BX32" s="218">
        <f t="shared" si="33"/>
        <v>0</v>
      </c>
      <c r="BY32" s="218">
        <f t="shared" si="33"/>
        <v>0</v>
      </c>
      <c r="BZ32" s="218">
        <f t="shared" si="33"/>
        <v>0</v>
      </c>
      <c r="CA32" s="218">
        <f t="shared" si="33"/>
        <v>0</v>
      </c>
      <c r="CB32" s="218">
        <f t="shared" si="34"/>
        <v>0</v>
      </c>
      <c r="CC32" s="218">
        <f t="shared" si="34"/>
        <v>0</v>
      </c>
      <c r="CD32" s="218">
        <f t="shared" si="34"/>
        <v>0</v>
      </c>
      <c r="CG32" s="75">
        <f t="shared" si="35"/>
        <v>49644</v>
      </c>
      <c r="CH32" s="221"/>
      <c r="CI32" s="221">
        <f>BI32*BV32</f>
        <v>0</v>
      </c>
      <c r="CJ32" s="221">
        <f t="shared" si="46"/>
        <v>0</v>
      </c>
      <c r="CK32" s="221">
        <f t="shared" si="46"/>
        <v>0</v>
      </c>
      <c r="CL32" s="221">
        <f t="shared" si="46"/>
        <v>0</v>
      </c>
      <c r="CM32" s="221">
        <f t="shared" si="46"/>
        <v>0</v>
      </c>
      <c r="CN32" s="221">
        <f t="shared" si="46"/>
        <v>0</v>
      </c>
      <c r="CO32" s="221">
        <f t="shared" si="46"/>
        <v>0</v>
      </c>
      <c r="CP32" s="221">
        <f t="shared" si="46"/>
        <v>0</v>
      </c>
      <c r="CQ32" s="221">
        <f t="shared" si="46"/>
        <v>0</v>
      </c>
      <c r="CR32" s="221">
        <f t="shared" si="36"/>
        <v>0</v>
      </c>
      <c r="CT32" s="75">
        <f t="shared" si="37"/>
        <v>49644</v>
      </c>
      <c r="CU32" s="221"/>
      <c r="CV32" s="221">
        <f t="shared" ca="1" si="38"/>
        <v>0</v>
      </c>
      <c r="CW32" s="221">
        <f t="shared" ca="1" si="38"/>
        <v>0</v>
      </c>
      <c r="CX32" s="221">
        <f t="shared" ca="1" si="38"/>
        <v>0</v>
      </c>
      <c r="CY32" s="221">
        <f t="shared" ca="1" si="38"/>
        <v>0</v>
      </c>
      <c r="CZ32" s="221">
        <f t="shared" ca="1" si="38"/>
        <v>0</v>
      </c>
      <c r="DA32" s="221">
        <f t="shared" ca="1" si="38"/>
        <v>0</v>
      </c>
      <c r="DB32" s="221">
        <f t="shared" ca="1" si="38"/>
        <v>0</v>
      </c>
      <c r="DC32" s="221">
        <f t="shared" ca="1" si="38"/>
        <v>0</v>
      </c>
      <c r="DD32" s="221">
        <f t="shared" ca="1" si="38"/>
        <v>0</v>
      </c>
      <c r="DE32" s="221">
        <f t="shared" ca="1" si="39"/>
        <v>0</v>
      </c>
    </row>
    <row r="33" spans="4:109" x14ac:dyDescent="0.25">
      <c r="D33" s="75">
        <f t="shared" si="40"/>
        <v>50010</v>
      </c>
      <c r="E33" s="123"/>
      <c r="F33" s="288"/>
      <c r="G33" s="288"/>
      <c r="H33" s="288"/>
      <c r="I33" s="288"/>
      <c r="J33" s="288"/>
      <c r="K33" s="288"/>
      <c r="L33" s="288"/>
      <c r="M33" s="288"/>
      <c r="N33" s="288"/>
      <c r="O33" s="256">
        <f t="shared" si="41"/>
        <v>0</v>
      </c>
      <c r="Q33" s="75">
        <f t="shared" si="42"/>
        <v>50010</v>
      </c>
      <c r="R33" s="75"/>
      <c r="S33" s="221">
        <f t="shared" si="45"/>
        <v>0</v>
      </c>
      <c r="T33" s="221">
        <f t="shared" si="45"/>
        <v>0</v>
      </c>
      <c r="U33" s="221">
        <f t="shared" si="45"/>
        <v>0</v>
      </c>
      <c r="V33" s="221">
        <f t="shared" si="45"/>
        <v>0</v>
      </c>
      <c r="W33" s="221">
        <f t="shared" si="45"/>
        <v>0</v>
      </c>
      <c r="X33" s="221">
        <f t="shared" si="45"/>
        <v>0</v>
      </c>
      <c r="Y33" s="221">
        <f t="shared" si="45"/>
        <v>0</v>
      </c>
      <c r="Z33" s="221">
        <f t="shared" si="45"/>
        <v>0</v>
      </c>
      <c r="AA33" s="221">
        <f t="shared" si="45"/>
        <v>0</v>
      </c>
      <c r="AB33" s="221">
        <f t="shared" si="19"/>
        <v>0</v>
      </c>
      <c r="AD33" s="75">
        <f t="shared" si="43"/>
        <v>50010</v>
      </c>
      <c r="AE33" s="221">
        <f t="shared" ca="1" si="20"/>
        <v>0</v>
      </c>
      <c r="AF33" s="221">
        <f t="shared" ca="1" si="20"/>
        <v>0</v>
      </c>
      <c r="AG33" s="221">
        <f t="shared" ca="1" si="20"/>
        <v>0</v>
      </c>
      <c r="AH33" s="221">
        <f t="shared" ca="1" si="20"/>
        <v>0</v>
      </c>
      <c r="AI33" s="221">
        <f t="shared" ca="1" si="20"/>
        <v>0</v>
      </c>
      <c r="AJ33" s="221">
        <f t="shared" ca="1" si="20"/>
        <v>0</v>
      </c>
      <c r="AK33" s="221">
        <f t="shared" ca="1" si="20"/>
        <v>0</v>
      </c>
      <c r="AL33" s="221">
        <f t="shared" ca="1" si="20"/>
        <v>0</v>
      </c>
      <c r="AM33" s="221">
        <f t="shared" ca="1" si="20"/>
        <v>0</v>
      </c>
      <c r="AN33" s="221">
        <f t="shared" ca="1" si="20"/>
        <v>0</v>
      </c>
      <c r="AO33" s="221"/>
      <c r="AP33" s="221">
        <f t="shared" ca="1" si="26"/>
        <v>0</v>
      </c>
      <c r="AR33" s="75">
        <f t="shared" si="44"/>
        <v>50010</v>
      </c>
      <c r="AS33" s="75"/>
      <c r="AT33" s="221">
        <f t="shared" ca="1" si="27"/>
        <v>0</v>
      </c>
      <c r="AU33" s="221">
        <f t="shared" ca="1" si="27"/>
        <v>0</v>
      </c>
      <c r="AV33" s="221">
        <f t="shared" ca="1" si="27"/>
        <v>0</v>
      </c>
      <c r="AW33" s="221">
        <f t="shared" ca="1" si="27"/>
        <v>0</v>
      </c>
      <c r="AX33" s="221">
        <f t="shared" ca="1" si="27"/>
        <v>0</v>
      </c>
      <c r="AY33" s="221">
        <f t="shared" ca="1" si="27"/>
        <v>0</v>
      </c>
      <c r="AZ33" s="221">
        <f t="shared" ca="1" si="27"/>
        <v>0</v>
      </c>
      <c r="BA33" s="221">
        <f t="shared" ca="1" si="27"/>
        <v>0</v>
      </c>
      <c r="BB33" s="221">
        <f t="shared" ca="1" si="27"/>
        <v>0</v>
      </c>
      <c r="BC33" s="221"/>
      <c r="BD33" s="221">
        <f t="shared" ca="1" si="28"/>
        <v>0</v>
      </c>
      <c r="BE33" s="221">
        <f t="shared" ca="1" si="29"/>
        <v>0</v>
      </c>
      <c r="BG33" s="75">
        <f t="shared" ref="BG33" si="47">EDATE(BG32,12)</f>
        <v>50010</v>
      </c>
      <c r="BH33" s="75"/>
      <c r="BI33" s="236">
        <f t="shared" si="30"/>
        <v>0</v>
      </c>
      <c r="BJ33" s="236">
        <f t="shared" si="30"/>
        <v>0</v>
      </c>
      <c r="BK33" s="236">
        <f t="shared" si="30"/>
        <v>0</v>
      </c>
      <c r="BL33" s="236">
        <f t="shared" si="30"/>
        <v>0</v>
      </c>
      <c r="BM33" s="236">
        <f t="shared" si="30"/>
        <v>0</v>
      </c>
      <c r="BN33" s="236">
        <f t="shared" si="30"/>
        <v>0</v>
      </c>
      <c r="BO33" s="236">
        <f t="shared" si="30"/>
        <v>0</v>
      </c>
      <c r="BP33" s="236">
        <f t="shared" si="30"/>
        <v>0</v>
      </c>
      <c r="BQ33" s="236">
        <f t="shared" si="30"/>
        <v>0</v>
      </c>
      <c r="BR33" s="236">
        <f>SUM(BI33:BQ33)</f>
        <v>0</v>
      </c>
      <c r="BT33" s="75">
        <f t="shared" si="32"/>
        <v>50010</v>
      </c>
      <c r="BU33" s="75"/>
      <c r="BV33" s="218">
        <f t="shared" si="33"/>
        <v>0</v>
      </c>
      <c r="BW33" s="218">
        <f t="shared" si="33"/>
        <v>0</v>
      </c>
      <c r="BX33" s="218">
        <f t="shared" si="33"/>
        <v>0</v>
      </c>
      <c r="BY33" s="218">
        <f t="shared" si="33"/>
        <v>0</v>
      </c>
      <c r="BZ33" s="218">
        <f t="shared" si="33"/>
        <v>0</v>
      </c>
      <c r="CA33" s="218">
        <f t="shared" si="33"/>
        <v>0</v>
      </c>
      <c r="CB33" s="218">
        <f t="shared" si="34"/>
        <v>0</v>
      </c>
      <c r="CC33" s="218">
        <f t="shared" si="34"/>
        <v>0</v>
      </c>
      <c r="CD33" s="218">
        <f t="shared" si="34"/>
        <v>0</v>
      </c>
      <c r="CG33" s="75">
        <f t="shared" si="35"/>
        <v>50010</v>
      </c>
      <c r="CH33" s="221"/>
      <c r="CI33" s="221">
        <f>BI33*BV33</f>
        <v>0</v>
      </c>
      <c r="CJ33" s="221">
        <f t="shared" si="46"/>
        <v>0</v>
      </c>
      <c r="CK33" s="221">
        <f t="shared" si="46"/>
        <v>0</v>
      </c>
      <c r="CL33" s="221">
        <f t="shared" si="46"/>
        <v>0</v>
      </c>
      <c r="CM33" s="221">
        <f t="shared" si="46"/>
        <v>0</v>
      </c>
      <c r="CN33" s="221">
        <f t="shared" si="46"/>
        <v>0</v>
      </c>
      <c r="CO33" s="221">
        <f t="shared" si="46"/>
        <v>0</v>
      </c>
      <c r="CP33" s="221">
        <f t="shared" si="46"/>
        <v>0</v>
      </c>
      <c r="CQ33" s="221">
        <f t="shared" si="46"/>
        <v>0</v>
      </c>
      <c r="CR33" s="221">
        <f t="shared" si="36"/>
        <v>0</v>
      </c>
      <c r="CT33" s="75">
        <f t="shared" si="37"/>
        <v>50010</v>
      </c>
      <c r="CU33" s="221"/>
      <c r="CV33" s="221">
        <f t="shared" ca="1" si="38"/>
        <v>0</v>
      </c>
      <c r="CW33" s="221">
        <f t="shared" ca="1" si="38"/>
        <v>0</v>
      </c>
      <c r="CX33" s="221">
        <f t="shared" ca="1" si="38"/>
        <v>0</v>
      </c>
      <c r="CY33" s="221">
        <f t="shared" ca="1" si="38"/>
        <v>0</v>
      </c>
      <c r="CZ33" s="221">
        <f t="shared" ca="1" si="38"/>
        <v>0</v>
      </c>
      <c r="DA33" s="221">
        <f t="shared" ca="1" si="38"/>
        <v>0</v>
      </c>
      <c r="DB33" s="221">
        <f t="shared" ca="1" si="38"/>
        <v>0</v>
      </c>
      <c r="DC33" s="221">
        <f t="shared" ca="1" si="38"/>
        <v>0</v>
      </c>
      <c r="DD33" s="221">
        <f t="shared" ca="1" si="38"/>
        <v>0</v>
      </c>
      <c r="DE33" s="221">
        <f t="shared" ca="1" si="39"/>
        <v>0</v>
      </c>
    </row>
    <row r="34" spans="4:109" ht="6.95" customHeight="1" x14ac:dyDescent="0.25">
      <c r="D34" s="75"/>
      <c r="E34" s="170"/>
      <c r="F34" s="170"/>
      <c r="G34" s="170"/>
      <c r="H34" s="170"/>
      <c r="I34" s="170"/>
      <c r="J34" s="170"/>
      <c r="K34" s="170"/>
      <c r="L34" s="170"/>
      <c r="M34" s="170"/>
      <c r="N34" s="170"/>
      <c r="O34" s="170"/>
      <c r="Q34" s="75"/>
      <c r="R34" s="118"/>
      <c r="S34" s="170"/>
      <c r="T34" s="170"/>
      <c r="U34" s="170"/>
      <c r="V34" s="170"/>
      <c r="W34" s="170"/>
      <c r="X34" s="170"/>
      <c r="Y34" s="170"/>
      <c r="Z34" s="170"/>
      <c r="AA34" s="170"/>
      <c r="AB34" s="170"/>
      <c r="AD34" s="75"/>
      <c r="AE34" s="118"/>
      <c r="AF34" s="170"/>
      <c r="AG34" s="170"/>
      <c r="AH34" s="170"/>
      <c r="AI34" s="170"/>
      <c r="AJ34" s="170"/>
      <c r="AK34" s="170"/>
      <c r="AL34" s="170"/>
      <c r="AM34" s="170"/>
      <c r="AN34" s="170"/>
      <c r="AO34" s="170"/>
      <c r="AP34" s="170"/>
      <c r="AR34" s="75"/>
      <c r="AS34" s="118"/>
      <c r="AT34" s="170"/>
      <c r="AU34" s="170"/>
      <c r="AV34" s="170"/>
      <c r="AW34" s="170"/>
      <c r="AX34" s="170"/>
      <c r="AY34" s="170"/>
      <c r="AZ34" s="170"/>
      <c r="BA34" s="170"/>
      <c r="BB34" s="170"/>
      <c r="BC34" s="170"/>
      <c r="BD34" s="170"/>
      <c r="BE34" s="160"/>
      <c r="BG34" s="75"/>
      <c r="BH34" s="118"/>
      <c r="BI34" s="170"/>
      <c r="BJ34" s="170"/>
      <c r="BK34" s="170"/>
      <c r="BL34" s="170"/>
      <c r="BM34" s="170"/>
      <c r="BN34" s="170"/>
      <c r="BO34" s="170"/>
      <c r="BP34" s="170"/>
      <c r="BQ34" s="170"/>
      <c r="BR34" s="170"/>
      <c r="BU34" s="106"/>
      <c r="BV34" s="106"/>
      <c r="BW34" s="106"/>
      <c r="BX34" s="106"/>
      <c r="BY34" s="106"/>
      <c r="BZ34" s="106"/>
      <c r="CA34" s="106"/>
      <c r="CB34" s="106"/>
      <c r="CC34" s="106"/>
      <c r="CD34" s="106"/>
      <c r="CE34" s="106"/>
      <c r="CH34" s="106"/>
      <c r="CI34" s="106"/>
      <c r="CJ34" s="106"/>
      <c r="CK34" s="106"/>
      <c r="CL34" s="106"/>
      <c r="CM34" s="106"/>
      <c r="CN34" s="106"/>
      <c r="CO34" s="106"/>
      <c r="CP34" s="106"/>
      <c r="CQ34" s="106"/>
      <c r="CR34" s="106"/>
      <c r="CU34" s="106"/>
      <c r="CV34" s="106"/>
      <c r="CW34" s="106"/>
      <c r="CX34" s="106"/>
      <c r="CY34" s="106"/>
      <c r="CZ34" s="106"/>
      <c r="DA34" s="106"/>
      <c r="DB34" s="106"/>
      <c r="DC34" s="106"/>
      <c r="DD34" s="106"/>
      <c r="DE34" s="106"/>
    </row>
    <row r="35" spans="4:109" x14ac:dyDescent="0.25"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</row>
    <row r="36" spans="4:109" x14ac:dyDescent="0.25">
      <c r="D36" s="11" t="s">
        <v>384</v>
      </c>
      <c r="E36" s="11">
        <f>SUM(E14:E35)</f>
        <v>0</v>
      </c>
      <c r="F36" s="289">
        <f>SUM(F14:F35)</f>
        <v>0</v>
      </c>
      <c r="G36" s="289">
        <f t="shared" ref="G36:N36" si="48">SUM(G15:G35)</f>
        <v>0</v>
      </c>
      <c r="H36" s="289">
        <f t="shared" si="48"/>
        <v>0</v>
      </c>
      <c r="I36" s="289">
        <f t="shared" si="48"/>
        <v>0</v>
      </c>
      <c r="J36" s="289">
        <f t="shared" si="48"/>
        <v>0</v>
      </c>
      <c r="K36" s="289">
        <f t="shared" si="48"/>
        <v>0</v>
      </c>
      <c r="L36" s="289">
        <f t="shared" si="48"/>
        <v>0</v>
      </c>
      <c r="M36" s="289">
        <f t="shared" si="48"/>
        <v>0</v>
      </c>
      <c r="N36" s="289">
        <f t="shared" si="48"/>
        <v>0</v>
      </c>
      <c r="O36" s="289">
        <f>SUM(O15:O35)</f>
        <v>0</v>
      </c>
      <c r="Q36" s="11" t="s">
        <v>322</v>
      </c>
      <c r="R36" s="11"/>
      <c r="S36" s="221">
        <f>SUM(S14:S35)</f>
        <v>0</v>
      </c>
      <c r="T36" s="221">
        <f t="shared" ref="T36:AB36" si="49">SUM(T14:T35)</f>
        <v>0</v>
      </c>
      <c r="U36" s="221">
        <f t="shared" si="49"/>
        <v>0</v>
      </c>
      <c r="V36" s="221">
        <f t="shared" si="49"/>
        <v>0</v>
      </c>
      <c r="W36" s="221">
        <f t="shared" si="49"/>
        <v>0</v>
      </c>
      <c r="X36" s="221">
        <f t="shared" si="49"/>
        <v>0</v>
      </c>
      <c r="Y36" s="221">
        <f t="shared" si="49"/>
        <v>0</v>
      </c>
      <c r="Z36" s="221">
        <f t="shared" si="49"/>
        <v>0</v>
      </c>
      <c r="AA36" s="221">
        <f t="shared" si="49"/>
        <v>0</v>
      </c>
      <c r="AB36" s="221">
        <f t="shared" si="49"/>
        <v>0</v>
      </c>
      <c r="AD36" s="11" t="s">
        <v>213</v>
      </c>
      <c r="AE36" s="11"/>
      <c r="AF36" s="221">
        <f ca="1">SUM(AF14:AF35)</f>
        <v>0</v>
      </c>
      <c r="AG36" s="221">
        <f t="shared" ref="AG36:AN36" ca="1" si="50">SUM(AG14:AG35)</f>
        <v>0</v>
      </c>
      <c r="AH36" s="221">
        <f t="shared" ca="1" si="50"/>
        <v>0</v>
      </c>
      <c r="AI36" s="221">
        <f t="shared" ca="1" si="50"/>
        <v>0</v>
      </c>
      <c r="AJ36" s="221">
        <f t="shared" ca="1" si="50"/>
        <v>0</v>
      </c>
      <c r="AK36" s="221">
        <f t="shared" ca="1" si="50"/>
        <v>0</v>
      </c>
      <c r="AL36" s="221">
        <f t="shared" ca="1" si="50"/>
        <v>0</v>
      </c>
      <c r="AM36" s="221">
        <f t="shared" ca="1" si="50"/>
        <v>0</v>
      </c>
      <c r="AN36" s="221">
        <f t="shared" ca="1" si="50"/>
        <v>0</v>
      </c>
      <c r="AO36" s="221"/>
      <c r="AP36" s="221">
        <f t="shared" ref="AP36" ca="1" si="51">SUM(AP14:AP35)</f>
        <v>0</v>
      </c>
      <c r="AR36" s="11" t="s">
        <v>213</v>
      </c>
      <c r="AS36" s="221">
        <f ca="1">SUM(AS14:AS35)</f>
        <v>0</v>
      </c>
      <c r="AT36" s="221">
        <f ca="1">SUM(AT14:AT35)</f>
        <v>0</v>
      </c>
      <c r="AU36" s="221">
        <f t="shared" ref="AU36:BB36" ca="1" si="52">SUM(AU14:AU35)</f>
        <v>0</v>
      </c>
      <c r="AV36" s="221">
        <f t="shared" ca="1" si="52"/>
        <v>0</v>
      </c>
      <c r="AW36" s="221">
        <f t="shared" ca="1" si="52"/>
        <v>0</v>
      </c>
      <c r="AX36" s="221">
        <f t="shared" ca="1" si="52"/>
        <v>0</v>
      </c>
      <c r="AY36" s="221">
        <f t="shared" ca="1" si="52"/>
        <v>0</v>
      </c>
      <c r="AZ36" s="221">
        <f t="shared" ca="1" si="52"/>
        <v>0</v>
      </c>
      <c r="BA36" s="221">
        <f t="shared" ca="1" si="52"/>
        <v>0</v>
      </c>
      <c r="BB36" s="221">
        <f t="shared" ca="1" si="52"/>
        <v>0</v>
      </c>
      <c r="BC36" s="221"/>
      <c r="BD36" s="221">
        <f t="shared" ref="BD36" ca="1" si="53">SUM(BD14:BD35)</f>
        <v>0</v>
      </c>
      <c r="BE36" s="221"/>
      <c r="BG36" s="11" t="s">
        <v>214</v>
      </c>
      <c r="BH36" s="11"/>
      <c r="BI36" s="270">
        <f>SUM(BI15:BI35)</f>
        <v>0</v>
      </c>
      <c r="BJ36" s="270">
        <f>SUM(BJ16:BJ35)</f>
        <v>0</v>
      </c>
      <c r="BK36" s="270">
        <f t="shared" ref="BK36:BQ36" si="54">SUM(BK16:BK35)</f>
        <v>0</v>
      </c>
      <c r="BL36" s="270">
        <f t="shared" si="54"/>
        <v>0</v>
      </c>
      <c r="BM36" s="270">
        <f t="shared" si="54"/>
        <v>0</v>
      </c>
      <c r="BN36" s="270">
        <f t="shared" si="54"/>
        <v>0</v>
      </c>
      <c r="BO36" s="270">
        <f t="shared" si="54"/>
        <v>0</v>
      </c>
      <c r="BP36" s="270">
        <f t="shared" si="54"/>
        <v>0</v>
      </c>
      <c r="BQ36" s="270">
        <f t="shared" si="54"/>
        <v>0</v>
      </c>
      <c r="BR36" s="270">
        <f>SUM(BR15:BR35)</f>
        <v>0</v>
      </c>
      <c r="CG36" s="220" t="s">
        <v>3</v>
      </c>
      <c r="CH36" s="220"/>
      <c r="CI36" s="4">
        <f>SUM(CI14:CI35)</f>
        <v>0</v>
      </c>
      <c r="CJ36" s="4">
        <f t="shared" ref="CJ36:CR36" si="55">SUM(CJ14:CJ35)</f>
        <v>0</v>
      </c>
      <c r="CK36" s="4">
        <f t="shared" si="55"/>
        <v>0</v>
      </c>
      <c r="CL36" s="4">
        <f t="shared" si="55"/>
        <v>0</v>
      </c>
      <c r="CM36" s="4">
        <f t="shared" si="55"/>
        <v>0</v>
      </c>
      <c r="CN36" s="4">
        <f t="shared" si="55"/>
        <v>0</v>
      </c>
      <c r="CO36" s="4">
        <f t="shared" si="55"/>
        <v>0</v>
      </c>
      <c r="CP36" s="4">
        <f t="shared" si="55"/>
        <v>0</v>
      </c>
      <c r="CQ36" s="4">
        <f t="shared" si="55"/>
        <v>0</v>
      </c>
      <c r="CR36" s="4">
        <f t="shared" si="55"/>
        <v>0</v>
      </c>
      <c r="CT36" s="220" t="s">
        <v>88</v>
      </c>
      <c r="CU36" s="220"/>
      <c r="CV36" s="4">
        <f ca="1">SUM(CV14:CV35)</f>
        <v>0</v>
      </c>
      <c r="CW36" s="4">
        <f t="shared" ref="CW36:DE36" ca="1" si="56">SUM(CW14:CW35)</f>
        <v>0</v>
      </c>
      <c r="CX36" s="4">
        <f t="shared" ca="1" si="56"/>
        <v>0</v>
      </c>
      <c r="CY36" s="4">
        <f t="shared" ca="1" si="56"/>
        <v>0</v>
      </c>
      <c r="CZ36" s="4">
        <f t="shared" ca="1" si="56"/>
        <v>0</v>
      </c>
      <c r="DA36" s="4">
        <f t="shared" ca="1" si="56"/>
        <v>0</v>
      </c>
      <c r="DB36" s="4">
        <f t="shared" ca="1" si="56"/>
        <v>0</v>
      </c>
      <c r="DC36" s="4">
        <f t="shared" ca="1" si="56"/>
        <v>0</v>
      </c>
      <c r="DD36" s="4">
        <f t="shared" ca="1" si="56"/>
        <v>0</v>
      </c>
      <c r="DE36" s="4">
        <f t="shared" ca="1" si="56"/>
        <v>0</v>
      </c>
    </row>
    <row r="37" spans="4:109" hidden="1" x14ac:dyDescent="0.25">
      <c r="BG37" s="169" t="s">
        <v>210</v>
      </c>
      <c r="BH37" s="169"/>
      <c r="BI37" s="169">
        <f t="shared" ref="BI37:BR37" si="57">F36</f>
        <v>0</v>
      </c>
      <c r="BJ37" s="169">
        <f t="shared" si="57"/>
        <v>0</v>
      </c>
      <c r="BK37" s="169">
        <f t="shared" si="57"/>
        <v>0</v>
      </c>
      <c r="BL37" s="169">
        <f t="shared" si="57"/>
        <v>0</v>
      </c>
      <c r="BM37" s="169">
        <f t="shared" si="57"/>
        <v>0</v>
      </c>
      <c r="BN37" s="169">
        <f t="shared" si="57"/>
        <v>0</v>
      </c>
      <c r="BO37" s="169">
        <f t="shared" si="57"/>
        <v>0</v>
      </c>
      <c r="BP37" s="169">
        <f t="shared" si="57"/>
        <v>0</v>
      </c>
      <c r="BQ37" s="169">
        <f t="shared" si="57"/>
        <v>0</v>
      </c>
      <c r="BR37" s="169">
        <f t="shared" si="57"/>
        <v>0</v>
      </c>
    </row>
    <row r="38" spans="4:109" hidden="1" x14ac:dyDescent="0.25">
      <c r="Q38" s="77"/>
      <c r="R38" s="77"/>
      <c r="S38" s="172"/>
      <c r="T38" s="172"/>
      <c r="U38" s="172"/>
      <c r="V38" s="172"/>
      <c r="W38" s="172"/>
      <c r="X38" s="172"/>
      <c r="Y38" s="172"/>
      <c r="Z38" s="172"/>
      <c r="AA38" s="172"/>
      <c r="AB38" s="172"/>
      <c r="AD38" s="77"/>
      <c r="AE38" s="77"/>
      <c r="AF38" s="172"/>
      <c r="AG38" s="172"/>
      <c r="AH38" s="172"/>
      <c r="AI38" s="172"/>
      <c r="AJ38" s="172"/>
      <c r="AK38" s="172"/>
      <c r="AL38" s="172"/>
      <c r="AM38" s="172"/>
      <c r="AN38" s="172"/>
      <c r="AO38" s="172"/>
      <c r="AP38" s="172"/>
      <c r="BG38" s="11" t="s">
        <v>211</v>
      </c>
      <c r="BH38" s="11"/>
      <c r="BI38" s="11" t="b">
        <f>BI36=BI37</f>
        <v>1</v>
      </c>
      <c r="BJ38" s="11" t="b">
        <f t="shared" ref="BJ38:BR38" si="58">BJ36=BJ37</f>
        <v>1</v>
      </c>
      <c r="BK38" s="11" t="b">
        <f t="shared" si="58"/>
        <v>1</v>
      </c>
      <c r="BL38" s="11" t="b">
        <f t="shared" si="58"/>
        <v>1</v>
      </c>
      <c r="BM38" s="11" t="b">
        <f t="shared" si="58"/>
        <v>1</v>
      </c>
      <c r="BN38" s="11" t="b">
        <f t="shared" si="58"/>
        <v>1</v>
      </c>
      <c r="BO38" s="11" t="b">
        <f t="shared" si="58"/>
        <v>1</v>
      </c>
      <c r="BP38" s="11" t="b">
        <f t="shared" si="58"/>
        <v>1</v>
      </c>
      <c r="BQ38" s="11" t="b">
        <f t="shared" si="58"/>
        <v>1</v>
      </c>
      <c r="BR38" s="11" t="b">
        <f t="shared" si="58"/>
        <v>1</v>
      </c>
    </row>
    <row r="39" spans="4:109" x14ac:dyDescent="0.25">
      <c r="Q39" s="77"/>
      <c r="R39" s="77"/>
      <c r="S39" s="172"/>
      <c r="T39" s="172"/>
      <c r="U39" s="172"/>
      <c r="V39" s="172"/>
      <c r="W39" s="172"/>
      <c r="X39" s="172"/>
      <c r="Y39" s="172"/>
      <c r="Z39" s="172"/>
      <c r="AA39" s="172"/>
      <c r="AB39" s="172"/>
      <c r="AD39" s="77"/>
      <c r="AE39" s="77"/>
      <c r="AF39" s="172"/>
      <c r="AG39" s="172"/>
      <c r="AH39" s="172"/>
      <c r="AI39" s="172"/>
      <c r="AJ39" s="172"/>
      <c r="AK39" s="172"/>
      <c r="AL39" s="172"/>
      <c r="AM39" s="172"/>
      <c r="AN39" s="172"/>
      <c r="AO39" s="172"/>
      <c r="AP39" s="172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</row>
    <row r="40" spans="4:109" ht="14.1" customHeight="1" x14ac:dyDescent="0.25">
      <c r="D40" s="77" t="s">
        <v>89</v>
      </c>
      <c r="E40" s="172">
        <f t="shared" ref="E40:N40" si="59">E36*E11</f>
        <v>0</v>
      </c>
      <c r="F40" s="284">
        <f t="shared" si="59"/>
        <v>0</v>
      </c>
      <c r="G40" s="284">
        <f t="shared" si="59"/>
        <v>0</v>
      </c>
      <c r="H40" s="284">
        <f t="shared" si="59"/>
        <v>0</v>
      </c>
      <c r="I40" s="284">
        <f t="shared" si="59"/>
        <v>0</v>
      </c>
      <c r="J40" s="284">
        <f t="shared" si="59"/>
        <v>0</v>
      </c>
      <c r="K40" s="284">
        <f t="shared" si="59"/>
        <v>0</v>
      </c>
      <c r="L40" s="284">
        <f t="shared" si="59"/>
        <v>0</v>
      </c>
      <c r="M40" s="284">
        <f t="shared" si="59"/>
        <v>0</v>
      </c>
      <c r="N40" s="284">
        <f t="shared" si="59"/>
        <v>0</v>
      </c>
      <c r="O40" s="284">
        <f>SUM(F40:M40)</f>
        <v>0</v>
      </c>
      <c r="BG40"/>
      <c r="BH40"/>
      <c r="BI40"/>
      <c r="BJ40"/>
      <c r="BK40"/>
      <c r="BL40"/>
      <c r="BM40"/>
      <c r="BN40"/>
      <c r="BO40"/>
      <c r="BP40"/>
      <c r="BQ40"/>
    </row>
    <row r="41" spans="4:109" x14ac:dyDescent="0.25">
      <c r="D41" s="189"/>
      <c r="E41" s="189"/>
      <c r="Q41" s="189"/>
      <c r="R41" s="189"/>
      <c r="AD41" s="189"/>
      <c r="AE41" s="189"/>
      <c r="BG41" s="77" t="s">
        <v>323</v>
      </c>
      <c r="BH41" s="77"/>
      <c r="BI41" s="172">
        <f>BI36*BI11</f>
        <v>0</v>
      </c>
      <c r="BJ41" s="172">
        <f>BJ36*BJ11</f>
        <v>0</v>
      </c>
      <c r="BK41" s="172">
        <f t="shared" ref="BK41:BQ41" si="60">BK36*BK11</f>
        <v>0</v>
      </c>
      <c r="BL41" s="172">
        <f t="shared" si="60"/>
        <v>0</v>
      </c>
      <c r="BM41" s="172">
        <f t="shared" si="60"/>
        <v>0</v>
      </c>
      <c r="BN41" s="172">
        <f t="shared" si="60"/>
        <v>0</v>
      </c>
      <c r="BO41" s="172">
        <f t="shared" si="60"/>
        <v>0</v>
      </c>
      <c r="BP41" s="172">
        <f t="shared" si="60"/>
        <v>0</v>
      </c>
      <c r="BQ41" s="172">
        <f t="shared" si="60"/>
        <v>0</v>
      </c>
      <c r="BR41" s="172">
        <f>SUM(BI41:BP41)</f>
        <v>0</v>
      </c>
    </row>
    <row r="42" spans="4:109" x14ac:dyDescent="0.25">
      <c r="R42" s="7">
        <f>642340/0.29</f>
        <v>2214965.5172413792</v>
      </c>
      <c r="BG42" s="189" t="str">
        <f>"Base Pricing for Residential Homes Provided by "&amp;DEVELOPER&amp;""</f>
        <v>Base Pricing for Residential Homes Provided by D.R. Horton</v>
      </c>
    </row>
    <row r="43" spans="4:109" x14ac:dyDescent="0.25">
      <c r="R43" s="208">
        <f>R42-S17</f>
        <v>2214965.5172413792</v>
      </c>
    </row>
    <row r="46" spans="4:109" x14ac:dyDescent="0.25">
      <c r="BG46" s="132"/>
      <c r="BI46" s="292"/>
      <c r="BJ46" s="292"/>
      <c r="BK46" s="292"/>
      <c r="BL46" s="292"/>
      <c r="BM46" s="292"/>
      <c r="BN46" s="292"/>
      <c r="BO46" s="292"/>
      <c r="BP46" s="292"/>
      <c r="BQ46" s="292"/>
    </row>
    <row r="47" spans="4:109" x14ac:dyDescent="0.25">
      <c r="BG47" s="132"/>
      <c r="BI47" s="292"/>
      <c r="BJ47" s="292"/>
      <c r="BK47" s="292"/>
      <c r="BL47" s="292"/>
      <c r="BM47" s="292"/>
      <c r="BN47" s="292"/>
      <c r="BO47" s="292"/>
      <c r="BP47" s="292"/>
      <c r="BQ47" s="292"/>
    </row>
    <row r="48" spans="4:109" x14ac:dyDescent="0.25">
      <c r="BG48" s="132"/>
      <c r="BI48" s="292"/>
      <c r="BJ48" s="292"/>
      <c r="BK48" s="292"/>
      <c r="BL48" s="292"/>
      <c r="BM48" s="292"/>
      <c r="BN48" s="292"/>
      <c r="BO48" s="292"/>
      <c r="BP48" s="292"/>
      <c r="BQ48" s="292"/>
    </row>
    <row r="49" spans="59:69" x14ac:dyDescent="0.25">
      <c r="BG49" s="132"/>
      <c r="BI49" s="292"/>
      <c r="BJ49" s="292"/>
      <c r="BK49" s="292"/>
      <c r="BL49" s="292"/>
      <c r="BM49" s="292"/>
      <c r="BN49" s="292"/>
      <c r="BO49" s="292"/>
      <c r="BP49" s="292"/>
      <c r="BQ49" s="292"/>
    </row>
    <row r="50" spans="59:69" x14ac:dyDescent="0.25">
      <c r="BG50" s="132"/>
      <c r="BI50" s="292"/>
      <c r="BJ50" s="292"/>
      <c r="BK50" s="292"/>
      <c r="BL50" s="292"/>
      <c r="BM50" s="292"/>
      <c r="BN50" s="292"/>
      <c r="BO50" s="292"/>
      <c r="BP50" s="292"/>
      <c r="BQ50" s="292"/>
    </row>
    <row r="54" spans="59:69" x14ac:dyDescent="0.25">
      <c r="BG54" s="75"/>
      <c r="BH54" s="75"/>
    </row>
    <row r="55" spans="59:69" x14ac:dyDescent="0.25">
      <c r="BG55" s="75"/>
      <c r="BH55" s="75"/>
    </row>
    <row r="56" spans="59:69" x14ac:dyDescent="0.25">
      <c r="BG56" s="75"/>
      <c r="BH56" s="75"/>
    </row>
    <row r="57" spans="59:69" x14ac:dyDescent="0.25">
      <c r="BG57" s="75"/>
      <c r="BH57" s="75"/>
    </row>
    <row r="69" ht="6.95" customHeight="1" x14ac:dyDescent="0.25"/>
    <row r="72" ht="14.1" customHeight="1" x14ac:dyDescent="0.25"/>
  </sheetData>
  <conditionalFormatting sqref="BI38 BR38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BJ38:BQ38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scale="20" orientation="landscape" r:id="rId1"/>
  <headerFooter>
    <oddFooter>&amp;L&amp;"-,Bold Italic"&amp;K002060&amp;GPrepared by Tierra Financial Advisors, LLC&amp;R&amp;"-,Italic"&amp;8Preliminary, subject to change.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DB299-F73E-4608-823B-EBF68F991DD9}">
  <sheetPr codeName="Sheet7">
    <pageSetUpPr fitToPage="1"/>
  </sheetPr>
  <dimension ref="A1:K54"/>
  <sheetViews>
    <sheetView showGridLines="0" zoomScale="75" zoomScaleNormal="75" workbookViewId="0">
      <selection activeCell="L22" sqref="L22"/>
    </sheetView>
  </sheetViews>
  <sheetFormatPr defaultRowHeight="15" x14ac:dyDescent="0.25"/>
  <cols>
    <col min="3" max="8" width="16.7109375" style="11" customWidth="1"/>
    <col min="9" max="10" width="16.7109375" style="11" hidden="1" customWidth="1"/>
    <col min="11" max="11" width="16.7109375" style="11" customWidth="1"/>
  </cols>
  <sheetData>
    <row r="1" spans="1:11" ht="26.25" x14ac:dyDescent="0.4">
      <c r="C1" s="111" t="str">
        <f>METRO</f>
        <v>Viridian Farm Public Improvement District</v>
      </c>
    </row>
    <row r="2" spans="1:11" ht="18.75" x14ac:dyDescent="0.3">
      <c r="C2" s="110" t="s">
        <v>476</v>
      </c>
    </row>
    <row r="3" spans="1:11" ht="15.75" x14ac:dyDescent="0.25">
      <c r="C3" s="109" t="str">
        <f>ANALYSIS</f>
        <v>Development Projections at 3.000 Mills for Debt Service</v>
      </c>
    </row>
    <row r="4" spans="1:11" x14ac:dyDescent="0.25">
      <c r="C4" s="99" t="str">
        <f ca="1">SENIOR_BONDS_SERIES &amp; " - " &amp;TEXT('Sources and Uses - First'!$B$12/1000000,"$0.00") &amp; "MM " &amp; "(" &amp; TEXT(DSC_SENIOR_LIEN_BONDS,"0.00x") &amp; ")" &amp; " and " &amp; SUB_BONDS_SERIES &amp; " - " &amp;TEXT('Sources and Uses - First'!$D$12/1000000,"$0.00") &amp; "MM " &amp; "(" &amp; TEXT(DSC_SUB_LIEN_BONDS,"0.00x") &amp; ")"</f>
        <v>Series 2024A - $5.69MM (1.30x) and Series 2024B - $1.00MM (1.00x)</v>
      </c>
    </row>
    <row r="6" spans="1:11" x14ac:dyDescent="0.25">
      <c r="I6" s="242" t="s">
        <v>357</v>
      </c>
      <c r="J6" s="243"/>
    </row>
    <row r="7" spans="1:11" s="17" customFormat="1" ht="45" x14ac:dyDescent="0.25">
      <c r="C7" s="5" t="s">
        <v>0</v>
      </c>
      <c r="D7" s="5" t="s">
        <v>19</v>
      </c>
      <c r="E7" s="5" t="s">
        <v>20</v>
      </c>
      <c r="F7" s="5" t="str">
        <f>"Total Collections @ " &amp; TEXT(TAX_COLLECT_MILL_PRC, "0.00%")</f>
        <v>Total Collections @ 98.00%</v>
      </c>
      <c r="G7" s="5" t="str">
        <f>"Specific Ownership Tax @ " &amp; TEXT(TAX_COLLECT_SO_PRC, "0.00%")</f>
        <v>Specific Ownership Tax @ 0.00%</v>
      </c>
      <c r="H7" s="5" t="s">
        <v>21</v>
      </c>
      <c r="I7" s="244" t="s">
        <v>330</v>
      </c>
      <c r="J7" s="245" t="s">
        <v>331</v>
      </c>
      <c r="K7" s="5" t="s">
        <v>22</v>
      </c>
    </row>
    <row r="8" spans="1:11" hidden="1" x14ac:dyDescent="0.25">
      <c r="C8" s="75">
        <f>Summary!C12</f>
        <v>44986</v>
      </c>
      <c r="D8" s="4">
        <f>Summary!AG12</f>
        <v>0</v>
      </c>
      <c r="I8" s="246"/>
      <c r="J8" s="247"/>
    </row>
    <row r="9" spans="1:11" x14ac:dyDescent="0.25">
      <c r="C9" s="75">
        <f>Summary!C13</f>
        <v>45352</v>
      </c>
      <c r="D9" s="4">
        <f ca="1">Summary!AG13</f>
        <v>131917.5</v>
      </c>
      <c r="I9" s="246"/>
      <c r="J9" s="247"/>
    </row>
    <row r="10" spans="1:11" x14ac:dyDescent="0.25">
      <c r="C10" s="75">
        <f>Summary!C14</f>
        <v>45717</v>
      </c>
      <c r="D10" s="4">
        <f ca="1">Summary!AG14</f>
        <v>5946325.495000001</v>
      </c>
      <c r="E10" s="18">
        <f t="shared" ref="E10:E52" si="0">MILL_LEVY_OPS_TARGET</f>
        <v>0</v>
      </c>
      <c r="F10" s="19">
        <f ca="1">D10/1000*E10*0.98</f>
        <v>0</v>
      </c>
      <c r="G10" s="19">
        <f t="shared" ref="G10:G52" ca="1" si="1">D10/1000*E10*TAX_COLLECT_SO_PRC*TAX_COLLECT_MILL_PRC</f>
        <v>0</v>
      </c>
      <c r="H10" s="19">
        <f ca="1">SUM(F10:G10)</f>
        <v>0</v>
      </c>
      <c r="I10" s="248">
        <f t="shared" ref="I10:I52" si="2">CONTRIBUTION_RATE</f>
        <v>0</v>
      </c>
      <c r="J10" s="249">
        <f t="shared" ref="J10:J52" ca="1" si="3">D10/1000*I10*TAX_COLLECT_MILL_PRC</f>
        <v>0</v>
      </c>
      <c r="K10" s="18">
        <f t="shared" ref="K10:K52" si="4">MILL_LEVY_DS_TARGET+MILL_LEVY_OPS_TARGET+CONTRIBUTION_RATE</f>
        <v>3</v>
      </c>
    </row>
    <row r="11" spans="1:11" x14ac:dyDescent="0.25">
      <c r="A11">
        <v>1</v>
      </c>
      <c r="C11" s="75">
        <f>Summary!C15</f>
        <v>46082</v>
      </c>
      <c r="D11" s="4">
        <f ca="1">Summary!AG15</f>
        <v>54266366.478500001</v>
      </c>
      <c r="E11" s="18">
        <f t="shared" si="0"/>
        <v>0</v>
      </c>
      <c r="F11" s="19">
        <f t="shared" ref="F11:F50" ca="1" si="5">D11/1000*E11*TAX_COLLECT_MILL_PRC</f>
        <v>0</v>
      </c>
      <c r="G11" s="19">
        <f t="shared" ca="1" si="1"/>
        <v>0</v>
      </c>
      <c r="H11" s="19">
        <f t="shared" ref="H11:H40" ca="1" si="6">SUM(F11:G11)</f>
        <v>0</v>
      </c>
      <c r="I11" s="248">
        <f t="shared" si="2"/>
        <v>0</v>
      </c>
      <c r="J11" s="249">
        <f t="shared" ca="1" si="3"/>
        <v>0</v>
      </c>
      <c r="K11" s="18">
        <f t="shared" si="4"/>
        <v>3</v>
      </c>
    </row>
    <row r="12" spans="1:11" x14ac:dyDescent="0.25">
      <c r="A12">
        <f>A11+1</f>
        <v>2</v>
      </c>
      <c r="C12" s="75">
        <f>Summary!C16</f>
        <v>46447</v>
      </c>
      <c r="D12" s="4">
        <f ca="1">Summary!AG16</f>
        <v>109036198.04665501</v>
      </c>
      <c r="E12" s="18">
        <f t="shared" si="0"/>
        <v>0</v>
      </c>
      <c r="F12" s="19">
        <f t="shared" ca="1" si="5"/>
        <v>0</v>
      </c>
      <c r="G12" s="19">
        <f t="shared" ca="1" si="1"/>
        <v>0</v>
      </c>
      <c r="H12" s="19">
        <f t="shared" ca="1" si="6"/>
        <v>0</v>
      </c>
      <c r="I12" s="248">
        <f t="shared" si="2"/>
        <v>0</v>
      </c>
      <c r="J12" s="249">
        <f t="shared" ca="1" si="3"/>
        <v>0</v>
      </c>
      <c r="K12" s="18">
        <f t="shared" si="4"/>
        <v>3</v>
      </c>
    </row>
    <row r="13" spans="1:11" x14ac:dyDescent="0.25">
      <c r="A13">
        <f t="shared" ref="A13:A50" si="7">A12+1</f>
        <v>3</v>
      </c>
      <c r="C13" s="75">
        <f>Summary!C17</f>
        <v>46813</v>
      </c>
      <c r="D13" s="4">
        <f ca="1">Summary!AG17</f>
        <v>147900823.60047394</v>
      </c>
      <c r="E13" s="18">
        <f t="shared" si="0"/>
        <v>0</v>
      </c>
      <c r="F13" s="19">
        <f t="shared" ca="1" si="5"/>
        <v>0</v>
      </c>
      <c r="G13" s="19">
        <f t="shared" ca="1" si="1"/>
        <v>0</v>
      </c>
      <c r="H13" s="19">
        <f t="shared" ca="1" si="6"/>
        <v>0</v>
      </c>
      <c r="I13" s="248">
        <f t="shared" si="2"/>
        <v>0</v>
      </c>
      <c r="J13" s="249">
        <f t="shared" ca="1" si="3"/>
        <v>0</v>
      </c>
      <c r="K13" s="18">
        <f t="shared" si="4"/>
        <v>3</v>
      </c>
    </row>
    <row r="14" spans="1:11" x14ac:dyDescent="0.25">
      <c r="A14">
        <f t="shared" si="7"/>
        <v>4</v>
      </c>
      <c r="C14" s="75">
        <f>Summary!C18</f>
        <v>47178</v>
      </c>
      <c r="D14" s="4">
        <f ca="1">Summary!AG18</f>
        <v>172718643.66197357</v>
      </c>
      <c r="E14" s="18">
        <f t="shared" si="0"/>
        <v>0</v>
      </c>
      <c r="F14" s="19">
        <f t="shared" ca="1" si="5"/>
        <v>0</v>
      </c>
      <c r="G14" s="19">
        <f t="shared" ca="1" si="1"/>
        <v>0</v>
      </c>
      <c r="H14" s="19">
        <f t="shared" ca="1" si="6"/>
        <v>0</v>
      </c>
      <c r="I14" s="248">
        <f t="shared" si="2"/>
        <v>0</v>
      </c>
      <c r="J14" s="249">
        <f t="shared" ca="1" si="3"/>
        <v>0</v>
      </c>
      <c r="K14" s="18">
        <f t="shared" si="4"/>
        <v>3</v>
      </c>
    </row>
    <row r="15" spans="1:11" x14ac:dyDescent="0.25">
      <c r="A15">
        <f t="shared" si="7"/>
        <v>5</v>
      </c>
      <c r="C15" s="75">
        <f>Summary!C19</f>
        <v>47543</v>
      </c>
      <c r="D15" s="4">
        <f ca="1">Summary!AG19</f>
        <v>195362876.98341802</v>
      </c>
      <c r="E15" s="18">
        <f t="shared" si="0"/>
        <v>0</v>
      </c>
      <c r="F15" s="19">
        <f t="shared" ca="1" si="5"/>
        <v>0</v>
      </c>
      <c r="G15" s="19">
        <f t="shared" ca="1" si="1"/>
        <v>0</v>
      </c>
      <c r="H15" s="19">
        <f t="shared" ca="1" si="6"/>
        <v>0</v>
      </c>
      <c r="I15" s="248">
        <f t="shared" si="2"/>
        <v>0</v>
      </c>
      <c r="J15" s="249">
        <f t="shared" ca="1" si="3"/>
        <v>0</v>
      </c>
      <c r="K15" s="18">
        <f t="shared" si="4"/>
        <v>3</v>
      </c>
    </row>
    <row r="16" spans="1:11" x14ac:dyDescent="0.25">
      <c r="A16">
        <f t="shared" si="7"/>
        <v>6</v>
      </c>
      <c r="C16" s="75">
        <f>Summary!C20</f>
        <v>47908</v>
      </c>
      <c r="D16" s="4">
        <f ca="1">Summary!AG20</f>
        <v>197316505.75325221</v>
      </c>
      <c r="E16" s="18">
        <f t="shared" si="0"/>
        <v>0</v>
      </c>
      <c r="F16" s="19">
        <f t="shared" ca="1" si="5"/>
        <v>0</v>
      </c>
      <c r="G16" s="19">
        <f t="shared" ca="1" si="1"/>
        <v>0</v>
      </c>
      <c r="H16" s="19">
        <f t="shared" ca="1" si="6"/>
        <v>0</v>
      </c>
      <c r="I16" s="248">
        <f t="shared" si="2"/>
        <v>0</v>
      </c>
      <c r="J16" s="249">
        <f t="shared" ca="1" si="3"/>
        <v>0</v>
      </c>
      <c r="K16" s="18">
        <f t="shared" si="4"/>
        <v>3</v>
      </c>
    </row>
    <row r="17" spans="1:11" x14ac:dyDescent="0.25">
      <c r="A17">
        <f t="shared" si="7"/>
        <v>7</v>
      </c>
      <c r="C17" s="75">
        <f>Summary!C21</f>
        <v>48274</v>
      </c>
      <c r="D17" s="4">
        <f ca="1">Summary!AG21</f>
        <v>199289670.81078473</v>
      </c>
      <c r="E17" s="18">
        <f t="shared" si="0"/>
        <v>0</v>
      </c>
      <c r="F17" s="19">
        <f t="shared" ca="1" si="5"/>
        <v>0</v>
      </c>
      <c r="G17" s="19">
        <f t="shared" ca="1" si="1"/>
        <v>0</v>
      </c>
      <c r="H17" s="19">
        <f t="shared" ca="1" si="6"/>
        <v>0</v>
      </c>
      <c r="I17" s="248">
        <f t="shared" si="2"/>
        <v>0</v>
      </c>
      <c r="J17" s="249">
        <f t="shared" ca="1" si="3"/>
        <v>0</v>
      </c>
      <c r="K17" s="18">
        <f t="shared" si="4"/>
        <v>3</v>
      </c>
    </row>
    <row r="18" spans="1:11" x14ac:dyDescent="0.25">
      <c r="A18">
        <f t="shared" si="7"/>
        <v>8</v>
      </c>
      <c r="C18" s="75">
        <f>Summary!C22</f>
        <v>48639</v>
      </c>
      <c r="D18" s="4">
        <f ca="1">Summary!AG22</f>
        <v>201282567.51889259</v>
      </c>
      <c r="E18" s="18">
        <f t="shared" si="0"/>
        <v>0</v>
      </c>
      <c r="F18" s="19">
        <f t="shared" ca="1" si="5"/>
        <v>0</v>
      </c>
      <c r="G18" s="19">
        <f t="shared" ca="1" si="1"/>
        <v>0</v>
      </c>
      <c r="H18" s="19">
        <f t="shared" ca="1" si="6"/>
        <v>0</v>
      </c>
      <c r="I18" s="248">
        <f t="shared" si="2"/>
        <v>0</v>
      </c>
      <c r="J18" s="249">
        <f t="shared" ca="1" si="3"/>
        <v>0</v>
      </c>
      <c r="K18" s="18">
        <f t="shared" si="4"/>
        <v>3</v>
      </c>
    </row>
    <row r="19" spans="1:11" x14ac:dyDescent="0.25">
      <c r="A19">
        <f t="shared" si="7"/>
        <v>9</v>
      </c>
      <c r="C19" s="75">
        <f>Summary!C23</f>
        <v>49004</v>
      </c>
      <c r="D19" s="4">
        <f ca="1">Summary!AG23</f>
        <v>203295393.19408152</v>
      </c>
      <c r="E19" s="18">
        <f t="shared" si="0"/>
        <v>0</v>
      </c>
      <c r="F19" s="19">
        <f t="shared" ca="1" si="5"/>
        <v>0</v>
      </c>
      <c r="G19" s="19">
        <f t="shared" ca="1" si="1"/>
        <v>0</v>
      </c>
      <c r="H19" s="19">
        <f t="shared" ca="1" si="6"/>
        <v>0</v>
      </c>
      <c r="I19" s="248">
        <f t="shared" si="2"/>
        <v>0</v>
      </c>
      <c r="J19" s="249">
        <f t="shared" ca="1" si="3"/>
        <v>0</v>
      </c>
      <c r="K19" s="18">
        <f t="shared" si="4"/>
        <v>3</v>
      </c>
    </row>
    <row r="20" spans="1:11" x14ac:dyDescent="0.25">
      <c r="A20">
        <f t="shared" si="7"/>
        <v>10</v>
      </c>
      <c r="C20" s="75">
        <f>Summary!C24</f>
        <v>49369</v>
      </c>
      <c r="D20" s="4">
        <f ca="1">Summary!AG24</f>
        <v>205328347.12602234</v>
      </c>
      <c r="E20" s="18">
        <f t="shared" si="0"/>
        <v>0</v>
      </c>
      <c r="F20" s="19">
        <f t="shared" ca="1" si="5"/>
        <v>0</v>
      </c>
      <c r="G20" s="19">
        <f t="shared" ca="1" si="1"/>
        <v>0</v>
      </c>
      <c r="H20" s="19">
        <f t="shared" ca="1" si="6"/>
        <v>0</v>
      </c>
      <c r="I20" s="248">
        <f t="shared" si="2"/>
        <v>0</v>
      </c>
      <c r="J20" s="249">
        <f t="shared" ca="1" si="3"/>
        <v>0</v>
      </c>
      <c r="K20" s="18">
        <f t="shared" si="4"/>
        <v>3</v>
      </c>
    </row>
    <row r="21" spans="1:11" x14ac:dyDescent="0.25">
      <c r="A21">
        <f t="shared" si="7"/>
        <v>11</v>
      </c>
      <c r="C21" s="75">
        <f>Summary!C25</f>
        <v>49735</v>
      </c>
      <c r="D21" s="4">
        <f ca="1">Summary!AG25</f>
        <v>207381630.59728259</v>
      </c>
      <c r="E21" s="18">
        <f t="shared" si="0"/>
        <v>0</v>
      </c>
      <c r="F21" s="19">
        <f t="shared" ca="1" si="5"/>
        <v>0</v>
      </c>
      <c r="G21" s="19">
        <f t="shared" ca="1" si="1"/>
        <v>0</v>
      </c>
      <c r="H21" s="19">
        <f t="shared" ca="1" si="6"/>
        <v>0</v>
      </c>
      <c r="I21" s="248">
        <f t="shared" si="2"/>
        <v>0</v>
      </c>
      <c r="J21" s="249">
        <f t="shared" ca="1" si="3"/>
        <v>0</v>
      </c>
      <c r="K21" s="18">
        <f t="shared" si="4"/>
        <v>3</v>
      </c>
    </row>
    <row r="22" spans="1:11" x14ac:dyDescent="0.25">
      <c r="A22">
        <f t="shared" si="7"/>
        <v>12</v>
      </c>
      <c r="C22" s="75">
        <f>Summary!C26</f>
        <v>50100</v>
      </c>
      <c r="D22" s="4">
        <f ca="1">Summary!AG26</f>
        <v>209455446.9032554</v>
      </c>
      <c r="E22" s="18">
        <f t="shared" si="0"/>
        <v>0</v>
      </c>
      <c r="F22" s="19">
        <f t="shared" ca="1" si="5"/>
        <v>0</v>
      </c>
      <c r="G22" s="19">
        <f t="shared" ca="1" si="1"/>
        <v>0</v>
      </c>
      <c r="H22" s="19">
        <f t="shared" ca="1" si="6"/>
        <v>0</v>
      </c>
      <c r="I22" s="248">
        <f t="shared" si="2"/>
        <v>0</v>
      </c>
      <c r="J22" s="249">
        <f t="shared" ca="1" si="3"/>
        <v>0</v>
      </c>
      <c r="K22" s="18">
        <f t="shared" si="4"/>
        <v>3</v>
      </c>
    </row>
    <row r="23" spans="1:11" x14ac:dyDescent="0.25">
      <c r="A23">
        <f t="shared" si="7"/>
        <v>13</v>
      </c>
      <c r="C23" s="75">
        <f>Summary!C27</f>
        <v>50465</v>
      </c>
      <c r="D23" s="4">
        <f ca="1">Summary!AG27</f>
        <v>211550001.37228799</v>
      </c>
      <c r="E23" s="18">
        <f t="shared" si="0"/>
        <v>0</v>
      </c>
      <c r="F23" s="19">
        <f t="shared" ca="1" si="5"/>
        <v>0</v>
      </c>
      <c r="G23" s="19">
        <f t="shared" ca="1" si="1"/>
        <v>0</v>
      </c>
      <c r="H23" s="19">
        <f t="shared" ca="1" si="6"/>
        <v>0</v>
      </c>
      <c r="I23" s="248">
        <f t="shared" si="2"/>
        <v>0</v>
      </c>
      <c r="J23" s="249">
        <f t="shared" ca="1" si="3"/>
        <v>0</v>
      </c>
      <c r="K23" s="18">
        <f t="shared" si="4"/>
        <v>3</v>
      </c>
    </row>
    <row r="24" spans="1:11" x14ac:dyDescent="0.25">
      <c r="A24">
        <f t="shared" si="7"/>
        <v>14</v>
      </c>
      <c r="C24" s="75">
        <f>Summary!C28</f>
        <v>50830</v>
      </c>
      <c r="D24" s="4">
        <f ca="1">Summary!AG28</f>
        <v>213665501.38601086</v>
      </c>
      <c r="E24" s="18">
        <f t="shared" si="0"/>
        <v>0</v>
      </c>
      <c r="F24" s="19">
        <f t="shared" ca="1" si="5"/>
        <v>0</v>
      </c>
      <c r="G24" s="19">
        <f t="shared" ca="1" si="1"/>
        <v>0</v>
      </c>
      <c r="H24" s="19">
        <f t="shared" ca="1" si="6"/>
        <v>0</v>
      </c>
      <c r="I24" s="248">
        <f t="shared" si="2"/>
        <v>0</v>
      </c>
      <c r="J24" s="249">
        <f t="shared" ca="1" si="3"/>
        <v>0</v>
      </c>
      <c r="K24" s="18">
        <f t="shared" si="4"/>
        <v>3</v>
      </c>
    </row>
    <row r="25" spans="1:11" x14ac:dyDescent="0.25">
      <c r="A25">
        <f t="shared" si="7"/>
        <v>15</v>
      </c>
      <c r="C25" s="75">
        <f>Summary!C29</f>
        <v>51196</v>
      </c>
      <c r="D25" s="4">
        <f ca="1">Summary!AG29</f>
        <v>215802156.39987096</v>
      </c>
      <c r="E25" s="18">
        <f t="shared" si="0"/>
        <v>0</v>
      </c>
      <c r="F25" s="19">
        <f t="shared" ca="1" si="5"/>
        <v>0</v>
      </c>
      <c r="G25" s="19">
        <f t="shared" ca="1" si="1"/>
        <v>0</v>
      </c>
      <c r="H25" s="19">
        <f t="shared" ca="1" si="6"/>
        <v>0</v>
      </c>
      <c r="I25" s="248">
        <f t="shared" si="2"/>
        <v>0</v>
      </c>
      <c r="J25" s="249">
        <f t="shared" ca="1" si="3"/>
        <v>0</v>
      </c>
      <c r="K25" s="18">
        <f t="shared" si="4"/>
        <v>3</v>
      </c>
    </row>
    <row r="26" spans="1:11" x14ac:dyDescent="0.25">
      <c r="A26">
        <f t="shared" si="7"/>
        <v>16</v>
      </c>
      <c r="C26" s="75">
        <f>Summary!C30</f>
        <v>51561</v>
      </c>
      <c r="D26" s="4">
        <f ca="1">Summary!AG30</f>
        <v>217960177.96386969</v>
      </c>
      <c r="E26" s="18">
        <f t="shared" si="0"/>
        <v>0</v>
      </c>
      <c r="F26" s="19">
        <f t="shared" ca="1" si="5"/>
        <v>0</v>
      </c>
      <c r="G26" s="19">
        <f t="shared" ca="1" si="1"/>
        <v>0</v>
      </c>
      <c r="H26" s="19">
        <f t="shared" ca="1" si="6"/>
        <v>0</v>
      </c>
      <c r="I26" s="248">
        <f t="shared" si="2"/>
        <v>0</v>
      </c>
      <c r="J26" s="249">
        <f t="shared" ca="1" si="3"/>
        <v>0</v>
      </c>
      <c r="K26" s="18">
        <f t="shared" si="4"/>
        <v>3</v>
      </c>
    </row>
    <row r="27" spans="1:11" x14ac:dyDescent="0.25">
      <c r="A27">
        <f t="shared" si="7"/>
        <v>17</v>
      </c>
      <c r="C27" s="75">
        <f>Summary!C31</f>
        <v>51926</v>
      </c>
      <c r="D27" s="4">
        <f ca="1">Summary!AG31</f>
        <v>220139779.74350837</v>
      </c>
      <c r="E27" s="18">
        <f t="shared" si="0"/>
        <v>0</v>
      </c>
      <c r="F27" s="19">
        <f t="shared" ca="1" si="5"/>
        <v>0</v>
      </c>
      <c r="G27" s="19">
        <f t="shared" ca="1" si="1"/>
        <v>0</v>
      </c>
      <c r="H27" s="19">
        <f t="shared" ca="1" si="6"/>
        <v>0</v>
      </c>
      <c r="I27" s="248">
        <f t="shared" si="2"/>
        <v>0</v>
      </c>
      <c r="J27" s="249">
        <f t="shared" ca="1" si="3"/>
        <v>0</v>
      </c>
      <c r="K27" s="18">
        <f t="shared" si="4"/>
        <v>3</v>
      </c>
    </row>
    <row r="28" spans="1:11" x14ac:dyDescent="0.25">
      <c r="A28">
        <f t="shared" si="7"/>
        <v>18</v>
      </c>
      <c r="C28" s="75">
        <f>Summary!C32</f>
        <v>52291</v>
      </c>
      <c r="D28" s="4">
        <f ca="1">Summary!AG32</f>
        <v>222341177.54094347</v>
      </c>
      <c r="E28" s="18">
        <f t="shared" si="0"/>
        <v>0</v>
      </c>
      <c r="F28" s="19">
        <f t="shared" ca="1" si="5"/>
        <v>0</v>
      </c>
      <c r="G28" s="19">
        <f t="shared" ca="1" si="1"/>
        <v>0</v>
      </c>
      <c r="H28" s="19">
        <f t="shared" ca="1" si="6"/>
        <v>0</v>
      </c>
      <c r="I28" s="248">
        <f t="shared" si="2"/>
        <v>0</v>
      </c>
      <c r="J28" s="249">
        <f t="shared" ca="1" si="3"/>
        <v>0</v>
      </c>
      <c r="K28" s="18">
        <f t="shared" si="4"/>
        <v>3</v>
      </c>
    </row>
    <row r="29" spans="1:11" x14ac:dyDescent="0.25">
      <c r="A29">
        <f t="shared" si="7"/>
        <v>19</v>
      </c>
      <c r="C29" s="75">
        <f>Summary!C33</f>
        <v>52657</v>
      </c>
      <c r="D29" s="4">
        <f ca="1">Summary!AG33</f>
        <v>224564589.3163529</v>
      </c>
      <c r="E29" s="18">
        <f t="shared" si="0"/>
        <v>0</v>
      </c>
      <c r="F29" s="19">
        <f t="shared" ca="1" si="5"/>
        <v>0</v>
      </c>
      <c r="G29" s="19">
        <f t="shared" ca="1" si="1"/>
        <v>0</v>
      </c>
      <c r="H29" s="19">
        <f t="shared" ca="1" si="6"/>
        <v>0</v>
      </c>
      <c r="I29" s="248">
        <f t="shared" si="2"/>
        <v>0</v>
      </c>
      <c r="J29" s="249">
        <f t="shared" ca="1" si="3"/>
        <v>0</v>
      </c>
      <c r="K29" s="18">
        <f t="shared" si="4"/>
        <v>3</v>
      </c>
    </row>
    <row r="30" spans="1:11" x14ac:dyDescent="0.25">
      <c r="A30">
        <f t="shared" si="7"/>
        <v>20</v>
      </c>
      <c r="C30" s="75">
        <f>Summary!C34</f>
        <v>53022</v>
      </c>
      <c r="D30" s="4">
        <f ca="1">Summary!AG34</f>
        <v>226810235.20951644</v>
      </c>
      <c r="E30" s="18">
        <f t="shared" si="0"/>
        <v>0</v>
      </c>
      <c r="F30" s="19">
        <f t="shared" ca="1" si="5"/>
        <v>0</v>
      </c>
      <c r="G30" s="19">
        <f t="shared" ca="1" si="1"/>
        <v>0</v>
      </c>
      <c r="H30" s="19">
        <f t="shared" ca="1" si="6"/>
        <v>0</v>
      </c>
      <c r="I30" s="248">
        <f t="shared" si="2"/>
        <v>0</v>
      </c>
      <c r="J30" s="249">
        <f t="shared" ca="1" si="3"/>
        <v>0</v>
      </c>
      <c r="K30" s="18">
        <f t="shared" si="4"/>
        <v>3</v>
      </c>
    </row>
    <row r="31" spans="1:11" x14ac:dyDescent="0.25">
      <c r="A31">
        <f t="shared" si="7"/>
        <v>21</v>
      </c>
      <c r="C31" s="75">
        <f>Summary!C35</f>
        <v>53387</v>
      </c>
      <c r="D31" s="4">
        <f ca="1">Summary!AG35</f>
        <v>229078337.56161159</v>
      </c>
      <c r="E31" s="18">
        <f t="shared" si="0"/>
        <v>0</v>
      </c>
      <c r="F31" s="19">
        <f t="shared" ca="1" si="5"/>
        <v>0</v>
      </c>
      <c r="G31" s="19">
        <f t="shared" ca="1" si="1"/>
        <v>0</v>
      </c>
      <c r="H31" s="19">
        <f t="shared" ca="1" si="6"/>
        <v>0</v>
      </c>
      <c r="I31" s="248">
        <f t="shared" si="2"/>
        <v>0</v>
      </c>
      <c r="J31" s="249">
        <f t="shared" ca="1" si="3"/>
        <v>0</v>
      </c>
      <c r="K31" s="18">
        <f t="shared" si="4"/>
        <v>3</v>
      </c>
    </row>
    <row r="32" spans="1:11" x14ac:dyDescent="0.25">
      <c r="A32">
        <f t="shared" si="7"/>
        <v>22</v>
      </c>
      <c r="C32" s="75">
        <f>Summary!C36</f>
        <v>53752</v>
      </c>
      <c r="D32" s="4">
        <f ca="1">Summary!AG36</f>
        <v>231369120.9372277</v>
      </c>
      <c r="E32" s="18">
        <f t="shared" si="0"/>
        <v>0</v>
      </c>
      <c r="F32" s="19">
        <f t="shared" ca="1" si="5"/>
        <v>0</v>
      </c>
      <c r="G32" s="19">
        <f t="shared" ca="1" si="1"/>
        <v>0</v>
      </c>
      <c r="H32" s="19">
        <f t="shared" ca="1" si="6"/>
        <v>0</v>
      </c>
      <c r="I32" s="248">
        <f t="shared" si="2"/>
        <v>0</v>
      </c>
      <c r="J32" s="249">
        <f t="shared" ca="1" si="3"/>
        <v>0</v>
      </c>
      <c r="K32" s="18">
        <f t="shared" si="4"/>
        <v>3</v>
      </c>
    </row>
    <row r="33" spans="1:11" x14ac:dyDescent="0.25">
      <c r="A33">
        <f t="shared" si="7"/>
        <v>23</v>
      </c>
      <c r="C33" s="75">
        <f>Summary!C37</f>
        <v>54118</v>
      </c>
      <c r="D33" s="4">
        <f ca="1">Summary!AG37</f>
        <v>233682812.14660001</v>
      </c>
      <c r="E33" s="18">
        <f t="shared" si="0"/>
        <v>0</v>
      </c>
      <c r="F33" s="19">
        <f t="shared" ca="1" si="5"/>
        <v>0</v>
      </c>
      <c r="G33" s="19">
        <f t="shared" ca="1" si="1"/>
        <v>0</v>
      </c>
      <c r="H33" s="19">
        <f t="shared" ca="1" si="6"/>
        <v>0</v>
      </c>
      <c r="I33" s="248">
        <f t="shared" si="2"/>
        <v>0</v>
      </c>
      <c r="J33" s="249">
        <f t="shared" ca="1" si="3"/>
        <v>0</v>
      </c>
      <c r="K33" s="18">
        <f t="shared" si="4"/>
        <v>3</v>
      </c>
    </row>
    <row r="34" spans="1:11" x14ac:dyDescent="0.25">
      <c r="A34">
        <f t="shared" si="7"/>
        <v>24</v>
      </c>
      <c r="C34" s="75">
        <f>Summary!C38</f>
        <v>54483</v>
      </c>
      <c r="D34" s="4">
        <f ca="1">Summary!AG38</f>
        <v>236019640.26806599</v>
      </c>
      <c r="E34" s="18">
        <f t="shared" si="0"/>
        <v>0</v>
      </c>
      <c r="F34" s="19">
        <f t="shared" ca="1" si="5"/>
        <v>0</v>
      </c>
      <c r="G34" s="19">
        <f t="shared" ca="1" si="1"/>
        <v>0</v>
      </c>
      <c r="H34" s="19">
        <f t="shared" ca="1" si="6"/>
        <v>0</v>
      </c>
      <c r="I34" s="248">
        <f t="shared" si="2"/>
        <v>0</v>
      </c>
      <c r="J34" s="249">
        <f t="shared" ca="1" si="3"/>
        <v>0</v>
      </c>
      <c r="K34" s="18">
        <f t="shared" si="4"/>
        <v>3</v>
      </c>
    </row>
    <row r="35" spans="1:11" x14ac:dyDescent="0.25">
      <c r="A35">
        <f t="shared" si="7"/>
        <v>25</v>
      </c>
      <c r="C35" s="75">
        <f>Summary!C39</f>
        <v>54848</v>
      </c>
      <c r="D35" s="4">
        <f ca="1">Summary!AG39</f>
        <v>238379836.67074665</v>
      </c>
      <c r="E35" s="18">
        <f t="shared" si="0"/>
        <v>0</v>
      </c>
      <c r="F35" s="19">
        <f t="shared" ca="1" si="5"/>
        <v>0</v>
      </c>
      <c r="G35" s="19">
        <f t="shared" ca="1" si="1"/>
        <v>0</v>
      </c>
      <c r="H35" s="19">
        <f t="shared" ca="1" si="6"/>
        <v>0</v>
      </c>
      <c r="I35" s="248">
        <f t="shared" si="2"/>
        <v>0</v>
      </c>
      <c r="J35" s="249">
        <f t="shared" ca="1" si="3"/>
        <v>0</v>
      </c>
      <c r="K35" s="18">
        <f t="shared" si="4"/>
        <v>3</v>
      </c>
    </row>
    <row r="36" spans="1:11" x14ac:dyDescent="0.25">
      <c r="A36">
        <f t="shared" si="7"/>
        <v>26</v>
      </c>
      <c r="C36" s="75">
        <f>Summary!C40</f>
        <v>55213</v>
      </c>
      <c r="D36" s="4">
        <f ca="1">Summary!AG40</f>
        <v>240763635.03745413</v>
      </c>
      <c r="E36" s="18">
        <f t="shared" si="0"/>
        <v>0</v>
      </c>
      <c r="F36" s="19">
        <f t="shared" ca="1" si="5"/>
        <v>0</v>
      </c>
      <c r="G36" s="19">
        <f t="shared" ca="1" si="1"/>
        <v>0</v>
      </c>
      <c r="H36" s="19">
        <f t="shared" ca="1" si="6"/>
        <v>0</v>
      </c>
      <c r="I36" s="248">
        <f t="shared" si="2"/>
        <v>0</v>
      </c>
      <c r="J36" s="249">
        <f t="shared" ca="1" si="3"/>
        <v>0</v>
      </c>
      <c r="K36" s="18">
        <f t="shared" si="4"/>
        <v>3</v>
      </c>
    </row>
    <row r="37" spans="1:11" x14ac:dyDescent="0.25">
      <c r="A37">
        <f t="shared" si="7"/>
        <v>27</v>
      </c>
      <c r="C37" s="75">
        <f>Summary!C41</f>
        <v>55579</v>
      </c>
      <c r="D37" s="4">
        <f ca="1">Summary!AG41</f>
        <v>243171271.38782865</v>
      </c>
      <c r="E37" s="18">
        <f t="shared" si="0"/>
        <v>0</v>
      </c>
      <c r="F37" s="19">
        <f t="shared" ca="1" si="5"/>
        <v>0</v>
      </c>
      <c r="G37" s="19">
        <f t="shared" ca="1" si="1"/>
        <v>0</v>
      </c>
      <c r="H37" s="19">
        <f t="shared" ca="1" si="6"/>
        <v>0</v>
      </c>
      <c r="I37" s="248">
        <f t="shared" si="2"/>
        <v>0</v>
      </c>
      <c r="J37" s="249">
        <f t="shared" ca="1" si="3"/>
        <v>0</v>
      </c>
      <c r="K37" s="18">
        <f t="shared" si="4"/>
        <v>3</v>
      </c>
    </row>
    <row r="38" spans="1:11" x14ac:dyDescent="0.25">
      <c r="A38">
        <f t="shared" si="7"/>
        <v>28</v>
      </c>
      <c r="C38" s="75">
        <f>Summary!C42</f>
        <v>55944</v>
      </c>
      <c r="D38" s="4">
        <f ca="1">Summary!AG42</f>
        <v>245602984.10170695</v>
      </c>
      <c r="E38" s="18">
        <f t="shared" si="0"/>
        <v>0</v>
      </c>
      <c r="F38" s="19">
        <f t="shared" ca="1" si="5"/>
        <v>0</v>
      </c>
      <c r="G38" s="19">
        <f t="shared" ca="1" si="1"/>
        <v>0</v>
      </c>
      <c r="H38" s="19">
        <f t="shared" ca="1" si="6"/>
        <v>0</v>
      </c>
      <c r="I38" s="248">
        <f t="shared" si="2"/>
        <v>0</v>
      </c>
      <c r="J38" s="249">
        <f t="shared" ca="1" si="3"/>
        <v>0</v>
      </c>
      <c r="K38" s="18">
        <f t="shared" si="4"/>
        <v>3</v>
      </c>
    </row>
    <row r="39" spans="1:11" x14ac:dyDescent="0.25">
      <c r="A39">
        <f t="shared" si="7"/>
        <v>29</v>
      </c>
      <c r="C39" s="75">
        <f>Summary!C43</f>
        <v>56309</v>
      </c>
      <c r="D39" s="4">
        <f ca="1">Summary!AG43</f>
        <v>248059013.94272402</v>
      </c>
      <c r="E39" s="18">
        <f t="shared" si="0"/>
        <v>0</v>
      </c>
      <c r="F39" s="19">
        <f t="shared" ca="1" si="5"/>
        <v>0</v>
      </c>
      <c r="G39" s="19">
        <f t="shared" ca="1" si="1"/>
        <v>0</v>
      </c>
      <c r="H39" s="19">
        <f t="shared" ca="1" si="6"/>
        <v>0</v>
      </c>
      <c r="I39" s="248">
        <f t="shared" si="2"/>
        <v>0</v>
      </c>
      <c r="J39" s="249">
        <f t="shared" ca="1" si="3"/>
        <v>0</v>
      </c>
      <c r="K39" s="18">
        <f t="shared" si="4"/>
        <v>3</v>
      </c>
    </row>
    <row r="40" spans="1:11" x14ac:dyDescent="0.25">
      <c r="A40">
        <f t="shared" si="7"/>
        <v>30</v>
      </c>
      <c r="C40" s="75">
        <f>Summary!C44</f>
        <v>56674</v>
      </c>
      <c r="D40" s="4">
        <f ca="1">Summary!AG44</f>
        <v>250539604.08215126</v>
      </c>
      <c r="E40" s="18">
        <f t="shared" si="0"/>
        <v>0</v>
      </c>
      <c r="F40" s="19">
        <f t="shared" ca="1" si="5"/>
        <v>0</v>
      </c>
      <c r="G40" s="19">
        <f t="shared" ca="1" si="1"/>
        <v>0</v>
      </c>
      <c r="H40" s="19">
        <f t="shared" ca="1" si="6"/>
        <v>0</v>
      </c>
      <c r="I40" s="248">
        <f t="shared" si="2"/>
        <v>0</v>
      </c>
      <c r="J40" s="249">
        <f t="shared" ca="1" si="3"/>
        <v>0</v>
      </c>
      <c r="K40" s="18">
        <f t="shared" si="4"/>
        <v>3</v>
      </c>
    </row>
    <row r="41" spans="1:11" x14ac:dyDescent="0.25">
      <c r="A41">
        <f t="shared" si="7"/>
        <v>31</v>
      </c>
      <c r="C41" s="75">
        <f>Summary!C45</f>
        <v>57040</v>
      </c>
      <c r="D41" s="4">
        <f ca="1">Summary!AG45</f>
        <v>253045000.12297279</v>
      </c>
      <c r="E41" s="18">
        <f t="shared" si="0"/>
        <v>0</v>
      </c>
      <c r="F41" s="19">
        <f t="shared" ca="1" si="5"/>
        <v>0</v>
      </c>
      <c r="G41" s="19">
        <f t="shared" ca="1" si="1"/>
        <v>0</v>
      </c>
      <c r="H41" s="19">
        <f t="shared" ref="H41:H50" ca="1" si="8">SUM(F41:G41)</f>
        <v>0</v>
      </c>
      <c r="I41" s="248">
        <f t="shared" si="2"/>
        <v>0</v>
      </c>
      <c r="J41" s="249">
        <f t="shared" ca="1" si="3"/>
        <v>0</v>
      </c>
      <c r="K41" s="18">
        <f t="shared" si="4"/>
        <v>3</v>
      </c>
    </row>
    <row r="42" spans="1:11" x14ac:dyDescent="0.25">
      <c r="A42">
        <f t="shared" si="7"/>
        <v>32</v>
      </c>
      <c r="C42" s="75">
        <f>Summary!C46</f>
        <v>57405</v>
      </c>
      <c r="D42" s="4">
        <f ca="1">Summary!AG46</f>
        <v>255575450.12420255</v>
      </c>
      <c r="E42" s="18">
        <f t="shared" si="0"/>
        <v>0</v>
      </c>
      <c r="F42" s="19">
        <f t="shared" ca="1" si="5"/>
        <v>0</v>
      </c>
      <c r="G42" s="19">
        <f t="shared" ca="1" si="1"/>
        <v>0</v>
      </c>
      <c r="H42" s="19">
        <f t="shared" ca="1" si="8"/>
        <v>0</v>
      </c>
      <c r="I42" s="248">
        <f t="shared" si="2"/>
        <v>0</v>
      </c>
      <c r="J42" s="249">
        <f t="shared" ca="1" si="3"/>
        <v>0</v>
      </c>
      <c r="K42" s="18">
        <f t="shared" si="4"/>
        <v>3</v>
      </c>
    </row>
    <row r="43" spans="1:11" hidden="1" x14ac:dyDescent="0.25">
      <c r="A43">
        <f t="shared" si="7"/>
        <v>33</v>
      </c>
      <c r="C43" s="75">
        <f>Summary!C47</f>
        <v>57770</v>
      </c>
      <c r="D43" s="4">
        <f ca="1">Summary!AG47</f>
        <v>258131204.62544456</v>
      </c>
      <c r="E43" s="18">
        <f t="shared" si="0"/>
        <v>0</v>
      </c>
      <c r="F43" s="19">
        <f t="shared" ca="1" si="5"/>
        <v>0</v>
      </c>
      <c r="G43" s="19">
        <f t="shared" ca="1" si="1"/>
        <v>0</v>
      </c>
      <c r="H43" s="19">
        <f t="shared" ca="1" si="8"/>
        <v>0</v>
      </c>
      <c r="I43" s="248">
        <f t="shared" si="2"/>
        <v>0</v>
      </c>
      <c r="J43" s="249">
        <f t="shared" ca="1" si="3"/>
        <v>0</v>
      </c>
      <c r="K43" s="18">
        <f t="shared" si="4"/>
        <v>3</v>
      </c>
    </row>
    <row r="44" spans="1:11" hidden="1" x14ac:dyDescent="0.25">
      <c r="A44">
        <f t="shared" si="7"/>
        <v>34</v>
      </c>
      <c r="C44" s="75">
        <f>Summary!C48</f>
        <v>58135</v>
      </c>
      <c r="D44" s="4">
        <f ca="1">Summary!AG48</f>
        <v>260712516.67169905</v>
      </c>
      <c r="E44" s="18">
        <f t="shared" si="0"/>
        <v>0</v>
      </c>
      <c r="F44" s="19">
        <f t="shared" ca="1" si="5"/>
        <v>0</v>
      </c>
      <c r="G44" s="19">
        <f t="shared" ca="1" si="1"/>
        <v>0</v>
      </c>
      <c r="H44" s="19">
        <f t="shared" ca="1" si="8"/>
        <v>0</v>
      </c>
      <c r="I44" s="248">
        <f t="shared" si="2"/>
        <v>0</v>
      </c>
      <c r="J44" s="249">
        <f t="shared" ca="1" si="3"/>
        <v>0</v>
      </c>
      <c r="K44" s="18">
        <f t="shared" si="4"/>
        <v>3</v>
      </c>
    </row>
    <row r="45" spans="1:11" hidden="1" x14ac:dyDescent="0.25">
      <c r="A45">
        <f t="shared" si="7"/>
        <v>35</v>
      </c>
      <c r="C45" s="75">
        <f>Summary!C49</f>
        <v>58501</v>
      </c>
      <c r="D45" s="4">
        <f ca="1">Summary!AG49</f>
        <v>263319641.83841601</v>
      </c>
      <c r="E45" s="18">
        <f t="shared" si="0"/>
        <v>0</v>
      </c>
      <c r="F45" s="19">
        <f t="shared" ca="1" si="5"/>
        <v>0</v>
      </c>
      <c r="G45" s="19">
        <f t="shared" ca="1" si="1"/>
        <v>0</v>
      </c>
      <c r="H45" s="19">
        <f t="shared" ca="1" si="8"/>
        <v>0</v>
      </c>
      <c r="I45" s="248">
        <f t="shared" si="2"/>
        <v>0</v>
      </c>
      <c r="J45" s="249">
        <f t="shared" ca="1" si="3"/>
        <v>0</v>
      </c>
      <c r="K45" s="18">
        <f t="shared" si="4"/>
        <v>3</v>
      </c>
    </row>
    <row r="46" spans="1:11" hidden="1" x14ac:dyDescent="0.25">
      <c r="A46">
        <f t="shared" si="7"/>
        <v>36</v>
      </c>
      <c r="C46" s="75">
        <f>Summary!C50</f>
        <v>58866</v>
      </c>
      <c r="D46" s="4">
        <f ca="1">Summary!AG50</f>
        <v>265952838.25680017</v>
      </c>
      <c r="E46" s="18">
        <f t="shared" si="0"/>
        <v>0</v>
      </c>
      <c r="F46" s="19">
        <f t="shared" ca="1" si="5"/>
        <v>0</v>
      </c>
      <c r="G46" s="19">
        <f t="shared" ca="1" si="1"/>
        <v>0</v>
      </c>
      <c r="H46" s="19">
        <f t="shared" ca="1" si="8"/>
        <v>0</v>
      </c>
      <c r="I46" s="248">
        <f t="shared" si="2"/>
        <v>0</v>
      </c>
      <c r="J46" s="249">
        <f t="shared" ca="1" si="3"/>
        <v>0</v>
      </c>
      <c r="K46" s="18">
        <f t="shared" si="4"/>
        <v>3</v>
      </c>
    </row>
    <row r="47" spans="1:11" hidden="1" x14ac:dyDescent="0.25">
      <c r="A47">
        <f t="shared" si="7"/>
        <v>37</v>
      </c>
      <c r="C47" s="75">
        <f>Summary!C51</f>
        <v>59231</v>
      </c>
      <c r="D47" s="4">
        <f ca="1">Summary!AG51</f>
        <v>268612366.63936818</v>
      </c>
      <c r="E47" s="18">
        <f t="shared" si="0"/>
        <v>0</v>
      </c>
      <c r="F47" s="19">
        <f t="shared" ca="1" si="5"/>
        <v>0</v>
      </c>
      <c r="G47" s="19">
        <f t="shared" ca="1" si="1"/>
        <v>0</v>
      </c>
      <c r="H47" s="19">
        <f t="shared" ca="1" si="8"/>
        <v>0</v>
      </c>
      <c r="I47" s="248">
        <f t="shared" si="2"/>
        <v>0</v>
      </c>
      <c r="J47" s="249">
        <f t="shared" ca="1" si="3"/>
        <v>0</v>
      </c>
      <c r="K47" s="18">
        <f t="shared" si="4"/>
        <v>3</v>
      </c>
    </row>
    <row r="48" spans="1:11" hidden="1" x14ac:dyDescent="0.25">
      <c r="A48">
        <f t="shared" si="7"/>
        <v>38</v>
      </c>
      <c r="C48" s="75">
        <f>Summary!C52</f>
        <v>59596</v>
      </c>
      <c r="D48" s="4">
        <f ca="1">Summary!AG52</f>
        <v>271298490.30576187</v>
      </c>
      <c r="E48" s="18">
        <f t="shared" si="0"/>
        <v>0</v>
      </c>
      <c r="F48" s="19">
        <f t="shared" ca="1" si="5"/>
        <v>0</v>
      </c>
      <c r="G48" s="19">
        <f t="shared" ca="1" si="1"/>
        <v>0</v>
      </c>
      <c r="H48" s="19">
        <f t="shared" ca="1" si="8"/>
        <v>0</v>
      </c>
      <c r="I48" s="248">
        <f t="shared" si="2"/>
        <v>0</v>
      </c>
      <c r="J48" s="249">
        <f t="shared" ca="1" si="3"/>
        <v>0</v>
      </c>
      <c r="K48" s="18">
        <f t="shared" si="4"/>
        <v>3</v>
      </c>
    </row>
    <row r="49" spans="1:11" hidden="1" x14ac:dyDescent="0.25">
      <c r="A49">
        <f t="shared" si="7"/>
        <v>39</v>
      </c>
      <c r="C49" s="75">
        <f>Summary!C53</f>
        <v>59962</v>
      </c>
      <c r="D49" s="4">
        <f ca="1">Summary!AG53</f>
        <v>274011475.20881951</v>
      </c>
      <c r="E49" s="18">
        <f t="shared" si="0"/>
        <v>0</v>
      </c>
      <c r="F49" s="19">
        <f t="shared" ca="1" si="5"/>
        <v>0</v>
      </c>
      <c r="G49" s="19">
        <f t="shared" ca="1" si="1"/>
        <v>0</v>
      </c>
      <c r="H49" s="19">
        <f t="shared" ca="1" si="8"/>
        <v>0</v>
      </c>
      <c r="I49" s="248">
        <f t="shared" si="2"/>
        <v>0</v>
      </c>
      <c r="J49" s="249">
        <f t="shared" ca="1" si="3"/>
        <v>0</v>
      </c>
      <c r="K49" s="18">
        <f t="shared" si="4"/>
        <v>3</v>
      </c>
    </row>
    <row r="50" spans="1:11" hidden="1" x14ac:dyDescent="0.25">
      <c r="A50">
        <f t="shared" si="7"/>
        <v>40</v>
      </c>
      <c r="C50" s="75">
        <f>Summary!C54</f>
        <v>60327</v>
      </c>
      <c r="D50" s="4">
        <f ca="1">Summary!AG54</f>
        <v>276751589.96090764</v>
      </c>
      <c r="E50" s="18">
        <f t="shared" si="0"/>
        <v>0</v>
      </c>
      <c r="F50" s="19">
        <f t="shared" ca="1" si="5"/>
        <v>0</v>
      </c>
      <c r="G50" s="19">
        <f t="shared" ca="1" si="1"/>
        <v>0</v>
      </c>
      <c r="H50" s="19">
        <f t="shared" ca="1" si="8"/>
        <v>0</v>
      </c>
      <c r="I50" s="248">
        <f t="shared" si="2"/>
        <v>0</v>
      </c>
      <c r="J50" s="249">
        <f t="shared" ca="1" si="3"/>
        <v>0</v>
      </c>
      <c r="K50" s="18">
        <f t="shared" si="4"/>
        <v>3</v>
      </c>
    </row>
    <row r="51" spans="1:11" hidden="1" x14ac:dyDescent="0.25">
      <c r="C51" s="75">
        <f>Summary!C55</f>
        <v>60692</v>
      </c>
      <c r="D51" s="4">
        <f ca="1">Summary!AG55</f>
        <v>279519105.86051673</v>
      </c>
      <c r="E51" s="18">
        <f t="shared" si="0"/>
        <v>0</v>
      </c>
      <c r="F51" s="19">
        <f t="shared" ref="F51:F52" ca="1" si="9">D51/1000*E51*TAX_COLLECT_MILL_PRC</f>
        <v>0</v>
      </c>
      <c r="G51" s="19">
        <f t="shared" ca="1" si="1"/>
        <v>0</v>
      </c>
      <c r="H51" s="19">
        <f t="shared" ref="H51:H52" ca="1" si="10">SUM(F51:G51)</f>
        <v>0</v>
      </c>
      <c r="I51" s="248">
        <f t="shared" si="2"/>
        <v>0</v>
      </c>
      <c r="J51" s="249">
        <f t="shared" ca="1" si="3"/>
        <v>0</v>
      </c>
      <c r="K51" s="18">
        <f t="shared" si="4"/>
        <v>3</v>
      </c>
    </row>
    <row r="52" spans="1:11" hidden="1" x14ac:dyDescent="0.25">
      <c r="C52" s="75">
        <f>Summary!C56</f>
        <v>61057</v>
      </c>
      <c r="D52" s="4">
        <f ca="1">Summary!AG56</f>
        <v>282314296.91912192</v>
      </c>
      <c r="E52" s="18">
        <f t="shared" si="0"/>
        <v>0</v>
      </c>
      <c r="F52" s="19">
        <f t="shared" ca="1" si="9"/>
        <v>0</v>
      </c>
      <c r="G52" s="19">
        <f t="shared" ca="1" si="1"/>
        <v>0</v>
      </c>
      <c r="H52" s="19">
        <f t="shared" ca="1" si="10"/>
        <v>0</v>
      </c>
      <c r="I52" s="248">
        <f t="shared" si="2"/>
        <v>0</v>
      </c>
      <c r="J52" s="249">
        <f t="shared" ca="1" si="3"/>
        <v>0</v>
      </c>
      <c r="K52" s="18">
        <f t="shared" si="4"/>
        <v>3</v>
      </c>
    </row>
    <row r="53" spans="1:11" x14ac:dyDescent="0.25">
      <c r="C53" s="118"/>
      <c r="D53" s="105"/>
      <c r="E53" s="105"/>
      <c r="F53" s="105"/>
      <c r="G53" s="105"/>
      <c r="H53" s="105"/>
      <c r="I53" s="250"/>
      <c r="J53" s="251"/>
      <c r="K53" s="105"/>
    </row>
    <row r="54" spans="1:11" x14ac:dyDescent="0.25">
      <c r="C54" s="77" t="s">
        <v>88</v>
      </c>
      <c r="D54" s="77"/>
      <c r="E54" s="77"/>
      <c r="F54" s="117">
        <f ca="1">SUM(F10:F42)</f>
        <v>0</v>
      </c>
      <c r="G54" s="117">
        <f ca="1">SUM(G10:G42)</f>
        <v>0</v>
      </c>
      <c r="H54" s="117">
        <f ca="1">SUM(H10:H42)</f>
        <v>0</v>
      </c>
      <c r="I54" s="252"/>
      <c r="J54" s="253">
        <f ca="1">SUM(J10:J42)</f>
        <v>0</v>
      </c>
      <c r="K54" s="77"/>
    </row>
  </sheetData>
  <pageMargins left="0.7" right="0.7" top="0.75" bottom="0.75" header="0.3" footer="0.3"/>
  <pageSetup scale="77" orientation="portrait" r:id="rId1"/>
  <headerFooter>
    <oddFooter>&amp;L&amp;"-,Bold Italic"&amp;K002060&amp;GPrepared by Tierra Financial Advisors, LLC&amp;R&amp;"-,Italic"&amp;8Preliminary, subject to change.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E58B-D7AB-405E-92A8-23715D87903A}">
  <sheetPr codeName="Sheet3">
    <pageSetUpPr fitToPage="1"/>
  </sheetPr>
  <dimension ref="A1:AK111"/>
  <sheetViews>
    <sheetView showGridLines="0" view="pageBreakPreview" topLeftCell="A50" zoomScale="85" zoomScaleNormal="100" zoomScaleSheetLayoutView="85" workbookViewId="0">
      <selection activeCell="G59" sqref="G59"/>
    </sheetView>
  </sheetViews>
  <sheetFormatPr defaultColWidth="9.140625" defaultRowHeight="15" outlineLevelRow="1" outlineLevelCol="1" x14ac:dyDescent="0.25"/>
  <cols>
    <col min="1" max="4" width="14.28515625" customWidth="1"/>
    <col min="5" max="5" width="3.85546875" style="134" customWidth="1"/>
    <col min="6" max="6" width="14.28515625" customWidth="1"/>
    <col min="7" max="7" width="15.5703125" bestFit="1" customWidth="1"/>
    <col min="8" max="8" width="14.28515625" customWidth="1"/>
    <col min="9" max="9" width="15.42578125" bestFit="1" customWidth="1"/>
    <col min="10" max="10" width="15.42578125" customWidth="1"/>
    <col min="11" max="14" width="14.28515625" customWidth="1"/>
    <col min="15" max="15" width="14.5703125" customWidth="1"/>
    <col min="16" max="16" width="14.28515625" customWidth="1"/>
    <col min="17" max="18" width="14.28515625" customWidth="1" outlineLevel="1"/>
    <col min="20" max="20" width="17.85546875" style="11" customWidth="1"/>
    <col min="21" max="21" width="18.5703125" style="11" customWidth="1"/>
    <col min="22" max="22" width="20.28515625" style="11" customWidth="1"/>
    <col min="24" max="26" width="17.85546875" style="11" customWidth="1"/>
    <col min="28" max="36" width="12.140625" style="11" customWidth="1"/>
  </cols>
  <sheetData>
    <row r="1" spans="1:37" ht="28.5" x14ac:dyDescent="0.45">
      <c r="A1" s="115" t="str">
        <f>METRO</f>
        <v>Viridian Farm Public Improvement District</v>
      </c>
    </row>
    <row r="2" spans="1:37" ht="18.75" x14ac:dyDescent="0.3">
      <c r="A2" s="110" t="str">
        <f>"City of " &amp; CITY &amp; " / " &amp; COUNTY &amp; " County "</f>
        <v xml:space="preserve">City of Salem / Utah County </v>
      </c>
    </row>
    <row r="3" spans="1:37" ht="15.75" x14ac:dyDescent="0.25">
      <c r="A3" s="109" t="str">
        <f>ANALYSIS</f>
        <v>Development Projections at 3.000 Mills for Debt Service</v>
      </c>
    </row>
    <row r="4" spans="1:37" ht="15.75" x14ac:dyDescent="0.25">
      <c r="A4" s="116" t="str">
        <f ca="1">SENIOR_BONDS_SERIES &amp; " - " &amp;TEXT('Sources and Uses - First'!$B$12/1000000,"$0.00") &amp; "MM " &amp; "(" &amp; TEXT(DSC_SENIOR_LIEN_BONDS,"0.00x") &amp; ")"</f>
        <v>Series 2024A - $5.69MM (1.30x)</v>
      </c>
    </row>
    <row r="5" spans="1:37" x14ac:dyDescent="0.25">
      <c r="A5" s="11"/>
      <c r="D5" s="15"/>
      <c r="G5" s="54"/>
      <c r="J5" s="70"/>
    </row>
    <row r="6" spans="1:37" x14ac:dyDescent="0.25">
      <c r="C6" s="15"/>
      <c r="H6" s="7"/>
      <c r="J6" s="70"/>
      <c r="L6" s="80"/>
      <c r="M6" s="80"/>
    </row>
    <row r="7" spans="1:37" ht="15.75" thickBot="1" x14ac:dyDescent="0.3"/>
    <row r="8" spans="1:37" s="56" customFormat="1" ht="13.5" thickTop="1" x14ac:dyDescent="0.2">
      <c r="A8" s="55"/>
      <c r="D8" s="57"/>
      <c r="E8" s="135"/>
      <c r="F8" s="57"/>
      <c r="K8" s="58"/>
      <c r="L8" s="58"/>
      <c r="M8" s="58"/>
      <c r="O8" s="58"/>
      <c r="P8" s="58"/>
      <c r="T8" s="81"/>
      <c r="U8" s="81"/>
      <c r="V8" s="81"/>
      <c r="X8" s="81"/>
      <c r="Y8" s="81"/>
      <c r="Z8" s="81"/>
      <c r="AB8" s="81"/>
      <c r="AC8" s="81"/>
      <c r="AD8" s="81"/>
      <c r="AE8" s="81"/>
      <c r="AF8" s="81"/>
      <c r="AG8" s="81"/>
      <c r="AH8" s="81"/>
      <c r="AI8" s="81"/>
      <c r="AJ8" s="81"/>
    </row>
    <row r="9" spans="1:37" s="62" customFormat="1" ht="26.25" thickBot="1" x14ac:dyDescent="0.25">
      <c r="A9" s="59" t="s">
        <v>140</v>
      </c>
      <c r="B9" s="60" t="s">
        <v>96</v>
      </c>
      <c r="C9" s="60" t="s">
        <v>97</v>
      </c>
      <c r="D9" s="61" t="s">
        <v>98</v>
      </c>
      <c r="E9" s="136" t="s">
        <v>181</v>
      </c>
      <c r="F9" s="61" t="s">
        <v>162</v>
      </c>
      <c r="G9" s="60" t="s">
        <v>8</v>
      </c>
      <c r="H9" s="60" t="s">
        <v>9</v>
      </c>
      <c r="I9" s="60" t="s">
        <v>88</v>
      </c>
      <c r="J9" s="60" t="s">
        <v>142</v>
      </c>
      <c r="K9" s="63" t="s">
        <v>66</v>
      </c>
      <c r="L9" s="60" t="s">
        <v>5</v>
      </c>
      <c r="M9" s="60" t="s">
        <v>374</v>
      </c>
      <c r="N9" s="60" t="s">
        <v>99</v>
      </c>
      <c r="O9" s="63" t="s">
        <v>139</v>
      </c>
      <c r="P9" s="60" t="s">
        <v>138</v>
      </c>
      <c r="R9" s="60" t="s">
        <v>100</v>
      </c>
      <c r="S9" s="60"/>
      <c r="T9" s="82" t="s">
        <v>148</v>
      </c>
      <c r="U9" s="82" t="s">
        <v>101</v>
      </c>
      <c r="V9" s="64" t="s">
        <v>102</v>
      </c>
      <c r="X9" s="82" t="s">
        <v>186</v>
      </c>
      <c r="Y9" s="82"/>
      <c r="Z9" s="82" t="s">
        <v>219</v>
      </c>
      <c r="AB9" s="143"/>
      <c r="AC9" s="143"/>
      <c r="AD9" s="266" t="s">
        <v>351</v>
      </c>
      <c r="AE9" s="143"/>
      <c r="AF9" s="143"/>
      <c r="AG9" s="143"/>
      <c r="AH9" s="143"/>
      <c r="AI9" s="266" t="s">
        <v>351</v>
      </c>
      <c r="AJ9" s="143"/>
    </row>
    <row r="10" spans="1:37" ht="15.75" thickTop="1" x14ac:dyDescent="0.25">
      <c r="J10" s="66"/>
    </row>
    <row r="11" spans="1:37" x14ac:dyDescent="0.25">
      <c r="A11" s="65">
        <f>FIRST_INT</f>
        <v>45717</v>
      </c>
      <c r="B11" s="133">
        <f t="shared" ref="B11:B74" si="0">IF(ISERROR(IF(MONTH(A11)=PRIN_MATURITY,SENIOR_INTEREST_RATE,)),"",IF(MONTH(A11)=PRIN_MATURITY,SENIOR_INTEREST_RATE,))</f>
        <v>5.8749999999999997E-2</v>
      </c>
      <c r="C11" s="133">
        <f>B11</f>
        <v>5.8749999999999997E-2</v>
      </c>
      <c r="D11" s="133">
        <f>IF(C11=0,0,TRUNC(IF(B11=C11,100,IF(A11&lt;=PAR_CALL_FIRST,PRICE(DELIVERY,A11,B11,C11,100,2,0),MIN(PRICE(DELIVERY,A11,B11,C11,100,2,0),PRICE(DELIVERY,PAR_CALL_FIRST,B11,C11,100,2,0)))),3)/100)</f>
        <v>1</v>
      </c>
      <c r="G11" s="66"/>
      <c r="H11" s="66">
        <f ca="1">(H12+G11*B11/2)*YEARFRAC(DELIVERY,A11)*2</f>
        <v>143929.34027777778</v>
      </c>
      <c r="I11" s="66">
        <f ca="1">G11+H11</f>
        <v>143929.34027777778</v>
      </c>
      <c r="J11" s="70">
        <f ca="1">IF($A11=0,0,IF(MONTH($A11)=INT_MATURITY,0,SUM(I10:I11)))</f>
        <v>143929.34027777778</v>
      </c>
      <c r="K11" s="66">
        <f t="shared" ref="K11:K42" ca="1" si="1">MAX(0,DAYS360(MAX(DELIVERY,A10),MIN(A11,CAPI_END_DATE))/DAYS360(MAX(DELIVERY,A10),A11))*H11</f>
        <v>143929.34027777778</v>
      </c>
      <c r="L11" s="85">
        <f t="shared" ref="L11:L42" si="2">IF($A11=SURPLUS_FUND_RELEASE_DATE,IF(SURPLUS_RELEASE_SIZING="Yes", SURPLUS_FUND_DEPOSIT,0),0)</f>
        <v>0</v>
      </c>
      <c r="M11" s="85">
        <f t="shared" ref="M11:M42" ca="1" si="3">SURPLUS_FUND_DEPOSIT/2* INTEREST_EARN_RATE</f>
        <v>6813.1923647280091</v>
      </c>
      <c r="N11" s="66">
        <f ca="1">I11-K11-M11</f>
        <v>-6813.1923647280091</v>
      </c>
      <c r="O11" s="70">
        <f t="shared" ref="O11:O42" ca="1" si="4">IF($A11=0,0,IF(MONTH($A11)=INT_MATURITY,0,SUM(N10:N11)))-L11</f>
        <v>-6813.1923647280091</v>
      </c>
      <c r="P11" s="70">
        <f ca="1">$G$96-SUM($G$11:G11)</f>
        <v>5690000</v>
      </c>
      <c r="U11" s="83"/>
      <c r="X11" s="83">
        <f t="shared" ref="X11:X42" si="5">D11*G11*DAYS360(DELIVERY,A11)/360</f>
        <v>0</v>
      </c>
      <c r="Y11" s="83"/>
      <c r="Z11" s="83"/>
      <c r="AB11" s="77" t="s">
        <v>188</v>
      </c>
      <c r="AD11" s="260">
        <v>0</v>
      </c>
      <c r="AE11" s="261">
        <f ca="1">G96+F96</f>
        <v>5690000</v>
      </c>
      <c r="AG11" s="77" t="s">
        <v>188</v>
      </c>
      <c r="AI11" s="260">
        <v>0</v>
      </c>
      <c r="AJ11" s="261">
        <f ca="1">AE11-SUM('Sources and Uses - First'!$B$27:$B$28)</f>
        <v>5239150</v>
      </c>
      <c r="AK11" t="s">
        <v>292</v>
      </c>
    </row>
    <row r="12" spans="1:37" x14ac:dyDescent="0.25">
      <c r="A12" s="67">
        <f t="shared" ref="A12:A43" si="6">IF(IF(ISERROR(EDATE(A11,6)),0,EDATE(A11,6))&gt;EDATE(MAX($A$11,DATE(YEAR($A$11),PRIN_MATURITY,1)),6*2*FINAL_MAT_YRS),0,IF(ISERROR(EDATE(A11,6)),0,IF(A11=0,0,EDATE(A11,6))))</f>
        <v>45901</v>
      </c>
      <c r="B12" s="161">
        <f t="shared" si="0"/>
        <v>0</v>
      </c>
      <c r="C12" s="161">
        <f>B12</f>
        <v>0</v>
      </c>
      <c r="D12" s="68">
        <f t="shared" ref="D12:D43" si="7">MAX(IF(C12=0,0,TRUNC(IF(B12=C12,100,IF(A12&lt;=PAR_CALL_FIRST,PRICE(DELIVERY,A12,B12,C12,100,2,0),MIN(PRICE(DELIVERY,A12,B12,C12,100,2,0),PRICE(DELIVERY,PREMIUM_CALL_FIRST,B12,C12,PREMIUM_CALL_FIRST_PRICE,2,0),PRICE(DELIVERY,PAR_CALL_FIRST,B12,C12,100,2,0)))),3)/100),IF(C12=0,0,TRUNC(IF(B12=C12,100,IF(A12&lt;=PREMIUM_CALL_FIRST,PRICE(DELIVERY,A12,B12,C12,PREMIUM_CALL_FIRST_PRICE,2,0),MIN(PRICE(DELIVERY,A12,B12,C12,100,2,0),PRICE(DELIVERY,A12,B12,C12,PREMIUM_CALL_FIRST_PRICE,2,0),PRICE(DELIVERY,PREMIUM_CALL_FIRST,B12,C12,PREMIUM_CALL_FIRST_PRICE,2,0)))),3)/100))</f>
        <v>0</v>
      </c>
      <c r="E12" s="137"/>
      <c r="F12" s="66">
        <f>D12*G12-G12</f>
        <v>0</v>
      </c>
      <c r="G12" s="66">
        <f>IF(OR(CAPI_TERM&gt;A12,MONTH(A12)&lt;&gt;PRIN_MATURITY,FIRST_PRIN&gt;A12),0,MAX(0,INT(((((VLOOKUP($A12,Summary!$D$14:$AX$56,COLUMNS(Summary!$D$15:$AX$15))+M12*2)/$V12-H13*2*R12)/(1+B12*R12)+IF($A12=SURPLUS_FUND_RELEASE_DATE,IF(SURPLUS_RELEASE_SIZING="Yes", SURPLUS_FUND_DEPOSIT,0),0)/(1+B12*R12)))/5000)*5000))</f>
        <v>0</v>
      </c>
      <c r="H12" s="66">
        <f t="shared" ref="H12:H74" ca="1" si="8">(H13+G12*B12/2)</f>
        <v>167143.75</v>
      </c>
      <c r="I12" s="66">
        <f t="shared" ref="I12:I75" ca="1" si="9">G12+H12</f>
        <v>167143.75</v>
      </c>
      <c r="J12" s="70">
        <f t="shared" ref="J12:J43" si="10">IF($A12=0,0,IF(MONTH(A12)=INT_MATURITY,0,SUM(I11:I12)))</f>
        <v>0</v>
      </c>
      <c r="K12" s="66">
        <f t="shared" ca="1" si="1"/>
        <v>167143.75</v>
      </c>
      <c r="L12" s="85">
        <f t="shared" si="2"/>
        <v>0</v>
      </c>
      <c r="M12" s="85">
        <f t="shared" ca="1" si="3"/>
        <v>6813.1923647280091</v>
      </c>
      <c r="N12" s="66">
        <f ca="1">I12-K12-M12</f>
        <v>-6813.1923647280091</v>
      </c>
      <c r="O12" s="70">
        <f t="shared" si="4"/>
        <v>0</v>
      </c>
      <c r="P12" s="70">
        <f ca="1">$G$96-SUM($G$11:G12)</f>
        <v>5690000</v>
      </c>
      <c r="R12" s="71">
        <v>1</v>
      </c>
      <c r="T12" s="83">
        <f>IF(ISNA(VLOOKUP($A12,Summary!$C$14:$AX$54,COLUMNS(Summary!$C$15:$AX$15),FALSE))=TRUE,0,VLOOKUP($A12,Summary!$C$14:$AX$56,COLUMNS(Summary!$C$15:$AX$15),FALSE))</f>
        <v>0</v>
      </c>
      <c r="U12" s="84">
        <f>IF(ISERROR(IF(ISNA(VLOOKUP($A12,Summary!$D$14:$AX$54,COLUMNS(Summary!$D$15:$AX$15),FALSE))=TRUE,0,VLOOKUP($A12,Summary!$D$14:$AX$54,COLUMNS(Summary!$D$15:$AX$15),FALSE))/O12),0,IF(ISNA(VLOOKUP($A12,Summary!$D$14:$AX$54,COLUMNS(Summary!$D$15:$AX$15),FALSE))=TRUE,0,VLOOKUP($A12,Summary!$D$14:$AX$54,COLUMNS(Summary!$D$15:$AX$15),FALSE))/O12)</f>
        <v>0</v>
      </c>
      <c r="V12" s="72" t="str">
        <f t="shared" ref="V12:V44" si="11">IF($B12&lt;&gt;0,DSC_SENIOR_LIEN_BONDS,"")</f>
        <v/>
      </c>
      <c r="X12" s="83">
        <f t="shared" si="5"/>
        <v>0</v>
      </c>
      <c r="Y12" s="83"/>
      <c r="Z12" s="83"/>
    </row>
    <row r="13" spans="1:37" x14ac:dyDescent="0.25">
      <c r="A13" s="67">
        <f t="shared" si="6"/>
        <v>46082</v>
      </c>
      <c r="B13" s="161">
        <f t="shared" si="0"/>
        <v>5.8749999999999997E-2</v>
      </c>
      <c r="C13" s="161">
        <f t="shared" ref="C13:C76" si="12">B13</f>
        <v>5.8749999999999997E-2</v>
      </c>
      <c r="D13" s="68">
        <f t="shared" si="7"/>
        <v>1</v>
      </c>
      <c r="E13" s="137"/>
      <c r="F13" s="66">
        <f>D13*G13-G13</f>
        <v>0</v>
      </c>
      <c r="G13" s="66">
        <f>IF(OR(CAPI_TERM&gt;A13,MONTH(A13)&lt;&gt;PRIN_MATURITY,FIRST_PRIN&gt;A13),0,MAX(0,INT(((((VLOOKUP($A13,Summary!$D$14:$AX$56,COLUMNS(Summary!$D$15:$AX$15))+M13*2)/$V13-H14*2*R13)/(1+B13*R13)+IF($A13=SURPLUS_FUND_RELEASE_DATE,IF(SURPLUS_RELEASE_SIZING="Yes", SURPLUS_FUND_DEPOSIT,0),0)/(1+B13*R13)))/5000)*5000))</f>
        <v>0</v>
      </c>
      <c r="H13" s="66">
        <f t="shared" ca="1" si="8"/>
        <v>167143.75</v>
      </c>
      <c r="I13" s="66">
        <f t="shared" ca="1" si="9"/>
        <v>167143.75</v>
      </c>
      <c r="J13" s="70">
        <f t="shared" ca="1" si="10"/>
        <v>334287.5</v>
      </c>
      <c r="K13" s="66">
        <f t="shared" ca="1" si="1"/>
        <v>167143.75</v>
      </c>
      <c r="L13" s="85">
        <f t="shared" si="2"/>
        <v>0</v>
      </c>
      <c r="M13" s="85">
        <f t="shared" ca="1" si="3"/>
        <v>6813.1923647280091</v>
      </c>
      <c r="N13" s="66">
        <f t="shared" ref="N13:N75" ca="1" si="13">I13-K13-M13</f>
        <v>-6813.1923647280091</v>
      </c>
      <c r="O13" s="70">
        <f t="shared" ca="1" si="4"/>
        <v>-13626.384729456018</v>
      </c>
      <c r="P13" s="70">
        <f ca="1">$G$96-SUM($G$11:G13)</f>
        <v>5690000</v>
      </c>
      <c r="R13" s="68">
        <f t="shared" ref="R13:R44" si="14">IF(MONTH(A13)=PRIN_MATURITY,MAX(0,DAYS360(MAX(CAPI_TERM,EDATE(A13,-12)),A13))/360,0)</f>
        <v>1</v>
      </c>
      <c r="T13" s="83">
        <f ca="1">IF(ISNA(VLOOKUP($A13,Summary!$C$14:$AX$54,COLUMNS(Summary!$C$15:$AX$15),FALSE))=TRUE,0,VLOOKUP($A13,Summary!$C$14:$AX$56,COLUMNS(Summary!$C$15:$AX$15),FALSE))</f>
        <v>102483.11744678998</v>
      </c>
      <c r="U13" s="84">
        <f ca="1">IF(ISERROR(IF(ISNA(VLOOKUP($A13,Summary!$D$14:$AX$54,COLUMNS(Summary!$D$15:$AX$15),FALSE))=TRUE,0,VLOOKUP($A13,Summary!$D$14:$AX$54,COLUMNS(Summary!$D$15:$AX$15),FALSE))/O13),0,IF(ISNA(VLOOKUP($A13,Summary!$D$14:$AX$54,COLUMNS(Summary!$D$15:$AX$15),FALSE))=TRUE,0,VLOOKUP($A13,Summary!$D$14:$AX$54,COLUMNS(Summary!$D$15:$AX$15),FALSE))/O13)</f>
        <v>-1.2829666343934143</v>
      </c>
      <c r="V13" s="72">
        <f t="shared" si="11"/>
        <v>1.3</v>
      </c>
      <c r="X13" s="83">
        <f t="shared" si="5"/>
        <v>0</v>
      </c>
      <c r="Y13" s="83"/>
      <c r="Z13" s="83"/>
      <c r="AB13" s="262">
        <f>1%+0</f>
        <v>0.01</v>
      </c>
      <c r="AC13" s="83">
        <f ca="1">NPV(AB13/2,TIC_DEBT_SERVICE_SENIOR)*(1+AB13/2)^AD13</f>
        <v>11124955.529615313</v>
      </c>
      <c r="AD13" s="145">
        <f>$AD$11</f>
        <v>0</v>
      </c>
      <c r="AE13" s="83">
        <f ca="1">$AE$11</f>
        <v>5690000</v>
      </c>
      <c r="AG13" s="148">
        <f>1%+0</f>
        <v>0.01</v>
      </c>
      <c r="AH13" s="83">
        <f t="shared" ref="AH13:AH22" ca="1" si="15">NPV(AG13/2,TIC_DEBT_SERVICE_SENIOR)*(1+AG13/2)^AI13</f>
        <v>11124955.529615313</v>
      </c>
      <c r="AI13" s="145">
        <f>$AD$11</f>
        <v>0</v>
      </c>
      <c r="AJ13" s="83">
        <f ca="1">$AJ$11</f>
        <v>5239150</v>
      </c>
    </row>
    <row r="14" spans="1:37" x14ac:dyDescent="0.25">
      <c r="A14" s="67">
        <f t="shared" si="6"/>
        <v>46266</v>
      </c>
      <c r="B14" s="161">
        <f t="shared" si="0"/>
        <v>0</v>
      </c>
      <c r="C14" s="161">
        <f t="shared" si="12"/>
        <v>0</v>
      </c>
      <c r="D14" s="68">
        <f t="shared" si="7"/>
        <v>0</v>
      </c>
      <c r="E14" s="137"/>
      <c r="F14" s="66">
        <f t="shared" ref="F14:F77" si="16">D14*G14-G14</f>
        <v>0</v>
      </c>
      <c r="G14" s="66">
        <f>IF(OR(CAPI_TERM&gt;A14,MONTH(A14)&lt;&gt;PRIN_MATURITY,FIRST_PRIN&gt;A14),0,MAX(0,INT(((((VLOOKUP($A14,Summary!$D$14:$AX$56,COLUMNS(Summary!$D$15:$AX$15))+M14*2)/$V14-H15*2*R14)/(1+B14*R14)+IF($A14=SURPLUS_FUND_RELEASE_DATE,IF(SURPLUS_RELEASE_SIZING="Yes", SURPLUS_FUND_DEPOSIT,0),0)/(1+B14*R14)))/5000)*5000))</f>
        <v>0</v>
      </c>
      <c r="H14" s="66">
        <f t="shared" ca="1" si="8"/>
        <v>167143.75</v>
      </c>
      <c r="I14" s="66">
        <f t="shared" ca="1" si="9"/>
        <v>167143.75</v>
      </c>
      <c r="J14" s="70">
        <f t="shared" si="10"/>
        <v>0</v>
      </c>
      <c r="K14" s="66">
        <f t="shared" ca="1" si="1"/>
        <v>167143.75</v>
      </c>
      <c r="L14" s="85">
        <f t="shared" si="2"/>
        <v>0</v>
      </c>
      <c r="M14" s="85">
        <f t="shared" ca="1" si="3"/>
        <v>6813.1923647280091</v>
      </c>
      <c r="N14" s="66">
        <f t="shared" ca="1" si="13"/>
        <v>-6813.1923647280091</v>
      </c>
      <c r="O14" s="70">
        <f t="shared" si="4"/>
        <v>0</v>
      </c>
      <c r="P14" s="70">
        <f ca="1">$G$96-SUM($G$11:G14)</f>
        <v>5690000</v>
      </c>
      <c r="R14" s="68">
        <f t="shared" si="14"/>
        <v>0</v>
      </c>
      <c r="T14" s="83">
        <f>IF(ISNA(VLOOKUP($A14,Summary!$C$14:$AX$54,COLUMNS(Summary!$C$15:$AX$15),FALSE))=TRUE,0,VLOOKUP($A14,Summary!$C$14:$AX$56,COLUMNS(Summary!$C$15:$AX$15),FALSE))</f>
        <v>0</v>
      </c>
      <c r="U14" s="84">
        <f>IF(ISERROR(IF(ISNA(VLOOKUP($A14,Summary!$D$14:$AX$54,COLUMNS(Summary!$D$15:$AX$15),FALSE))=TRUE,0,VLOOKUP($A14,Summary!$D$14:$AX$54,COLUMNS(Summary!$D$15:$AX$15),FALSE))/O14),0,IF(ISNA(VLOOKUP($A14,Summary!$D$14:$AX$54,COLUMNS(Summary!$D$15:$AX$15),FALSE))=TRUE,0,VLOOKUP($A14,Summary!$D$14:$AX$54,COLUMNS(Summary!$D$15:$AX$15),FALSE))/O14)</f>
        <v>0</v>
      </c>
      <c r="V14" s="72" t="str">
        <f t="shared" si="11"/>
        <v/>
      </c>
      <c r="X14" s="83">
        <f t="shared" si="5"/>
        <v>0</v>
      </c>
      <c r="Y14" s="83"/>
      <c r="Z14" s="83"/>
      <c r="AB14" s="262">
        <f>0%+0</f>
        <v>0</v>
      </c>
      <c r="AC14" s="83">
        <f t="shared" ref="AC14:AC22" ca="1" si="17">NPV(AB14/2,TIC_DEBT_SERVICE_SENIOR)*(1+AB14/2)^AD14</f>
        <v>13081329.340277778</v>
      </c>
      <c r="AD14" s="145">
        <f t="shared" ref="AD14:AD22" si="18">$AD$11</f>
        <v>0</v>
      </c>
      <c r="AE14" s="83">
        <f t="shared" ref="AE14:AE22" ca="1" si="19">$AE$11</f>
        <v>5690000</v>
      </c>
      <c r="AG14" s="148">
        <f>0%+0</f>
        <v>0</v>
      </c>
      <c r="AH14" s="83">
        <f t="shared" ca="1" si="15"/>
        <v>13081329.340277778</v>
      </c>
      <c r="AI14" s="145">
        <f t="shared" ref="AI14:AI22" si="20">$AD$11</f>
        <v>0</v>
      </c>
      <c r="AJ14" s="83">
        <f t="shared" ref="AJ14:AJ22" ca="1" si="21">$AJ$11</f>
        <v>5239150</v>
      </c>
    </row>
    <row r="15" spans="1:37" x14ac:dyDescent="0.25">
      <c r="A15" s="67">
        <f t="shared" si="6"/>
        <v>46447</v>
      </c>
      <c r="B15" s="161">
        <f t="shared" si="0"/>
        <v>5.8749999999999997E-2</v>
      </c>
      <c r="C15" s="161">
        <f t="shared" si="12"/>
        <v>5.8749999999999997E-2</v>
      </c>
      <c r="D15" s="68">
        <f t="shared" si="7"/>
        <v>1</v>
      </c>
      <c r="E15" s="137"/>
      <c r="F15" s="66">
        <f t="shared" si="16"/>
        <v>0</v>
      </c>
      <c r="G15" s="66">
        <f>IF(OR(CAPI_TERM&gt;A15,MONTH(A15)&lt;&gt;PRIN_MATURITY,FIRST_PRIN&gt;A15),0,MAX(0,INT(((((VLOOKUP($A15,Summary!$D$14:$AX$56,COLUMNS(Summary!$D$15:$AX$15))+M15*2)/$V15-H16*2*R15)/(1+B15*R15)+IF($A15=SURPLUS_FUND_RELEASE_DATE,IF(SURPLUS_RELEASE_SIZING="Yes", SURPLUS_FUND_DEPOSIT,0),0)/(1+B15*R15)))/5000)*5000))</f>
        <v>0</v>
      </c>
      <c r="H15" s="66">
        <f t="shared" ca="1" si="8"/>
        <v>167143.75</v>
      </c>
      <c r="I15" s="66">
        <f t="shared" ca="1" si="9"/>
        <v>167143.75</v>
      </c>
      <c r="J15" s="70">
        <f t="shared" ca="1" si="10"/>
        <v>334287.5</v>
      </c>
      <c r="K15" s="66">
        <f t="shared" ca="1" si="1"/>
        <v>167143.75</v>
      </c>
      <c r="L15" s="85">
        <f t="shared" si="2"/>
        <v>0</v>
      </c>
      <c r="M15" s="85">
        <f t="shared" ca="1" si="3"/>
        <v>6813.1923647280091</v>
      </c>
      <c r="N15" s="66">
        <f t="shared" ca="1" si="13"/>
        <v>-6813.1923647280091</v>
      </c>
      <c r="O15" s="70">
        <f t="shared" ca="1" si="4"/>
        <v>-13626.384729456018</v>
      </c>
      <c r="P15" s="70">
        <f ca="1">$G$96-SUM($G$11:G15)</f>
        <v>5690000</v>
      </c>
      <c r="R15" s="68">
        <f t="shared" si="14"/>
        <v>1</v>
      </c>
      <c r="T15" s="83">
        <f ca="1">IF(ISNA(VLOOKUP($A15,Summary!$C$14:$AX$54,COLUMNS(Summary!$C$15:$AX$15),FALSE))=TRUE,0,VLOOKUP($A15,Summary!$C$14:$AX$56,COLUMNS(Summary!$C$15:$AX$15),FALSE))</f>
        <v>262445.2222571657</v>
      </c>
      <c r="U15" s="84">
        <f ca="1">IF(ISERROR(IF(ISNA(VLOOKUP($A15,Summary!$D$14:$AX$54,COLUMNS(Summary!$D$15:$AX$15),FALSE))=TRUE,0,VLOOKUP($A15,Summary!$D$14:$AX$54,COLUMNS(Summary!$D$15:$AX$15),FALSE))/O15),0,IF(ISNA(VLOOKUP($A15,Summary!$D$14:$AX$54,COLUMNS(Summary!$D$15:$AX$15),FALSE))=TRUE,0,VLOOKUP($A15,Summary!$D$14:$AX$54,COLUMNS(Summary!$D$15:$AX$15),FALSE))/O15)</f>
        <v>-7.5209323295601118</v>
      </c>
      <c r="V15" s="72">
        <f t="shared" si="11"/>
        <v>1.3</v>
      </c>
      <c r="X15" s="83">
        <f t="shared" si="5"/>
        <v>0</v>
      </c>
      <c r="Y15" s="83"/>
      <c r="Z15" s="83"/>
      <c r="AB15" s="144">
        <f ca="1">IF(AC13-AC14=0,AB15,AB14+(AB14-AB13)*((AC14-AE15)/(AC13-AC14)))</f>
        <v>3.7780762040435074E-2</v>
      </c>
      <c r="AC15" s="83">
        <f t="shared" ca="1" si="17"/>
        <v>7404729.2803956345</v>
      </c>
      <c r="AD15" s="145">
        <f t="shared" si="18"/>
        <v>0</v>
      </c>
      <c r="AE15" s="83">
        <f t="shared" ca="1" si="19"/>
        <v>5690000</v>
      </c>
      <c r="AG15" s="144">
        <f ca="1">IF(AH13-AH14=0,AG15,AG14+(AG14-AG13)*((AH14-AJ15)/(AH13-AH14)))</f>
        <v>4.0085280724660013E-2</v>
      </c>
      <c r="AH15" s="83">
        <f t="shared" ca="1" si="15"/>
        <v>7178639.5532261459</v>
      </c>
      <c r="AI15" s="145">
        <f t="shared" si="20"/>
        <v>0</v>
      </c>
      <c r="AJ15" s="83">
        <f t="shared" ca="1" si="21"/>
        <v>5239150</v>
      </c>
    </row>
    <row r="16" spans="1:37" x14ac:dyDescent="0.25">
      <c r="A16" s="67">
        <f t="shared" si="6"/>
        <v>46631</v>
      </c>
      <c r="B16" s="161">
        <f t="shared" si="0"/>
        <v>0</v>
      </c>
      <c r="C16" s="161">
        <f t="shared" si="12"/>
        <v>0</v>
      </c>
      <c r="D16" s="68">
        <f t="shared" si="7"/>
        <v>0</v>
      </c>
      <c r="E16" s="137"/>
      <c r="F16" s="66">
        <f t="shared" si="16"/>
        <v>0</v>
      </c>
      <c r="G16" s="66">
        <f>IF(OR(CAPI_TERM&gt;A16,MONTH(A16)&lt;&gt;PRIN_MATURITY,FIRST_PRIN&gt;A16),0,MAX(0,INT(((((VLOOKUP($A16,Summary!$D$14:$AX$56,COLUMNS(Summary!$D$15:$AX$15))+M16*2)/$V16-H17*2*R16)/(1+B16*R16)+IF($A16=SURPLUS_FUND_RELEASE_DATE,IF(SURPLUS_RELEASE_SIZING="Yes", SURPLUS_FUND_DEPOSIT,0),0)/(1+B16*R16)))/5000)*5000))</f>
        <v>0</v>
      </c>
      <c r="H16" s="66">
        <f t="shared" ca="1" si="8"/>
        <v>167143.75</v>
      </c>
      <c r="I16" s="66">
        <f t="shared" ca="1" si="9"/>
        <v>167143.75</v>
      </c>
      <c r="J16" s="70">
        <f t="shared" si="10"/>
        <v>0</v>
      </c>
      <c r="K16" s="66">
        <f t="shared" ca="1" si="1"/>
        <v>0</v>
      </c>
      <c r="L16" s="85">
        <f t="shared" si="2"/>
        <v>0</v>
      </c>
      <c r="M16" s="85">
        <f t="shared" ca="1" si="3"/>
        <v>6813.1923647280091</v>
      </c>
      <c r="N16" s="66">
        <f t="shared" ca="1" si="13"/>
        <v>160330.55763527198</v>
      </c>
      <c r="O16" s="70">
        <f t="shared" si="4"/>
        <v>0</v>
      </c>
      <c r="P16" s="70">
        <f ca="1">$G$96-SUM($G$11:G16)</f>
        <v>5690000</v>
      </c>
      <c r="R16" s="68">
        <f t="shared" si="14"/>
        <v>0</v>
      </c>
      <c r="T16" s="83">
        <f>IF(ISNA(VLOOKUP($A16,Summary!$C$14:$AX$54,COLUMNS(Summary!$C$15:$AX$15),FALSE))=TRUE,0,VLOOKUP($A16,Summary!$C$14:$AX$56,COLUMNS(Summary!$C$15:$AX$15),FALSE))</f>
        <v>0</v>
      </c>
      <c r="U16" s="84">
        <f>IF(ISERROR(IF(ISNA(VLOOKUP($A16,Summary!$D$14:$AX$54,COLUMNS(Summary!$D$15:$AX$15),FALSE))=TRUE,0,VLOOKUP($A16,Summary!$D$14:$AX$54,COLUMNS(Summary!$D$15:$AX$15),FALSE))/O16),0,IF(ISNA(VLOOKUP($A16,Summary!$D$14:$AX$54,COLUMNS(Summary!$D$15:$AX$15),FALSE))=TRUE,0,VLOOKUP($A16,Summary!$D$14:$AX$54,COLUMNS(Summary!$D$15:$AX$15),FALSE))/O16)</f>
        <v>0</v>
      </c>
      <c r="V16" s="72" t="str">
        <f t="shared" si="11"/>
        <v/>
      </c>
      <c r="X16" s="83">
        <f t="shared" si="5"/>
        <v>0</v>
      </c>
      <c r="Y16" s="83"/>
      <c r="Z16" s="83"/>
      <c r="AB16" s="144">
        <f t="shared" ref="AB16:AB22" ca="1" si="22">IF(AC14-AC15=0,AB16,AB15+(AB15-AB14)*((AC15-AE16)/(AC14-AC15)))</f>
        <v>4.919318817984835E-2</v>
      </c>
      <c r="AC16" s="83">
        <f t="shared" ca="1" si="17"/>
        <v>6375929.954823303</v>
      </c>
      <c r="AD16" s="145">
        <f t="shared" si="18"/>
        <v>0</v>
      </c>
      <c r="AE16" s="83">
        <f t="shared" ca="1" si="19"/>
        <v>5690000</v>
      </c>
      <c r="AG16" s="144">
        <f t="shared" ref="AG16:AG22" ca="1" si="23">IF(AH14-AH15=0,AG16,AG15+(AG15-AG14)*((AH15-AJ16)/(AH14-AH15)))</f>
        <v>5.3256391863544507E-2</v>
      </c>
      <c r="AH16" s="83">
        <f t="shared" ca="1" si="15"/>
        <v>6059545.6777770696</v>
      </c>
      <c r="AI16" s="145">
        <f t="shared" si="20"/>
        <v>0</v>
      </c>
      <c r="AJ16" s="83">
        <f t="shared" ca="1" si="21"/>
        <v>5239150</v>
      </c>
    </row>
    <row r="17" spans="1:36" x14ac:dyDescent="0.25">
      <c r="A17" s="67">
        <f t="shared" si="6"/>
        <v>46813</v>
      </c>
      <c r="B17" s="161">
        <f t="shared" si="0"/>
        <v>5.8749999999999997E-2</v>
      </c>
      <c r="C17" s="161">
        <f t="shared" si="12"/>
        <v>5.8749999999999997E-2</v>
      </c>
      <c r="D17" s="68">
        <f t="shared" si="7"/>
        <v>1</v>
      </c>
      <c r="E17" s="137"/>
      <c r="F17" s="66">
        <f t="shared" ca="1" si="16"/>
        <v>0</v>
      </c>
      <c r="G17" s="66">
        <f ca="1">IF(OR(CAPI_TERM&gt;A17,MONTH(A17)&lt;&gt;PRIN_MATURITY,FIRST_PRIN&gt;A17),0,MAX(0,INT(((((VLOOKUP($A17,Summary!$D$14:$AX$56,COLUMNS(Summary!$D$15:$AX$15))+M17*2)/$V17-H18*2*R17)/(1+B17*R17)+IF($A17=SURPLUS_FUND_RELEASE_DATE,IF(SURPLUS_RELEASE_SIZING="Yes", SURPLUS_FUND_DEPOSIT,0),0)/(1+B17*R17)))/5000)*5000))</f>
        <v>0</v>
      </c>
      <c r="H17" s="66">
        <f ca="1">(H18+G17*B17/2)</f>
        <v>167143.75</v>
      </c>
      <c r="I17" s="66">
        <f t="shared" ca="1" si="9"/>
        <v>167143.75</v>
      </c>
      <c r="J17" s="70">
        <f t="shared" ca="1" si="10"/>
        <v>334287.5</v>
      </c>
      <c r="K17" s="66">
        <f t="shared" ca="1" si="1"/>
        <v>0</v>
      </c>
      <c r="L17" s="85">
        <f t="shared" si="2"/>
        <v>0</v>
      </c>
      <c r="M17" s="85">
        <f t="shared" ca="1" si="3"/>
        <v>6813.1923647280091</v>
      </c>
      <c r="N17" s="66">
        <f t="shared" ca="1" si="13"/>
        <v>160330.55763527198</v>
      </c>
      <c r="O17" s="70">
        <f t="shared" ca="1" si="4"/>
        <v>320661.11527054396</v>
      </c>
      <c r="P17" s="70">
        <f ca="1">$G$96-SUM($G$11:G17)</f>
        <v>5690000</v>
      </c>
      <c r="R17" s="68">
        <f t="shared" si="14"/>
        <v>1</v>
      </c>
      <c r="T17" s="83">
        <f ca="1">IF(ISNA(VLOOKUP($A17,Summary!$C$14:$AX$54,COLUMNS(Summary!$C$15:$AX$15),FALSE))=TRUE,0,VLOOKUP($A17,Summary!$C$14:$AX$56,COLUMNS(Summary!$C$15:$AX$15),FALSE))</f>
        <v>375624.79738539335</v>
      </c>
      <c r="U17" s="84">
        <f ca="1">IF(ISERROR(IF(ISNA(VLOOKUP($A17,Summary!$D$14:$AX$54,COLUMNS(Summary!$D$15:$AX$15),FALSE))=TRUE,0,VLOOKUP($A17,Summary!$D$14:$AX$54,COLUMNS(Summary!$D$15:$AX$15),FALSE))/O17),0,IF(ISNA(VLOOKUP($A17,Summary!$D$14:$AX$54,COLUMNS(Summary!$D$15:$AX$15),FALSE))=TRUE,0,VLOOKUP($A17,Summary!$D$14:$AX$54,COLUMNS(Summary!$D$15:$AX$15),FALSE))/O17)</f>
        <v>0.81845041309651434</v>
      </c>
      <c r="V17" s="72">
        <f t="shared" si="11"/>
        <v>1.3</v>
      </c>
      <c r="X17" s="83">
        <f t="shared" ca="1" si="5"/>
        <v>0</v>
      </c>
      <c r="Y17" s="83"/>
      <c r="Z17" s="83"/>
      <c r="AB17" s="144">
        <f t="shared" ca="1" si="22"/>
        <v>5.6802179313155288E-2</v>
      </c>
      <c r="AC17" s="83">
        <f t="shared" ca="1" si="17"/>
        <v>5802033.2695107423</v>
      </c>
      <c r="AD17" s="145">
        <f t="shared" si="18"/>
        <v>0</v>
      </c>
      <c r="AE17" s="83">
        <f t="shared" ca="1" si="19"/>
        <v>5690000</v>
      </c>
      <c r="AG17" s="144">
        <f t="shared" ca="1" si="23"/>
        <v>6.2911991708129625E-2</v>
      </c>
      <c r="AH17" s="83">
        <f t="shared" ca="1" si="15"/>
        <v>5395117.3506005351</v>
      </c>
      <c r="AI17" s="145">
        <f t="shared" si="20"/>
        <v>0</v>
      </c>
      <c r="AJ17" s="83">
        <f t="shared" ca="1" si="21"/>
        <v>5239150</v>
      </c>
    </row>
    <row r="18" spans="1:36" x14ac:dyDescent="0.25">
      <c r="A18" s="67">
        <f t="shared" si="6"/>
        <v>46997</v>
      </c>
      <c r="B18" s="161">
        <f t="shared" si="0"/>
        <v>0</v>
      </c>
      <c r="C18" s="161">
        <f t="shared" si="12"/>
        <v>0</v>
      </c>
      <c r="D18" s="68">
        <f t="shared" si="7"/>
        <v>0</v>
      </c>
      <c r="E18" s="137"/>
      <c r="F18" s="66">
        <f t="shared" si="16"/>
        <v>0</v>
      </c>
      <c r="G18" s="66">
        <f>IF(OR(CAPI_TERM&gt;A18,MONTH(A18)&lt;&gt;PRIN_MATURITY,FIRST_PRIN&gt;A18),0,MAX(0,INT(((((VLOOKUP($A18,Summary!$D$14:$AX$56,COLUMNS(Summary!$D$15:$AX$15))+M18*2)/$V18-H19*2*R18)/(1+B18*R18)+IF($A18=SURPLUS_FUND_RELEASE_DATE,IF(SURPLUS_RELEASE_SIZING="Yes", SURPLUS_FUND_DEPOSIT,0),0)/(1+B18*R18)))/5000)*5000))</f>
        <v>0</v>
      </c>
      <c r="H18" s="66">
        <f t="shared" ca="1" si="8"/>
        <v>167143.75</v>
      </c>
      <c r="I18" s="66">
        <f t="shared" ca="1" si="9"/>
        <v>167143.75</v>
      </c>
      <c r="J18" s="70">
        <f t="shared" si="10"/>
        <v>0</v>
      </c>
      <c r="K18" s="66">
        <f t="shared" ca="1" si="1"/>
        <v>0</v>
      </c>
      <c r="L18" s="85">
        <f t="shared" si="2"/>
        <v>0</v>
      </c>
      <c r="M18" s="85">
        <f t="shared" ca="1" si="3"/>
        <v>6813.1923647280091</v>
      </c>
      <c r="N18" s="66">
        <f t="shared" ca="1" si="13"/>
        <v>160330.55763527198</v>
      </c>
      <c r="O18" s="70">
        <f t="shared" si="4"/>
        <v>0</v>
      </c>
      <c r="P18" s="70">
        <f ca="1">$G$96-SUM($G$11:G18)</f>
        <v>5690000</v>
      </c>
      <c r="R18" s="68">
        <f t="shared" si="14"/>
        <v>0</v>
      </c>
      <c r="T18" s="83">
        <f>IF(ISNA(VLOOKUP($A18,Summary!$C$14:$AX$54,COLUMNS(Summary!$C$15:$AX$15),FALSE))=TRUE,0,VLOOKUP($A18,Summary!$C$14:$AX$56,COLUMNS(Summary!$C$15:$AX$15),FALSE))</f>
        <v>0</v>
      </c>
      <c r="U18" s="84">
        <f>IF(ISERROR(IF(ISNA(VLOOKUP($A18,Summary!$D$14:$AX$54,COLUMNS(Summary!$D$15:$AX$15),FALSE))=TRUE,0,VLOOKUP($A18,Summary!$D$14:$AX$54,COLUMNS(Summary!$D$15:$AX$15),FALSE))/O18),0,IF(ISNA(VLOOKUP($A18,Summary!$D$14:$AX$54,COLUMNS(Summary!$D$15:$AX$15),FALSE))=TRUE,0,VLOOKUP($A18,Summary!$D$14:$AX$54,COLUMNS(Summary!$D$15:$AX$15),FALSE))/O18)</f>
        <v>0</v>
      </c>
      <c r="V18" s="72" t="str">
        <f t="shared" si="11"/>
        <v/>
      </c>
      <c r="X18" s="83">
        <f t="shared" si="5"/>
        <v>0</v>
      </c>
      <c r="Y18" s="83"/>
      <c r="Z18" s="83"/>
      <c r="AB18" s="144">
        <f t="shared" ca="1" si="22"/>
        <v>5.828756888964038E-2</v>
      </c>
      <c r="AC18" s="83">
        <f t="shared" ca="1" si="17"/>
        <v>5698974.3722089147</v>
      </c>
      <c r="AD18" s="145">
        <f t="shared" si="18"/>
        <v>0</v>
      </c>
      <c r="AE18" s="83">
        <f t="shared" ca="1" si="19"/>
        <v>5690000</v>
      </c>
      <c r="AG18" s="144">
        <f t="shared" ca="1" si="23"/>
        <v>6.5178539151430848E-2</v>
      </c>
      <c r="AH18" s="83">
        <f t="shared" ca="1" si="15"/>
        <v>5255038.450769336</v>
      </c>
      <c r="AI18" s="145">
        <f t="shared" si="20"/>
        <v>0</v>
      </c>
      <c r="AJ18" s="83">
        <f t="shared" ca="1" si="21"/>
        <v>5239150</v>
      </c>
    </row>
    <row r="19" spans="1:36" x14ac:dyDescent="0.25">
      <c r="A19" s="67">
        <f t="shared" si="6"/>
        <v>47178</v>
      </c>
      <c r="B19" s="161">
        <f t="shared" si="0"/>
        <v>5.8749999999999997E-2</v>
      </c>
      <c r="C19" s="161">
        <f t="shared" si="12"/>
        <v>5.8749999999999997E-2</v>
      </c>
      <c r="D19" s="68">
        <f t="shared" si="7"/>
        <v>1</v>
      </c>
      <c r="E19" s="137"/>
      <c r="F19" s="66">
        <f t="shared" ca="1" si="16"/>
        <v>0</v>
      </c>
      <c r="G19" s="66">
        <f ca="1">IF(OR(CAPI_TERM&gt;A19,MONTH(A19)&lt;&gt;PRIN_MATURITY,FIRST_PRIN&gt;A19),0,MAX(0,INT(((((VLOOKUP($A19,Summary!$D$14:$AX$56,COLUMNS(Summary!$D$15:$AX$15))+M19*2)/$V19-H20*2*R19)/(1+B19*R19)+IF($A19=SURPLUS_FUND_RELEASE_DATE,IF(SURPLUS_RELEASE_SIZING="Yes", SURPLUS_FUND_DEPOSIT,0),0)/(1+B19*R19)))/5000)*5000))</f>
        <v>0</v>
      </c>
      <c r="H19" s="66">
        <f t="shared" ca="1" si="8"/>
        <v>167143.75</v>
      </c>
      <c r="I19" s="66">
        <f t="shared" ca="1" si="9"/>
        <v>167143.75</v>
      </c>
      <c r="J19" s="70">
        <f t="shared" ca="1" si="10"/>
        <v>334287.5</v>
      </c>
      <c r="K19" s="66">
        <f t="shared" ca="1" si="1"/>
        <v>0</v>
      </c>
      <c r="L19" s="85">
        <f t="shared" si="2"/>
        <v>0</v>
      </c>
      <c r="M19" s="85">
        <f t="shared" ca="1" si="3"/>
        <v>6813.1923647280091</v>
      </c>
      <c r="N19" s="66">
        <f t="shared" ca="1" si="13"/>
        <v>160330.55763527198</v>
      </c>
      <c r="O19" s="70">
        <f t="shared" ca="1" si="4"/>
        <v>320661.11527054396</v>
      </c>
      <c r="P19" s="70">
        <f ca="1">$G$96-SUM($G$11:G19)</f>
        <v>5690000</v>
      </c>
      <c r="R19" s="68">
        <f t="shared" si="14"/>
        <v>1</v>
      </c>
      <c r="T19" s="83">
        <f ca="1">IF(ISNA(VLOOKUP($A19,Summary!$C$14:$AX$54,COLUMNS(Summary!$C$15:$AX$15),FALSE))=TRUE,0,VLOOKUP($A19,Summary!$C$14:$AX$56,COLUMNS(Summary!$C$15:$AX$15),FALSE))</f>
        <v>447485.11588620231</v>
      </c>
      <c r="U19" s="84">
        <f ca="1">IF(ISERROR(IF(ISNA(VLOOKUP($A19,Summary!$D$14:$AX$54,COLUMNS(Summary!$D$15:$AX$15),FALSE))=TRUE,0,VLOOKUP($A19,Summary!$D$14:$AX$54,COLUMNS(Summary!$D$15:$AX$15),FALSE))/O19),0,IF(ISNA(VLOOKUP($A19,Summary!$D$14:$AX$54,COLUMNS(Summary!$D$15:$AX$15),FALSE))=TRUE,0,VLOOKUP($A19,Summary!$D$14:$AX$54,COLUMNS(Summary!$D$15:$AX$15),FALSE))/O19)</f>
        <v>1.1714073814920658</v>
      </c>
      <c r="V19" s="72">
        <f t="shared" si="11"/>
        <v>1.3</v>
      </c>
      <c r="X19" s="83">
        <f t="shared" ca="1" si="5"/>
        <v>0</v>
      </c>
      <c r="Y19" s="83"/>
      <c r="Z19" s="83"/>
      <c r="AB19" s="144">
        <f t="shared" ca="1" si="22"/>
        <v>5.8416916663424322E-2</v>
      </c>
      <c r="AC19" s="83">
        <f t="shared" ca="1" si="17"/>
        <v>5690129.6872103438</v>
      </c>
      <c r="AD19" s="145">
        <f t="shared" si="18"/>
        <v>0</v>
      </c>
      <c r="AE19" s="83">
        <f t="shared" ca="1" si="19"/>
        <v>5690000</v>
      </c>
      <c r="AG19" s="144">
        <f t="shared" ca="1" si="23"/>
        <v>6.5435622320363873E-2</v>
      </c>
      <c r="AH19" s="83">
        <f t="shared" ca="1" si="15"/>
        <v>5239499.2493558666</v>
      </c>
      <c r="AI19" s="145">
        <f t="shared" si="20"/>
        <v>0</v>
      </c>
      <c r="AJ19" s="83">
        <f t="shared" ca="1" si="21"/>
        <v>5239150</v>
      </c>
    </row>
    <row r="20" spans="1:36" x14ac:dyDescent="0.25">
      <c r="A20" s="67">
        <f t="shared" si="6"/>
        <v>47362</v>
      </c>
      <c r="B20" s="161">
        <f t="shared" si="0"/>
        <v>0</v>
      </c>
      <c r="C20" s="161">
        <f t="shared" si="12"/>
        <v>0</v>
      </c>
      <c r="D20" s="68">
        <f t="shared" si="7"/>
        <v>0</v>
      </c>
      <c r="E20" s="137"/>
      <c r="F20" s="66">
        <f t="shared" si="16"/>
        <v>0</v>
      </c>
      <c r="G20" s="66">
        <f>IF(OR(CAPI_TERM&gt;A20,MONTH(A20)&lt;&gt;PRIN_MATURITY,FIRST_PRIN&gt;A20),0,MAX(0,INT(((((VLOOKUP($A20,Summary!$D$14:$AX$56,COLUMNS(Summary!$D$15:$AX$15))+M20*2)/$V20-H21*2*R20)/(1+B20*R20)+IF($A20=SURPLUS_FUND_RELEASE_DATE,IF(SURPLUS_RELEASE_SIZING="Yes", SURPLUS_FUND_DEPOSIT,0),0)/(1+B20*R20)))/5000)*5000))</f>
        <v>0</v>
      </c>
      <c r="H20" s="66">
        <f t="shared" ca="1" si="8"/>
        <v>167143.75</v>
      </c>
      <c r="I20" s="66">
        <f t="shared" ca="1" si="9"/>
        <v>167143.75</v>
      </c>
      <c r="J20" s="70">
        <f t="shared" si="10"/>
        <v>0</v>
      </c>
      <c r="K20" s="66">
        <f t="shared" ca="1" si="1"/>
        <v>0</v>
      </c>
      <c r="L20" s="85">
        <f t="shared" si="2"/>
        <v>0</v>
      </c>
      <c r="M20" s="85">
        <f t="shared" ca="1" si="3"/>
        <v>6813.1923647280091</v>
      </c>
      <c r="N20" s="66">
        <f t="shared" ca="1" si="13"/>
        <v>160330.55763527198</v>
      </c>
      <c r="O20" s="70">
        <f t="shared" si="4"/>
        <v>0</v>
      </c>
      <c r="P20" s="70">
        <f ca="1">$G$96-SUM($G$11:G20)</f>
        <v>5690000</v>
      </c>
      <c r="R20" s="68">
        <f t="shared" si="14"/>
        <v>0</v>
      </c>
      <c r="T20" s="83">
        <f>IF(ISNA(VLOOKUP($A20,Summary!$C$14:$AX$54,COLUMNS(Summary!$C$15:$AX$15),FALSE))=TRUE,0,VLOOKUP($A20,Summary!$C$14:$AX$56,COLUMNS(Summary!$C$15:$AX$15),FALSE))</f>
        <v>0</v>
      </c>
      <c r="U20" s="84">
        <f>IF(ISERROR(IF(ISNA(VLOOKUP($A20,Summary!$D$14:$AX$54,COLUMNS(Summary!$D$15:$AX$15),FALSE))=TRUE,0,VLOOKUP($A20,Summary!$D$14:$AX$54,COLUMNS(Summary!$D$15:$AX$15),FALSE))/O20),0,IF(ISNA(VLOOKUP($A20,Summary!$D$14:$AX$54,COLUMNS(Summary!$D$15:$AX$15),FALSE))=TRUE,0,VLOOKUP($A20,Summary!$D$14:$AX$54,COLUMNS(Summary!$D$15:$AX$15),FALSE))/O20)</f>
        <v>0</v>
      </c>
      <c r="V20" s="72" t="str">
        <f t="shared" si="11"/>
        <v/>
      </c>
      <c r="X20" s="83">
        <f t="shared" si="5"/>
        <v>0</v>
      </c>
      <c r="Y20" s="83"/>
      <c r="Z20" s="83"/>
      <c r="AB20" s="144">
        <f t="shared" ca="1" si="22"/>
        <v>5.8418813254648198E-2</v>
      </c>
      <c r="AC20" s="83">
        <f t="shared" ca="1" si="17"/>
        <v>5690000.1527671497</v>
      </c>
      <c r="AD20" s="145">
        <f t="shared" si="18"/>
        <v>0</v>
      </c>
      <c r="AE20" s="83">
        <f t="shared" ca="1" si="19"/>
        <v>5690000</v>
      </c>
      <c r="AG20" s="144">
        <f t="shared" ca="1" si="23"/>
        <v>6.5441400360609636E-2</v>
      </c>
      <c r="AH20" s="83">
        <f t="shared" ca="1" si="15"/>
        <v>5239150.8030534256</v>
      </c>
      <c r="AI20" s="145">
        <f t="shared" si="20"/>
        <v>0</v>
      </c>
      <c r="AJ20" s="83">
        <f t="shared" ca="1" si="21"/>
        <v>5239150</v>
      </c>
    </row>
    <row r="21" spans="1:36" x14ac:dyDescent="0.25">
      <c r="A21" s="67">
        <f t="shared" si="6"/>
        <v>47543</v>
      </c>
      <c r="B21" s="161">
        <f t="shared" si="0"/>
        <v>5.8749999999999997E-2</v>
      </c>
      <c r="C21" s="161">
        <f t="shared" si="12"/>
        <v>5.8749999999999997E-2</v>
      </c>
      <c r="D21" s="68">
        <f t="shared" si="7"/>
        <v>1</v>
      </c>
      <c r="E21" s="137"/>
      <c r="F21" s="66">
        <f t="shared" ca="1" si="16"/>
        <v>0</v>
      </c>
      <c r="G21" s="66">
        <f ca="1">IF(OR(CAPI_TERM&gt;A21,MONTH(A21)&lt;&gt;PRIN_MATURITY,FIRST_PRIN&gt;A21),0,MAX(0,INT(((((VLOOKUP($A21,Summary!$D$14:$AX$56,COLUMNS(Summary!$D$15:$AX$15))+M21*2)/$V21-H22*2*R21)/(1+B21*R21)+IF($A21=SURPLUS_FUND_RELEASE_DATE,IF(SURPLUS_RELEASE_SIZING="Yes", SURPLUS_FUND_DEPOSIT,0),0)/(1+B21*R21)))/5000)*5000))</f>
        <v>20000</v>
      </c>
      <c r="H21" s="66">
        <f t="shared" ca="1" si="8"/>
        <v>167143.75</v>
      </c>
      <c r="I21" s="66">
        <f t="shared" ca="1" si="9"/>
        <v>187143.75</v>
      </c>
      <c r="J21" s="70">
        <f t="shared" ca="1" si="10"/>
        <v>354287.5</v>
      </c>
      <c r="K21" s="66">
        <f t="shared" ca="1" si="1"/>
        <v>0</v>
      </c>
      <c r="L21" s="85">
        <f t="shared" si="2"/>
        <v>0</v>
      </c>
      <c r="M21" s="85">
        <f t="shared" ca="1" si="3"/>
        <v>6813.1923647280091</v>
      </c>
      <c r="N21" s="66">
        <f t="shared" ca="1" si="13"/>
        <v>180330.55763527198</v>
      </c>
      <c r="O21" s="70">
        <f t="shared" ca="1" si="4"/>
        <v>340661.11527054396</v>
      </c>
      <c r="P21" s="70">
        <f ca="1">$G$96-SUM($G$11:G21)</f>
        <v>5670000</v>
      </c>
      <c r="R21" s="68">
        <f t="shared" si="14"/>
        <v>1</v>
      </c>
      <c r="T21" s="83">
        <f ca="1">IF(ISNA(VLOOKUP($A21,Summary!$C$14:$AX$54,COLUMNS(Summary!$C$15:$AX$15),FALSE))=TRUE,0,VLOOKUP($A21,Summary!$C$14:$AX$56,COLUMNS(Summary!$C$15:$AX$15),FALSE))</f>
        <v>512933.00792164897</v>
      </c>
      <c r="U21" s="84">
        <f ca="1">IF(ISERROR(IF(ISNA(VLOOKUP($A21,Summary!$D$14:$AX$54,COLUMNS(Summary!$D$15:$AX$15),FALSE))=TRUE,0,VLOOKUP($A21,Summary!$D$14:$AX$54,COLUMNS(Summary!$D$15:$AX$15),FALSE))/O21),0,IF(ISNA(VLOOKUP($A21,Summary!$D$14:$AX$54,COLUMNS(Summary!$D$15:$AX$15),FALSE))=TRUE,0,VLOOKUP($A21,Summary!$D$14:$AX$54,COLUMNS(Summary!$D$15:$AX$15),FALSE))/O21)</f>
        <v>1.3135784973017</v>
      </c>
      <c r="V21" s="72">
        <f t="shared" si="11"/>
        <v>1.3</v>
      </c>
      <c r="X21" s="83">
        <f t="shared" ca="1" si="5"/>
        <v>108611.11111111111</v>
      </c>
      <c r="Y21" s="83"/>
      <c r="Z21" s="83"/>
      <c r="AB21" s="144">
        <f t="shared" ca="1" si="22"/>
        <v>5.8418815491403368E-2</v>
      </c>
      <c r="AC21" s="83">
        <f t="shared" ca="1" si="17"/>
        <v>5690000.0000026021</v>
      </c>
      <c r="AD21" s="145">
        <f>$AD$11</f>
        <v>0</v>
      </c>
      <c r="AE21" s="83">
        <f t="shared" ca="1" si="19"/>
        <v>5690000</v>
      </c>
      <c r="AG21" s="144">
        <f t="shared" ca="1" si="23"/>
        <v>6.5441413677080437E-2</v>
      </c>
      <c r="AH21" s="83">
        <f t="shared" ca="1" si="15"/>
        <v>5239150.0000406867</v>
      </c>
      <c r="AI21" s="145">
        <f>$AD$11</f>
        <v>0</v>
      </c>
      <c r="AJ21" s="83">
        <f t="shared" ca="1" si="21"/>
        <v>5239150</v>
      </c>
    </row>
    <row r="22" spans="1:36" x14ac:dyDescent="0.25">
      <c r="A22" s="67">
        <f t="shared" si="6"/>
        <v>47727</v>
      </c>
      <c r="B22" s="161">
        <f t="shared" si="0"/>
        <v>0</v>
      </c>
      <c r="C22" s="161">
        <f t="shared" si="12"/>
        <v>0</v>
      </c>
      <c r="D22" s="68">
        <f t="shared" si="7"/>
        <v>0</v>
      </c>
      <c r="E22" s="137"/>
      <c r="F22" s="66">
        <f t="shared" si="16"/>
        <v>0</v>
      </c>
      <c r="G22" s="66">
        <f>IF(OR(CAPI_TERM&gt;A22,MONTH(A22)&lt;&gt;PRIN_MATURITY,FIRST_PRIN&gt;A22),0,MAX(0,INT(((((VLOOKUP($A22,Summary!$D$14:$AX$56,COLUMNS(Summary!$D$15:$AX$15))+M22*2)/$V22-H23*2*R22)/(1+B22*R22)+IF($A22=SURPLUS_FUND_RELEASE_DATE,IF(SURPLUS_RELEASE_SIZING="Yes", SURPLUS_FUND_DEPOSIT,0),0)/(1+B22*R22)))/5000)*5000))</f>
        <v>0</v>
      </c>
      <c r="H22" s="66">
        <f t="shared" ca="1" si="8"/>
        <v>166556.25</v>
      </c>
      <c r="I22" s="66">
        <f t="shared" ca="1" si="9"/>
        <v>166556.25</v>
      </c>
      <c r="J22" s="70">
        <f t="shared" si="10"/>
        <v>0</v>
      </c>
      <c r="K22" s="66">
        <f t="shared" ca="1" si="1"/>
        <v>0</v>
      </c>
      <c r="L22" s="85">
        <f t="shared" si="2"/>
        <v>0</v>
      </c>
      <c r="M22" s="85">
        <f t="shared" ca="1" si="3"/>
        <v>6813.1923647280091</v>
      </c>
      <c r="N22" s="66">
        <f t="shared" ca="1" si="13"/>
        <v>159743.05763527198</v>
      </c>
      <c r="O22" s="70">
        <f t="shared" si="4"/>
        <v>0</v>
      </c>
      <c r="P22" s="70">
        <f ca="1">$G$96-SUM($G$11:G22)</f>
        <v>5670000</v>
      </c>
      <c r="R22" s="68">
        <f t="shared" si="14"/>
        <v>0</v>
      </c>
      <c r="T22" s="83">
        <f>IF(ISNA(VLOOKUP($A22,Summary!$C$14:$AX$54,COLUMNS(Summary!$C$15:$AX$15),FALSE))=TRUE,0,VLOOKUP($A22,Summary!$C$14:$AX$56,COLUMNS(Summary!$C$15:$AX$15),FALSE))</f>
        <v>0</v>
      </c>
      <c r="U22" s="84">
        <f>IF(ISERROR(IF(ISNA(VLOOKUP($A22,Summary!$D$14:$AX$54,COLUMNS(Summary!$D$15:$AX$15),FALSE))=TRUE,0,VLOOKUP($A22,Summary!$D$14:$AX$54,COLUMNS(Summary!$D$15:$AX$15),FALSE))/O22),0,IF(ISNA(VLOOKUP($A22,Summary!$D$14:$AX$54,COLUMNS(Summary!$D$15:$AX$15),FALSE))=TRUE,0,VLOOKUP($A22,Summary!$D$14:$AX$54,COLUMNS(Summary!$D$15:$AX$15),FALSE))/O22)</f>
        <v>0</v>
      </c>
      <c r="V22" s="72" t="str">
        <f t="shared" si="11"/>
        <v/>
      </c>
      <c r="X22" s="83">
        <f t="shared" si="5"/>
        <v>0</v>
      </c>
      <c r="Y22" s="83"/>
      <c r="Z22" s="83"/>
      <c r="AB22" s="144">
        <f t="shared" ca="1" si="22"/>
        <v>5.841881549144147E-2</v>
      </c>
      <c r="AC22" s="83">
        <f t="shared" ca="1" si="17"/>
        <v>5689999.9999999916</v>
      </c>
      <c r="AD22" s="145">
        <f t="shared" si="18"/>
        <v>0</v>
      </c>
      <c r="AE22" s="83">
        <f t="shared" ca="1" si="19"/>
        <v>5690000</v>
      </c>
      <c r="AG22" s="144">
        <f t="shared" ca="1" si="23"/>
        <v>6.5441413677755148E-2</v>
      </c>
      <c r="AH22" s="83">
        <f t="shared" ca="1" si="15"/>
        <v>5239150.0000000093</v>
      </c>
      <c r="AI22" s="145">
        <f t="shared" si="20"/>
        <v>0</v>
      </c>
      <c r="AJ22" s="83">
        <f t="shared" ca="1" si="21"/>
        <v>5239150</v>
      </c>
    </row>
    <row r="23" spans="1:36" x14ac:dyDescent="0.25">
      <c r="A23" s="67">
        <f t="shared" si="6"/>
        <v>47908</v>
      </c>
      <c r="B23" s="161">
        <f t="shared" si="0"/>
        <v>5.8749999999999997E-2</v>
      </c>
      <c r="C23" s="161">
        <f t="shared" si="12"/>
        <v>5.8749999999999997E-2</v>
      </c>
      <c r="D23" s="68">
        <f t="shared" si="7"/>
        <v>1</v>
      </c>
      <c r="E23" s="137"/>
      <c r="F23" s="66">
        <f t="shared" ca="1" si="16"/>
        <v>0</v>
      </c>
      <c r="G23" s="66">
        <f ca="1">IF(OR(CAPI_TERM&gt;A23,MONTH(A23)&lt;&gt;PRIN_MATURITY,FIRST_PRIN&gt;A23),0,MAX(0,INT(((((VLOOKUP($A23,Summary!$D$14:$AX$56,COLUMNS(Summary!$D$15:$AX$15))+M23*2)/$V23-H24*2*R23)/(1+B23*R23)+IF($A23=SURPLUS_FUND_RELEASE_DATE,IF(SURPLUS_RELEASE_SIZING="Yes", SURPLUS_FUND_DEPOSIT,0),0)/(1+B23*R23)))/5000)*5000))</f>
        <v>70000</v>
      </c>
      <c r="H23" s="66">
        <f t="shared" ca="1" si="8"/>
        <v>166556.25</v>
      </c>
      <c r="I23" s="66">
        <f t="shared" ca="1" si="9"/>
        <v>236556.25</v>
      </c>
      <c r="J23" s="70">
        <f t="shared" ca="1" si="10"/>
        <v>403112.5</v>
      </c>
      <c r="K23" s="66">
        <f t="shared" ca="1" si="1"/>
        <v>0</v>
      </c>
      <c r="L23" s="85">
        <f t="shared" si="2"/>
        <v>0</v>
      </c>
      <c r="M23" s="85">
        <f t="shared" ca="1" si="3"/>
        <v>6813.1923647280091</v>
      </c>
      <c r="N23" s="66">
        <f t="shared" ca="1" si="13"/>
        <v>229743.05763527198</v>
      </c>
      <c r="O23" s="70">
        <f t="shared" ca="1" si="4"/>
        <v>389486.11527054396</v>
      </c>
      <c r="P23" s="70">
        <f ca="1">$G$96-SUM($G$11:G23)</f>
        <v>5600000</v>
      </c>
      <c r="R23" s="68">
        <f t="shared" si="14"/>
        <v>1</v>
      </c>
      <c r="T23" s="83">
        <f ca="1">IF(ISNA(VLOOKUP($A23,Summary!$C$14:$AX$54,COLUMNS(Summary!$C$15:$AX$15),FALSE))=TRUE,0,VLOOKUP($A23,Summary!$C$14:$AX$56,COLUMNS(Summary!$C$15:$AX$15),FALSE))</f>
        <v>517527.99949676951</v>
      </c>
      <c r="U23" s="84">
        <f ca="1">IF(ISERROR(IF(ISNA(VLOOKUP($A23,Summary!$D$14:$AX$54,COLUMNS(Summary!$D$15:$AX$15),FALSE))=TRUE,0,VLOOKUP($A23,Summary!$D$14:$AX$54,COLUMNS(Summary!$D$15:$AX$15),FALSE))/O23),0,IF(ISNA(VLOOKUP($A23,Summary!$D$14:$AX$54,COLUMNS(Summary!$D$15:$AX$15),FALSE))=TRUE,0,VLOOKUP($A23,Summary!$D$14:$AX$54,COLUMNS(Summary!$D$15:$AX$15),FALSE))/O23)</f>
        <v>1.3169481216688728</v>
      </c>
      <c r="V23" s="72">
        <f t="shared" si="11"/>
        <v>1.3</v>
      </c>
      <c r="X23" s="83">
        <f t="shared" ca="1" si="5"/>
        <v>450138.88888888888</v>
      </c>
      <c r="Y23" s="83"/>
      <c r="Z23" s="83"/>
    </row>
    <row r="24" spans="1:36" x14ac:dyDescent="0.25">
      <c r="A24" s="67">
        <f t="shared" si="6"/>
        <v>48092</v>
      </c>
      <c r="B24" s="161">
        <f t="shared" si="0"/>
        <v>0</v>
      </c>
      <c r="C24" s="161">
        <f t="shared" si="12"/>
        <v>0</v>
      </c>
      <c r="D24" s="68">
        <f t="shared" si="7"/>
        <v>0</v>
      </c>
      <c r="E24" s="137"/>
      <c r="F24" s="66">
        <f t="shared" si="16"/>
        <v>0</v>
      </c>
      <c r="G24" s="66">
        <f>IF(OR(CAPI_TERM&gt;A24,MONTH(A24)&lt;&gt;PRIN_MATURITY,FIRST_PRIN&gt;A24),0,MAX(0,INT(((((VLOOKUP($A24,Summary!$D$14:$AX$56,COLUMNS(Summary!$D$15:$AX$15))+M24*2)/$V24-H25*2*R24)/(1+B24*R24)+IF($A24=SURPLUS_FUND_RELEASE_DATE,IF(SURPLUS_RELEASE_SIZING="Yes", SURPLUS_FUND_DEPOSIT,0),0)/(1+B24*R24)))/5000)*5000))</f>
        <v>0</v>
      </c>
      <c r="H24" s="66">
        <f t="shared" ca="1" si="8"/>
        <v>164500</v>
      </c>
      <c r="I24" s="66">
        <f t="shared" ca="1" si="9"/>
        <v>164500</v>
      </c>
      <c r="J24" s="70">
        <f t="shared" si="10"/>
        <v>0</v>
      </c>
      <c r="K24" s="66">
        <f t="shared" ca="1" si="1"/>
        <v>0</v>
      </c>
      <c r="L24" s="85">
        <f t="shared" si="2"/>
        <v>0</v>
      </c>
      <c r="M24" s="85">
        <f t="shared" ca="1" si="3"/>
        <v>6813.1923647280091</v>
      </c>
      <c r="N24" s="66">
        <f t="shared" ca="1" si="13"/>
        <v>157686.80763527198</v>
      </c>
      <c r="O24" s="70">
        <f t="shared" si="4"/>
        <v>0</v>
      </c>
      <c r="P24" s="70">
        <f ca="1">$G$96-SUM($G$11:G24)</f>
        <v>5600000</v>
      </c>
      <c r="R24" s="68">
        <f t="shared" si="14"/>
        <v>0</v>
      </c>
      <c r="T24" s="83">
        <f>IF(ISNA(VLOOKUP($A24,Summary!$C$14:$AX$54,COLUMNS(Summary!$C$15:$AX$15),FALSE))=TRUE,0,VLOOKUP($A24,Summary!$C$14:$AX$56,COLUMNS(Summary!$C$15:$AX$15),FALSE))</f>
        <v>0</v>
      </c>
      <c r="U24" s="84">
        <f>IF(ISERROR(IF(ISNA(VLOOKUP($A24,Summary!$D$14:$AX$54,COLUMNS(Summary!$D$15:$AX$15),FALSE))=TRUE,0,VLOOKUP($A24,Summary!$D$14:$AX$54,COLUMNS(Summary!$D$15:$AX$15),FALSE))/O24),0,IF(ISNA(VLOOKUP($A24,Summary!$D$14:$AX$54,COLUMNS(Summary!$D$15:$AX$15),FALSE))=TRUE,0,VLOOKUP($A24,Summary!$D$14:$AX$54,COLUMNS(Summary!$D$15:$AX$15),FALSE))/O24)</f>
        <v>0</v>
      </c>
      <c r="V24" s="72" t="str">
        <f t="shared" si="11"/>
        <v/>
      </c>
      <c r="X24" s="83">
        <f t="shared" si="5"/>
        <v>0</v>
      </c>
      <c r="Y24" s="83"/>
      <c r="Z24" s="83"/>
    </row>
    <row r="25" spans="1:36" x14ac:dyDescent="0.25">
      <c r="A25" s="67">
        <f t="shared" si="6"/>
        <v>48274</v>
      </c>
      <c r="B25" s="161">
        <f t="shared" si="0"/>
        <v>5.8749999999999997E-2</v>
      </c>
      <c r="C25" s="161">
        <f t="shared" si="12"/>
        <v>5.8749999999999997E-2</v>
      </c>
      <c r="D25" s="68">
        <f t="shared" si="7"/>
        <v>1</v>
      </c>
      <c r="E25" s="137"/>
      <c r="F25" s="66">
        <f t="shared" ca="1" si="16"/>
        <v>0</v>
      </c>
      <c r="G25" s="66">
        <f ca="1">IF(OR(CAPI_TERM&gt;A25,MONTH(A25)&lt;&gt;PRIN_MATURITY,FIRST_PRIN&gt;A25),0,MAX(0,INT(((((VLOOKUP($A25,Summary!$D$14:$AX$56,COLUMNS(Summary!$D$15:$AX$15))+M25*2)/$V25-H26*2*R25)/(1+B25*R25)+IF($A25=SURPLUS_FUND_RELEASE_DATE,IF(SURPLUS_RELEASE_SIZING="Yes", SURPLUS_FUND_DEPOSIT,0),0)/(1+B25*R25)))/5000)*5000))</f>
        <v>75000</v>
      </c>
      <c r="H25" s="66">
        <f t="shared" ca="1" si="8"/>
        <v>164500</v>
      </c>
      <c r="I25" s="66">
        <f t="shared" ca="1" si="9"/>
        <v>239500</v>
      </c>
      <c r="J25" s="70">
        <f t="shared" ca="1" si="10"/>
        <v>404000</v>
      </c>
      <c r="K25" s="66">
        <f t="shared" ca="1" si="1"/>
        <v>0</v>
      </c>
      <c r="L25" s="85">
        <f t="shared" si="2"/>
        <v>0</v>
      </c>
      <c r="M25" s="85">
        <f t="shared" ca="1" si="3"/>
        <v>6813.1923647280091</v>
      </c>
      <c r="N25" s="66">
        <f t="shared" ca="1" si="13"/>
        <v>232686.80763527198</v>
      </c>
      <c r="O25" s="70">
        <f t="shared" ca="1" si="4"/>
        <v>390373.61527054396</v>
      </c>
      <c r="P25" s="70">
        <f ca="1">$G$96-SUM($G$11:G25)</f>
        <v>5525000</v>
      </c>
      <c r="R25" s="68">
        <f t="shared" si="14"/>
        <v>1</v>
      </c>
      <c r="T25" s="83">
        <f ca="1">IF(ISNA(VLOOKUP($A25,Summary!$C$14:$AX$54,COLUMNS(Summary!$C$15:$AX$15),FALSE))=TRUE,0,VLOOKUP($A25,Summary!$C$14:$AX$56,COLUMNS(Summary!$C$15:$AX$15),FALSE))</f>
        <v>522157.45421755937</v>
      </c>
      <c r="U25" s="84">
        <f ca="1">IF(ISERROR(IF(ISNA(VLOOKUP($A25,Summary!$D$14:$AX$54,COLUMNS(Summary!$D$15:$AX$15),FALSE))=TRUE,0,VLOOKUP($A25,Summary!$D$14:$AX$54,COLUMNS(Summary!$D$15:$AX$15),FALSE))/O25),0,IF(ISNA(VLOOKUP($A25,Summary!$D$14:$AX$54,COLUMNS(Summary!$D$15:$AX$15),FALSE))=TRUE,0,VLOOKUP($A25,Summary!$D$14:$AX$54,COLUMNS(Summary!$D$15:$AX$15),FALSE))/O25)</f>
        <v>1.3257248421825401</v>
      </c>
      <c r="V25" s="72">
        <f t="shared" si="11"/>
        <v>1.3</v>
      </c>
      <c r="X25" s="83">
        <f t="shared" ca="1" si="5"/>
        <v>557291.66666666663</v>
      </c>
      <c r="Y25" s="83"/>
      <c r="Z25" s="83"/>
    </row>
    <row r="26" spans="1:36" x14ac:dyDescent="0.25">
      <c r="A26" s="67">
        <f t="shared" si="6"/>
        <v>48458</v>
      </c>
      <c r="B26" s="161">
        <f t="shared" si="0"/>
        <v>0</v>
      </c>
      <c r="C26" s="161">
        <f t="shared" si="12"/>
        <v>0</v>
      </c>
      <c r="D26" s="68">
        <f t="shared" si="7"/>
        <v>0</v>
      </c>
      <c r="E26" s="137"/>
      <c r="F26" s="66">
        <f t="shared" si="16"/>
        <v>0</v>
      </c>
      <c r="G26" s="66">
        <f>IF(OR(CAPI_TERM&gt;A26,MONTH(A26)&lt;&gt;PRIN_MATURITY,FIRST_PRIN&gt;A26),0,MAX(0,INT(((((VLOOKUP($A26,Summary!$D$14:$AX$56,COLUMNS(Summary!$D$15:$AX$15))+M26*2)/$V26-H27*2*R26)/(1+B26*R26)+IF($A26=SURPLUS_FUND_RELEASE_DATE,IF(SURPLUS_RELEASE_SIZING="Yes", SURPLUS_FUND_DEPOSIT,0),0)/(1+B26*R26)))/5000)*5000))</f>
        <v>0</v>
      </c>
      <c r="H26" s="66">
        <f t="shared" ca="1" si="8"/>
        <v>162296.875</v>
      </c>
      <c r="I26" s="66">
        <f t="shared" ca="1" si="9"/>
        <v>162296.875</v>
      </c>
      <c r="J26" s="70">
        <f t="shared" si="10"/>
        <v>0</v>
      </c>
      <c r="K26" s="66">
        <f t="shared" ca="1" si="1"/>
        <v>0</v>
      </c>
      <c r="L26" s="85">
        <f t="shared" si="2"/>
        <v>0</v>
      </c>
      <c r="M26" s="85">
        <f t="shared" ca="1" si="3"/>
        <v>6813.1923647280091</v>
      </c>
      <c r="N26" s="66">
        <f t="shared" ca="1" si="13"/>
        <v>155483.68263527198</v>
      </c>
      <c r="O26" s="70">
        <f t="shared" si="4"/>
        <v>0</v>
      </c>
      <c r="P26" s="70">
        <f ca="1">$G$96-SUM($G$11:G26)</f>
        <v>5525000</v>
      </c>
      <c r="R26" s="68">
        <f t="shared" si="14"/>
        <v>0</v>
      </c>
      <c r="T26" s="83">
        <f>IF(ISNA(VLOOKUP($A26,Summary!$C$14:$AX$54,COLUMNS(Summary!$C$15:$AX$15),FALSE))=TRUE,0,VLOOKUP($A26,Summary!$C$14:$AX$56,COLUMNS(Summary!$C$15:$AX$15),FALSE))</f>
        <v>0</v>
      </c>
      <c r="U26" s="84">
        <f>IF(ISERROR(IF(ISNA(VLOOKUP($A26,Summary!$D$14:$AX$54,COLUMNS(Summary!$D$15:$AX$15),FALSE))=TRUE,0,VLOOKUP($A26,Summary!$D$14:$AX$54,COLUMNS(Summary!$D$15:$AX$15),FALSE))/O26),0,IF(ISNA(VLOOKUP($A26,Summary!$D$14:$AX$54,COLUMNS(Summary!$D$15:$AX$15),FALSE))=TRUE,0,VLOOKUP($A26,Summary!$D$14:$AX$54,COLUMNS(Summary!$D$15:$AX$15),FALSE))/O26)</f>
        <v>0</v>
      </c>
      <c r="V26" s="72" t="str">
        <f t="shared" si="11"/>
        <v/>
      </c>
      <c r="X26" s="83">
        <f t="shared" si="5"/>
        <v>0</v>
      </c>
      <c r="Y26" s="83"/>
      <c r="Z26" s="83"/>
      <c r="AB26" s="11" t="s">
        <v>461</v>
      </c>
      <c r="AD26" s="337">
        <f ca="1">SUMPRODUCT($B$12:$B$70,$G$12:$G$70)/$G$96</f>
        <v>5.8749999999999997E-2</v>
      </c>
    </row>
    <row r="27" spans="1:36" x14ac:dyDescent="0.25">
      <c r="A27" s="67">
        <f t="shared" si="6"/>
        <v>48639</v>
      </c>
      <c r="B27" s="161">
        <f t="shared" si="0"/>
        <v>5.8749999999999997E-2</v>
      </c>
      <c r="C27" s="161">
        <f t="shared" si="12"/>
        <v>5.8749999999999997E-2</v>
      </c>
      <c r="D27" s="68">
        <f t="shared" si="7"/>
        <v>1</v>
      </c>
      <c r="E27" s="137"/>
      <c r="F27" s="66">
        <f t="shared" ca="1" si="16"/>
        <v>0</v>
      </c>
      <c r="G27" s="66">
        <f ca="1">IF(OR(CAPI_TERM&gt;A27,MONTH(A27)&lt;&gt;PRIN_MATURITY,FIRST_PRIN&gt;A27),0,MAX(0,INT(((((VLOOKUP($A27,Summary!$D$14:$AX$56,COLUMNS(Summary!$D$15:$AX$15))+M27*2)/$V27-H28*2*R27)/(1+B27*R27)+IF($A27=SURPLUS_FUND_RELEASE_DATE,IF(SURPLUS_RELEASE_SIZING="Yes", SURPLUS_FUND_DEPOSIT,0),0)/(1+B27*R27)))/5000)*5000))</f>
        <v>85000</v>
      </c>
      <c r="H27" s="66">
        <f t="shared" ca="1" si="8"/>
        <v>162296.875</v>
      </c>
      <c r="I27" s="66">
        <f t="shared" ca="1" si="9"/>
        <v>247296.875</v>
      </c>
      <c r="J27" s="70">
        <f t="shared" ca="1" si="10"/>
        <v>409593.75</v>
      </c>
      <c r="K27" s="66">
        <f t="shared" ca="1" si="1"/>
        <v>0</v>
      </c>
      <c r="L27" s="85">
        <f t="shared" si="2"/>
        <v>0</v>
      </c>
      <c r="M27" s="85">
        <f t="shared" ca="1" si="3"/>
        <v>6813.1923647280091</v>
      </c>
      <c r="N27" s="66">
        <f ca="1">I27-K27-M27</f>
        <v>240483.68263527198</v>
      </c>
      <c r="O27" s="70">
        <f t="shared" ca="1" si="4"/>
        <v>395967.36527054396</v>
      </c>
      <c r="P27" s="70">
        <f ca="1">$G$96-SUM($G$11:G27)</f>
        <v>5440000</v>
      </c>
      <c r="R27" s="68">
        <f t="shared" si="14"/>
        <v>1</v>
      </c>
      <c r="T27" s="83">
        <f ca="1">IF(ISNA(VLOOKUP($A27,Summary!$C$14:$AX$54,COLUMNS(Summary!$C$15:$AX$15),FALSE))=TRUE,0,VLOOKUP($A27,Summary!$C$14:$AX$56,COLUMNS(Summary!$C$15:$AX$15),FALSE))</f>
        <v>526821.48698007339</v>
      </c>
      <c r="U27" s="84">
        <f ca="1">IF(ISERROR(IF(ISNA(VLOOKUP($A27,Summary!$D$14:$AX$54,COLUMNS(Summary!$D$15:$AX$15),FALSE))=TRUE,0,VLOOKUP($A27,Summary!$D$14:$AX$54,COLUMNS(Summary!$D$15:$AX$15),FALSE))/O27),0,IF(ISNA(VLOOKUP($A27,Summary!$D$14:$AX$54,COLUMNS(Summary!$D$15:$AX$15),FALSE))=TRUE,0,VLOOKUP($A27,Summary!$D$14:$AX$54,COLUMNS(Summary!$D$15:$AX$15),FALSE))/O27)</f>
        <v>1.3186881041592815</v>
      </c>
      <c r="V27" s="72">
        <f t="shared" si="11"/>
        <v>1.3</v>
      </c>
      <c r="X27" s="83">
        <f t="shared" ca="1" si="5"/>
        <v>716597.22222222225</v>
      </c>
      <c r="Y27" s="83"/>
      <c r="Z27" s="83"/>
    </row>
    <row r="28" spans="1:36" x14ac:dyDescent="0.25">
      <c r="A28" s="67">
        <f t="shared" si="6"/>
        <v>48823</v>
      </c>
      <c r="B28" s="161">
        <f t="shared" si="0"/>
        <v>0</v>
      </c>
      <c r="C28" s="161">
        <f t="shared" si="12"/>
        <v>0</v>
      </c>
      <c r="D28" s="68">
        <f t="shared" si="7"/>
        <v>0</v>
      </c>
      <c r="E28" s="137"/>
      <c r="F28" s="66">
        <f t="shared" si="16"/>
        <v>0</v>
      </c>
      <c r="G28" s="66">
        <f>IF(OR(CAPI_TERM&gt;A28,MONTH(A28)&lt;&gt;PRIN_MATURITY,FIRST_PRIN&gt;A28),0,MAX(0,INT(((((VLOOKUP($A28,Summary!$D$14:$AX$56,COLUMNS(Summary!$D$15:$AX$15))+M28*2)/$V28-H29*2*R28)/(1+B28*R28)+IF($A28=SURPLUS_FUND_RELEASE_DATE,IF(SURPLUS_RELEASE_SIZING="Yes", SURPLUS_FUND_DEPOSIT,0),0)/(1+B28*R28)))/5000)*5000))</f>
        <v>0</v>
      </c>
      <c r="H28" s="66">
        <f t="shared" ca="1" si="8"/>
        <v>159800</v>
      </c>
      <c r="I28" s="66">
        <f t="shared" ca="1" si="9"/>
        <v>159800</v>
      </c>
      <c r="J28" s="70">
        <f t="shared" si="10"/>
        <v>0</v>
      </c>
      <c r="K28" s="66">
        <f t="shared" ca="1" si="1"/>
        <v>0</v>
      </c>
      <c r="L28" s="85">
        <f t="shared" si="2"/>
        <v>0</v>
      </c>
      <c r="M28" s="85">
        <f t="shared" ca="1" si="3"/>
        <v>6813.1923647280091</v>
      </c>
      <c r="N28" s="66">
        <f t="shared" ca="1" si="13"/>
        <v>152986.80763527198</v>
      </c>
      <c r="O28" s="70">
        <f t="shared" si="4"/>
        <v>0</v>
      </c>
      <c r="P28" s="70">
        <f ca="1">$G$96-SUM($G$11:G28)</f>
        <v>5440000</v>
      </c>
      <c r="R28" s="68">
        <f t="shared" si="14"/>
        <v>0</v>
      </c>
      <c r="T28" s="83">
        <f>IF(ISNA(VLOOKUP($A28,Summary!$C$14:$AX$54,COLUMNS(Summary!$C$15:$AX$15),FALSE))=TRUE,0,VLOOKUP($A28,Summary!$C$14:$AX$56,COLUMNS(Summary!$C$15:$AX$15),FALSE))</f>
        <v>0</v>
      </c>
      <c r="U28" s="84">
        <f>IF(ISERROR(IF(ISNA(VLOOKUP($A28,Summary!$D$14:$AX$54,COLUMNS(Summary!$D$15:$AX$15),FALSE))=TRUE,0,VLOOKUP($A28,Summary!$D$14:$AX$54,COLUMNS(Summary!$D$15:$AX$15),FALSE))/O28),0,IF(ISNA(VLOOKUP($A28,Summary!$D$14:$AX$54,COLUMNS(Summary!$D$15:$AX$15),FALSE))=TRUE,0,VLOOKUP($A28,Summary!$D$14:$AX$54,COLUMNS(Summary!$D$15:$AX$15),FALSE))/O28)</f>
        <v>0</v>
      </c>
      <c r="V28" s="72" t="str">
        <f t="shared" si="11"/>
        <v/>
      </c>
      <c r="X28" s="83">
        <f t="shared" si="5"/>
        <v>0</v>
      </c>
      <c r="Y28" s="83"/>
      <c r="Z28" s="83"/>
    </row>
    <row r="29" spans="1:36" x14ac:dyDescent="0.25">
      <c r="A29" s="67">
        <f t="shared" si="6"/>
        <v>49004</v>
      </c>
      <c r="B29" s="161">
        <f t="shared" si="0"/>
        <v>5.8749999999999997E-2</v>
      </c>
      <c r="C29" s="161">
        <f t="shared" si="12"/>
        <v>5.8749999999999997E-2</v>
      </c>
      <c r="D29" s="68">
        <f t="shared" si="7"/>
        <v>1</v>
      </c>
      <c r="E29" s="137"/>
      <c r="F29" s="66">
        <f t="shared" ca="1" si="16"/>
        <v>0</v>
      </c>
      <c r="G29" s="66">
        <f ca="1">IF(OR(CAPI_TERM&gt;A29,MONTH(A29)&lt;&gt;PRIN_MATURITY,FIRST_PRIN&gt;A29),0,MAX(0,INT(((((VLOOKUP($A29,Summary!$D$14:$AX$56,COLUMNS(Summary!$D$15:$AX$15))+M29*2)/$V29-H30*2*R29)/(1+B29*R29)+IF($A29=SURPLUS_FUND_RELEASE_DATE,IF(SURPLUS_RELEASE_SIZING="Yes", SURPLUS_FUND_DEPOSIT,0),0)/(1+B29*R29)))/5000)*5000))</f>
        <v>95000</v>
      </c>
      <c r="H29" s="66">
        <f t="shared" ca="1" si="8"/>
        <v>159800</v>
      </c>
      <c r="I29" s="66">
        <f t="shared" ca="1" si="9"/>
        <v>254800</v>
      </c>
      <c r="J29" s="70">
        <f t="shared" ca="1" si="10"/>
        <v>414600</v>
      </c>
      <c r="K29" s="66">
        <f t="shared" ca="1" si="1"/>
        <v>0</v>
      </c>
      <c r="L29" s="85">
        <f t="shared" si="2"/>
        <v>0</v>
      </c>
      <c r="M29" s="85">
        <f t="shared" ca="1" si="3"/>
        <v>6813.1923647280091</v>
      </c>
      <c r="N29" s="66">
        <f t="shared" ca="1" si="13"/>
        <v>247986.80763527198</v>
      </c>
      <c r="O29" s="70">
        <f t="shared" ca="1" si="4"/>
        <v>400973.61527054396</v>
      </c>
      <c r="P29" s="70">
        <f ca="1">$G$96-SUM($G$11:G29)</f>
        <v>5345000</v>
      </c>
      <c r="R29" s="68">
        <f t="shared" si="14"/>
        <v>1</v>
      </c>
      <c r="T29" s="83">
        <f ca="1">IF(ISNA(VLOOKUP($A29,Summary!$C$14:$AX$54,COLUMNS(Summary!$C$15:$AX$15),FALSE))=TRUE,0,VLOOKUP($A29,Summary!$C$14:$AX$56,COLUMNS(Summary!$C$15:$AX$15),FALSE))</f>
        <v>531520.20923461951</v>
      </c>
      <c r="U29" s="84">
        <f ca="1">IF(ISERROR(IF(ISNA(VLOOKUP($A29,Summary!$D$14:$AX$54,COLUMNS(Summary!$D$15:$AX$15),FALSE))=TRUE,0,VLOOKUP($A29,Summary!$D$14:$AX$54,COLUMNS(Summary!$D$15:$AX$15),FALSE))/O29),0,IF(ISNA(VLOOKUP($A29,Summary!$D$14:$AX$54,COLUMNS(Summary!$D$15:$AX$15),FALSE))=TRUE,0,VLOOKUP($A29,Summary!$D$14:$AX$54,COLUMNS(Summary!$D$15:$AX$15),FALSE))/O29)</f>
        <v>1.313855742414916</v>
      </c>
      <c r="V29" s="72">
        <f t="shared" si="11"/>
        <v>1.3</v>
      </c>
      <c r="X29" s="83">
        <f t="shared" ca="1" si="5"/>
        <v>895902.77777777775</v>
      </c>
      <c r="Y29" s="83"/>
      <c r="Z29" s="83"/>
    </row>
    <row r="30" spans="1:36" x14ac:dyDescent="0.25">
      <c r="A30" s="67">
        <f t="shared" si="6"/>
        <v>49188</v>
      </c>
      <c r="B30" s="161">
        <f t="shared" si="0"/>
        <v>0</v>
      </c>
      <c r="C30" s="161">
        <f t="shared" si="12"/>
        <v>0</v>
      </c>
      <c r="D30" s="68">
        <f t="shared" si="7"/>
        <v>0</v>
      </c>
      <c r="E30" s="137"/>
      <c r="F30" s="66">
        <f t="shared" si="16"/>
        <v>0</v>
      </c>
      <c r="G30" s="66">
        <f>IF(OR(CAPI_TERM&gt;A30,MONTH(A30)&lt;&gt;PRIN_MATURITY,FIRST_PRIN&gt;A30),0,MAX(0,INT(((((VLOOKUP($A30,Summary!$D$14:$AX$56,COLUMNS(Summary!$D$15:$AX$15))+M30*2)/$V30-H31*2*R30)/(1+B30*R30)+IF($A30=SURPLUS_FUND_RELEASE_DATE,IF(SURPLUS_RELEASE_SIZING="Yes", SURPLUS_FUND_DEPOSIT,0),0)/(1+B30*R30)))/5000)*5000))</f>
        <v>0</v>
      </c>
      <c r="H30" s="66">
        <f t="shared" ca="1" si="8"/>
        <v>157009.375</v>
      </c>
      <c r="I30" s="66">
        <f t="shared" ca="1" si="9"/>
        <v>157009.375</v>
      </c>
      <c r="J30" s="70">
        <f t="shared" si="10"/>
        <v>0</v>
      </c>
      <c r="K30" s="66">
        <f t="shared" ca="1" si="1"/>
        <v>0</v>
      </c>
      <c r="L30" s="85">
        <f t="shared" si="2"/>
        <v>0</v>
      </c>
      <c r="M30" s="85">
        <f t="shared" ca="1" si="3"/>
        <v>6813.1923647280091</v>
      </c>
      <c r="N30" s="66">
        <f t="shared" ca="1" si="13"/>
        <v>150196.18263527198</v>
      </c>
      <c r="O30" s="70">
        <f t="shared" si="4"/>
        <v>0</v>
      </c>
      <c r="P30" s="70">
        <f ca="1">$G$96-SUM($G$11:G30)</f>
        <v>5345000</v>
      </c>
      <c r="R30" s="68">
        <f t="shared" si="14"/>
        <v>0</v>
      </c>
      <c r="T30" s="83">
        <f>IF(ISNA(VLOOKUP($A30,Summary!$C$14:$AX$54,COLUMNS(Summary!$C$15:$AX$15),FALSE))=TRUE,0,VLOOKUP($A30,Summary!$C$14:$AX$56,COLUMNS(Summary!$C$15:$AX$15),FALSE))</f>
        <v>0</v>
      </c>
      <c r="U30" s="84">
        <f>IF(ISERROR(IF(ISNA(VLOOKUP($A30,Summary!$D$14:$AX$54,COLUMNS(Summary!$D$15:$AX$15),FALSE))=TRUE,0,VLOOKUP($A30,Summary!$D$14:$AX$54,COLUMNS(Summary!$D$15:$AX$15),FALSE))/O30),0,IF(ISNA(VLOOKUP($A30,Summary!$D$14:$AX$54,COLUMNS(Summary!$D$15:$AX$15),FALSE))=TRUE,0,VLOOKUP($A30,Summary!$D$14:$AX$54,COLUMNS(Summary!$D$15:$AX$15),FALSE))/O30)</f>
        <v>0</v>
      </c>
      <c r="V30" s="72" t="str">
        <f t="shared" si="11"/>
        <v/>
      </c>
      <c r="X30" s="83">
        <f t="shared" si="5"/>
        <v>0</v>
      </c>
      <c r="Y30" s="83"/>
      <c r="Z30" s="83"/>
    </row>
    <row r="31" spans="1:36" x14ac:dyDescent="0.25">
      <c r="A31" s="67">
        <f t="shared" si="6"/>
        <v>49369</v>
      </c>
      <c r="B31" s="161">
        <f t="shared" si="0"/>
        <v>5.8749999999999997E-2</v>
      </c>
      <c r="C31" s="161">
        <f t="shared" si="12"/>
        <v>5.8749999999999997E-2</v>
      </c>
      <c r="D31" s="68">
        <f t="shared" si="7"/>
        <v>1</v>
      </c>
      <c r="E31" s="137"/>
      <c r="F31" s="66">
        <f t="shared" ca="1" si="16"/>
        <v>0</v>
      </c>
      <c r="G31" s="66">
        <f ca="1">IF(OR(CAPI_TERM&gt;A31,MONTH(A31)&lt;&gt;PRIN_MATURITY,FIRST_PRIN&gt;A31),0,MAX(0,INT(((((VLOOKUP($A31,Summary!$D$14:$AX$56,COLUMNS(Summary!$D$15:$AX$15))+M31*2)/$V31-H32*2*R31)/(1+B31*R31)+IF($A31=SURPLUS_FUND_RELEASE_DATE,IF(SURPLUS_RELEASE_SIZING="Yes", SURPLUS_FUND_DEPOSIT,0),0)/(1+B31*R31)))/5000)*5000))</f>
        <v>105000</v>
      </c>
      <c r="H31" s="66">
        <f t="shared" ca="1" si="8"/>
        <v>157009.375</v>
      </c>
      <c r="I31" s="66">
        <f t="shared" ca="1" si="9"/>
        <v>262009.375</v>
      </c>
      <c r="J31" s="70">
        <f t="shared" ca="1" si="10"/>
        <v>419018.75</v>
      </c>
      <c r="K31" s="66">
        <f t="shared" ca="1" si="1"/>
        <v>0</v>
      </c>
      <c r="L31" s="85">
        <f t="shared" si="2"/>
        <v>0</v>
      </c>
      <c r="M31" s="85">
        <f t="shared" ca="1" si="3"/>
        <v>6813.1923647280091</v>
      </c>
      <c r="N31" s="66">
        <f t="shared" ca="1" si="13"/>
        <v>255196.18263527198</v>
      </c>
      <c r="O31" s="70">
        <f t="shared" ca="1" si="4"/>
        <v>405392.36527054396</v>
      </c>
      <c r="P31" s="70">
        <f ca="1">$G$96-SUM($G$11:G31)</f>
        <v>5240000</v>
      </c>
      <c r="R31" s="68">
        <f t="shared" si="14"/>
        <v>1</v>
      </c>
      <c r="T31" s="83">
        <f ca="1">IF(ISNA(VLOOKUP($A31,Summary!$C$14:$AX$54,COLUMNS(Summary!$C$15:$AX$15),FALSE))=TRUE,0,VLOOKUP($A31,Summary!$C$14:$AX$56,COLUMNS(Summary!$C$15:$AX$15),FALSE))</f>
        <v>536253.72885940585</v>
      </c>
      <c r="U31" s="84">
        <f ca="1">IF(ISERROR(IF(ISNA(VLOOKUP($A31,Summary!$D$14:$AX$54,COLUMNS(Summary!$D$15:$AX$15),FALSE))=TRUE,0,VLOOKUP($A31,Summary!$D$14:$AX$54,COLUMNS(Summary!$D$15:$AX$15),FALSE))/O31),0,IF(ISNA(VLOOKUP($A31,Summary!$D$14:$AX$54,COLUMNS(Summary!$D$15:$AX$15),FALSE))=TRUE,0,VLOOKUP($A31,Summary!$D$14:$AX$54,COLUMNS(Summary!$D$15:$AX$15),FALSE))/O31)</f>
        <v>1.3111253559990024</v>
      </c>
      <c r="V31" s="72">
        <f t="shared" si="11"/>
        <v>1.3</v>
      </c>
      <c r="X31" s="83">
        <f t="shared" ca="1" si="5"/>
        <v>1095208.3333333333</v>
      </c>
      <c r="Y31" s="83"/>
      <c r="Z31" s="83"/>
    </row>
    <row r="32" spans="1:36" x14ac:dyDescent="0.25">
      <c r="A32" s="67">
        <f t="shared" si="6"/>
        <v>49553</v>
      </c>
      <c r="B32" s="161">
        <f t="shared" si="0"/>
        <v>0</v>
      </c>
      <c r="C32" s="161">
        <f t="shared" si="12"/>
        <v>0</v>
      </c>
      <c r="D32" s="68">
        <f t="shared" si="7"/>
        <v>0</v>
      </c>
      <c r="E32" s="137"/>
      <c r="F32" s="66">
        <f t="shared" si="16"/>
        <v>0</v>
      </c>
      <c r="G32" s="66">
        <f>IF(OR(CAPI_TERM&gt;A32,MONTH(A32)&lt;&gt;PRIN_MATURITY,FIRST_PRIN&gt;A32),0,MAX(0,INT(((((VLOOKUP($A32,Summary!$D$14:$AX$56,COLUMNS(Summary!$D$15:$AX$15))+M32*2)/$V32-H33*2*R32)/(1+B32*R32)+IF($A32=SURPLUS_FUND_RELEASE_DATE,IF(SURPLUS_RELEASE_SIZING="Yes", SURPLUS_FUND_DEPOSIT,0),0)/(1+B32*R32)))/5000)*5000))</f>
        <v>0</v>
      </c>
      <c r="H32" s="66">
        <f t="shared" ca="1" si="8"/>
        <v>153925</v>
      </c>
      <c r="I32" s="66">
        <f t="shared" ca="1" si="9"/>
        <v>153925</v>
      </c>
      <c r="J32" s="70">
        <f t="shared" si="10"/>
        <v>0</v>
      </c>
      <c r="K32" s="66">
        <f t="shared" ca="1" si="1"/>
        <v>0</v>
      </c>
      <c r="L32" s="85">
        <f t="shared" si="2"/>
        <v>0</v>
      </c>
      <c r="M32" s="85">
        <f t="shared" ca="1" si="3"/>
        <v>6813.1923647280091</v>
      </c>
      <c r="N32" s="66">
        <f t="shared" ca="1" si="13"/>
        <v>147111.80763527198</v>
      </c>
      <c r="O32" s="70">
        <f t="shared" si="4"/>
        <v>0</v>
      </c>
      <c r="P32" s="70">
        <f ca="1">$G$96-SUM($G$11:G32)</f>
        <v>5240000</v>
      </c>
      <c r="R32" s="68">
        <f t="shared" si="14"/>
        <v>0</v>
      </c>
      <c r="T32" s="83">
        <f>IF(ISNA(VLOOKUP($A32,Summary!$C$14:$AX$54,COLUMNS(Summary!$C$15:$AX$15),FALSE))=TRUE,0,VLOOKUP($A32,Summary!$C$14:$AX$56,COLUMNS(Summary!$C$15:$AX$15),FALSE))</f>
        <v>0</v>
      </c>
      <c r="U32" s="84">
        <f>IF(ISERROR(IF(ISNA(VLOOKUP($A32,Summary!$D$14:$AX$54,COLUMNS(Summary!$D$15:$AX$15),FALSE))=TRUE,0,VLOOKUP($A32,Summary!$D$14:$AX$54,COLUMNS(Summary!$D$15:$AX$15),FALSE))/O32),0,IF(ISNA(VLOOKUP($A32,Summary!$D$14:$AX$54,COLUMNS(Summary!$D$15:$AX$15),FALSE))=TRUE,0,VLOOKUP($A32,Summary!$D$14:$AX$54,COLUMNS(Summary!$D$15:$AX$15),FALSE))/O32)</f>
        <v>0</v>
      </c>
      <c r="V32" s="72" t="str">
        <f t="shared" si="11"/>
        <v/>
      </c>
      <c r="X32" s="83">
        <f t="shared" si="5"/>
        <v>0</v>
      </c>
      <c r="Y32" s="83"/>
      <c r="Z32" s="83"/>
    </row>
    <row r="33" spans="1:26" x14ac:dyDescent="0.25">
      <c r="A33" s="67">
        <f t="shared" si="6"/>
        <v>49735</v>
      </c>
      <c r="B33" s="161">
        <f t="shared" si="0"/>
        <v>5.8749999999999997E-2</v>
      </c>
      <c r="C33" s="161">
        <f t="shared" si="12"/>
        <v>5.8749999999999997E-2</v>
      </c>
      <c r="D33" s="68">
        <f t="shared" si="7"/>
        <v>1</v>
      </c>
      <c r="E33" s="137"/>
      <c r="F33" s="66">
        <f t="shared" ca="1" si="16"/>
        <v>0</v>
      </c>
      <c r="G33" s="66">
        <f ca="1">IF(OR(CAPI_TERM&gt;A33,MONTH(A33)&lt;&gt;PRIN_MATURITY,FIRST_PRIN&gt;A33),0,MAX(0,INT(((((VLOOKUP($A33,Summary!$D$14:$AX$56,COLUMNS(Summary!$D$15:$AX$15))+M33*2)/$V33-H34*2*R33)/(1+B33*R33)+IF($A33=SURPLUS_FUND_RELEASE_DATE,IF(SURPLUS_RELEASE_SIZING="Yes", SURPLUS_FUND_DEPOSIT,0),0)/(1+B33*R33)))/5000)*5000))</f>
        <v>110000</v>
      </c>
      <c r="H33" s="66">
        <f t="shared" ca="1" si="8"/>
        <v>153925</v>
      </c>
      <c r="I33" s="66">
        <f t="shared" ca="1" si="9"/>
        <v>263925</v>
      </c>
      <c r="J33" s="70">
        <f t="shared" ca="1" si="10"/>
        <v>417850</v>
      </c>
      <c r="K33" s="66">
        <f t="shared" ca="1" si="1"/>
        <v>0</v>
      </c>
      <c r="L33" s="85">
        <f t="shared" si="2"/>
        <v>0</v>
      </c>
      <c r="M33" s="85">
        <f t="shared" ca="1" si="3"/>
        <v>6813.1923647280091</v>
      </c>
      <c r="N33" s="66">
        <f t="shared" ca="1" si="13"/>
        <v>257111.80763527198</v>
      </c>
      <c r="O33" s="70">
        <f t="shared" ca="1" si="4"/>
        <v>404223.61527054396</v>
      </c>
      <c r="P33" s="70">
        <f ca="1">$G$96-SUM($G$11:G33)</f>
        <v>5130000</v>
      </c>
      <c r="R33" s="68">
        <f t="shared" si="14"/>
        <v>1</v>
      </c>
      <c r="T33" s="83">
        <f ca="1">IF(ISNA(VLOOKUP($A33,Summary!$C$14:$AX$54,COLUMNS(Summary!$C$15:$AX$15),FALSE))=TRUE,0,VLOOKUP($A33,Summary!$C$14:$AX$56,COLUMNS(Summary!$C$15:$AX$15),FALSE))</f>
        <v>541022.15003108897</v>
      </c>
      <c r="U33" s="84">
        <f ca="1">IF(ISERROR(IF(ISNA(VLOOKUP($A33,Summary!$D$14:$AX$54,COLUMNS(Summary!$D$15:$AX$15),FALSE))=TRUE,0,VLOOKUP($A33,Summary!$D$14:$AX$54,COLUMNS(Summary!$D$15:$AX$15),FALSE))/O33),0,IF(ISNA(VLOOKUP($A33,Summary!$D$14:$AX$54,COLUMNS(Summary!$D$15:$AX$15),FALSE))=TRUE,0,VLOOKUP($A33,Summary!$D$14:$AX$54,COLUMNS(Summary!$D$15:$AX$15),FALSE))/O33)</f>
        <v>1.326626423101221</v>
      </c>
      <c r="V33" s="72">
        <f t="shared" si="11"/>
        <v>1.3</v>
      </c>
      <c r="X33" s="83">
        <f t="shared" ca="1" si="5"/>
        <v>1257361.111111111</v>
      </c>
      <c r="Y33" s="83"/>
      <c r="Z33" s="83"/>
    </row>
    <row r="34" spans="1:26" x14ac:dyDescent="0.25">
      <c r="A34" s="67">
        <f t="shared" si="6"/>
        <v>49919</v>
      </c>
      <c r="B34" s="161">
        <f t="shared" si="0"/>
        <v>0</v>
      </c>
      <c r="C34" s="161">
        <f t="shared" si="12"/>
        <v>0</v>
      </c>
      <c r="D34" s="68">
        <f t="shared" si="7"/>
        <v>0</v>
      </c>
      <c r="E34" s="137" t="s">
        <v>182</v>
      </c>
      <c r="F34" s="66">
        <f t="shared" si="16"/>
        <v>0</v>
      </c>
      <c r="G34" s="66">
        <f>IF(OR(CAPI_TERM&gt;A34,MONTH(A34)&lt;&gt;PRIN_MATURITY,FIRST_PRIN&gt;A34),0,MAX(0,INT(((((VLOOKUP($A34,Summary!$D$14:$AX$56,COLUMNS(Summary!$D$15:$AX$15))+M34*2)/$V34-H35*2*R34)/(1+B34*R34)+IF($A34=SURPLUS_FUND_RELEASE_DATE,IF(SURPLUS_RELEASE_SIZING="Yes", SURPLUS_FUND_DEPOSIT,0),0)/(1+B34*R34)))/5000)*5000))</f>
        <v>0</v>
      </c>
      <c r="H34" s="66">
        <f t="shared" ca="1" si="8"/>
        <v>150693.75</v>
      </c>
      <c r="I34" s="66">
        <f t="shared" ca="1" si="9"/>
        <v>150693.75</v>
      </c>
      <c r="J34" s="70">
        <f t="shared" si="10"/>
        <v>0</v>
      </c>
      <c r="K34" s="66">
        <f t="shared" ca="1" si="1"/>
        <v>0</v>
      </c>
      <c r="L34" s="85">
        <f t="shared" si="2"/>
        <v>0</v>
      </c>
      <c r="M34" s="85">
        <f t="shared" ca="1" si="3"/>
        <v>6813.1923647280091</v>
      </c>
      <c r="N34" s="66">
        <f t="shared" ca="1" si="13"/>
        <v>143880.55763527198</v>
      </c>
      <c r="O34" s="70">
        <f t="shared" si="4"/>
        <v>0</v>
      </c>
      <c r="P34" s="70">
        <f ca="1">$G$96-SUM($G$11:G34)</f>
        <v>5130000</v>
      </c>
      <c r="R34" s="68">
        <f t="shared" si="14"/>
        <v>0</v>
      </c>
      <c r="T34" s="83">
        <f>IF(ISNA(VLOOKUP($A34,Summary!$C$14:$AX$54,COLUMNS(Summary!$C$15:$AX$15),FALSE))=TRUE,0,VLOOKUP($A34,Summary!$C$14:$AX$56,COLUMNS(Summary!$C$15:$AX$15),FALSE))</f>
        <v>0</v>
      </c>
      <c r="U34" s="84">
        <f>IF(ISERROR(IF(ISNA(VLOOKUP($A34,Summary!$D$14:$AX$54,COLUMNS(Summary!$D$15:$AX$15),FALSE))=TRUE,0,VLOOKUP($A34,Summary!$D$14:$AX$54,COLUMNS(Summary!$D$15:$AX$15),FALSE))/O34),0,IF(ISNA(VLOOKUP($A34,Summary!$D$14:$AX$54,COLUMNS(Summary!$D$15:$AX$15),FALSE))=TRUE,0,VLOOKUP($A34,Summary!$D$14:$AX$54,COLUMNS(Summary!$D$15:$AX$15),FALSE))/O34)</f>
        <v>0</v>
      </c>
      <c r="V34" s="72" t="str">
        <f t="shared" si="11"/>
        <v/>
      </c>
      <c r="X34" s="83">
        <f t="shared" si="5"/>
        <v>0</v>
      </c>
      <c r="Y34" s="83"/>
      <c r="Z34" s="83"/>
    </row>
    <row r="35" spans="1:26" x14ac:dyDescent="0.25">
      <c r="A35" s="67">
        <f t="shared" si="6"/>
        <v>50100</v>
      </c>
      <c r="B35" s="161">
        <f t="shared" si="0"/>
        <v>5.8749999999999997E-2</v>
      </c>
      <c r="C35" s="161">
        <f t="shared" si="12"/>
        <v>5.8749999999999997E-2</v>
      </c>
      <c r="D35" s="68">
        <f t="shared" si="7"/>
        <v>1</v>
      </c>
      <c r="E35" s="137"/>
      <c r="F35" s="66">
        <f t="shared" ca="1" si="16"/>
        <v>0</v>
      </c>
      <c r="G35" s="66">
        <f ca="1">IF(OR(CAPI_TERM&gt;A35,MONTH(A35)&lt;&gt;PRIN_MATURITY,FIRST_PRIN&gt;A35),0,MAX(0,INT(((((VLOOKUP($A35,Summary!$D$14:$AX$56,COLUMNS(Summary!$D$15:$AX$15))+M35*2)/$V35-H36*2*R35)/(1+B35*R35)+IF($A35=SURPLUS_FUND_RELEASE_DATE,IF(SURPLUS_RELEASE_SIZING="Yes", SURPLUS_FUND_DEPOSIT,0),0)/(1+B35*R35)))/5000)*5000))</f>
        <v>125000</v>
      </c>
      <c r="H35" s="66">
        <f t="shared" ca="1" si="8"/>
        <v>150693.75</v>
      </c>
      <c r="I35" s="66">
        <f t="shared" ca="1" si="9"/>
        <v>275693.75</v>
      </c>
      <c r="J35" s="70">
        <f t="shared" ca="1" si="10"/>
        <v>426387.5</v>
      </c>
      <c r="K35" s="66">
        <f t="shared" ca="1" si="1"/>
        <v>0</v>
      </c>
      <c r="L35" s="85">
        <f t="shared" si="2"/>
        <v>0</v>
      </c>
      <c r="M35" s="85">
        <f t="shared" ca="1" si="3"/>
        <v>6813.1923647280091</v>
      </c>
      <c r="N35" s="66">
        <f t="shared" ca="1" si="13"/>
        <v>268880.55763527198</v>
      </c>
      <c r="O35" s="70">
        <f t="shared" ca="1" si="4"/>
        <v>412761.11527054396</v>
      </c>
      <c r="P35" s="70">
        <f ca="1">$G$96-SUM($G$11:G35)</f>
        <v>5005000</v>
      </c>
      <c r="R35" s="68">
        <f t="shared" si="14"/>
        <v>1</v>
      </c>
      <c r="T35" s="83">
        <f ca="1">IF(ISNA(VLOOKUP($A35,Summary!$C$14:$AX$54,COLUMNS(Summary!$C$15:$AX$15),FALSE))=TRUE,0,VLOOKUP($A35,Summary!$C$14:$AX$56,COLUMNS(Summary!$C$15:$AX$15),FALSE))</f>
        <v>545825.5730921505</v>
      </c>
      <c r="U35" s="84">
        <f ca="1">IF(ISERROR(IF(ISNA(VLOOKUP($A35,Summary!$D$14:$AX$54,COLUMNS(Summary!$D$15:$AX$15),FALSE))=TRUE,0,VLOOKUP($A35,Summary!$D$14:$AX$54,COLUMNS(Summary!$D$15:$AX$15),FALSE))/O35),0,IF(ISNA(VLOOKUP($A35,Summary!$D$14:$AX$54,COLUMNS(Summary!$D$15:$AX$15),FALSE))=TRUE,0,VLOOKUP($A35,Summary!$D$14:$AX$54,COLUMNS(Summary!$D$15:$AX$15),FALSE))/O35)</f>
        <v>1.3107391418798653</v>
      </c>
      <c r="V35" s="72">
        <f t="shared" si="11"/>
        <v>1.3</v>
      </c>
      <c r="X35" s="83">
        <f t="shared" ca="1" si="5"/>
        <v>1553819.4444444445</v>
      </c>
      <c r="Y35" s="83"/>
      <c r="Z35" s="83"/>
    </row>
    <row r="36" spans="1:26" x14ac:dyDescent="0.25">
      <c r="A36" s="67">
        <f t="shared" si="6"/>
        <v>50284</v>
      </c>
      <c r="B36" s="161">
        <f t="shared" si="0"/>
        <v>0</v>
      </c>
      <c r="C36" s="161">
        <f t="shared" si="12"/>
        <v>0</v>
      </c>
      <c r="D36" s="68">
        <f t="shared" si="7"/>
        <v>0</v>
      </c>
      <c r="E36" s="137"/>
      <c r="F36" s="66">
        <f t="shared" si="16"/>
        <v>0</v>
      </c>
      <c r="G36" s="66">
        <f>IF(OR(CAPI_TERM&gt;A36,MONTH(A36)&lt;&gt;PRIN_MATURITY,FIRST_PRIN&gt;A36),0,MAX(0,INT(((((VLOOKUP($A36,Summary!$D$14:$AX$56,COLUMNS(Summary!$D$15:$AX$15))+M36*2)/$V36-H37*2*R36)/(1+B36*R36)+IF($A36=SURPLUS_FUND_RELEASE_DATE,IF(SURPLUS_RELEASE_SIZING="Yes", SURPLUS_FUND_DEPOSIT,0),0)/(1+B36*R36)))/5000)*5000))</f>
        <v>0</v>
      </c>
      <c r="H36" s="66">
        <f t="shared" ca="1" si="8"/>
        <v>147021.875</v>
      </c>
      <c r="I36" s="66">
        <f t="shared" ca="1" si="9"/>
        <v>147021.875</v>
      </c>
      <c r="J36" s="70">
        <f t="shared" si="10"/>
        <v>0</v>
      </c>
      <c r="K36" s="66">
        <f t="shared" ca="1" si="1"/>
        <v>0</v>
      </c>
      <c r="L36" s="85">
        <f t="shared" si="2"/>
        <v>0</v>
      </c>
      <c r="M36" s="85">
        <f t="shared" ca="1" si="3"/>
        <v>6813.1923647280091</v>
      </c>
      <c r="N36" s="66">
        <f t="shared" ca="1" si="13"/>
        <v>140208.68263527198</v>
      </c>
      <c r="O36" s="70">
        <f t="shared" si="4"/>
        <v>0</v>
      </c>
      <c r="P36" s="70">
        <f ca="1">$G$96-SUM($G$11:G36)</f>
        <v>5005000</v>
      </c>
      <c r="R36" s="68">
        <f t="shared" si="14"/>
        <v>0</v>
      </c>
      <c r="T36" s="83">
        <f>IF(ISNA(VLOOKUP($A36,Summary!$C$14:$AX$54,COLUMNS(Summary!$C$15:$AX$15),FALSE))=TRUE,0,VLOOKUP($A36,Summary!$C$14:$AX$56,COLUMNS(Summary!$C$15:$AX$15),FALSE))</f>
        <v>0</v>
      </c>
      <c r="U36" s="84">
        <f>IF(ISERROR(IF(ISNA(VLOOKUP($A36,Summary!$D$14:$AX$54,COLUMNS(Summary!$D$15:$AX$15),FALSE))=TRUE,0,VLOOKUP($A36,Summary!$D$14:$AX$54,COLUMNS(Summary!$D$15:$AX$15),FALSE))/O36),0,IF(ISNA(VLOOKUP($A36,Summary!$D$14:$AX$54,COLUMNS(Summary!$D$15:$AX$15),FALSE))=TRUE,0,VLOOKUP($A36,Summary!$D$14:$AX$54,COLUMNS(Summary!$D$15:$AX$15),FALSE))/O36)</f>
        <v>0</v>
      </c>
      <c r="V36" s="72" t="str">
        <f t="shared" si="11"/>
        <v/>
      </c>
      <c r="X36" s="83">
        <f t="shared" si="5"/>
        <v>0</v>
      </c>
      <c r="Y36" s="83"/>
      <c r="Z36" s="83"/>
    </row>
    <row r="37" spans="1:26" x14ac:dyDescent="0.25">
      <c r="A37" s="67">
        <f t="shared" si="6"/>
        <v>50465</v>
      </c>
      <c r="B37" s="161">
        <f t="shared" si="0"/>
        <v>5.8749999999999997E-2</v>
      </c>
      <c r="C37" s="161">
        <f t="shared" si="12"/>
        <v>5.8749999999999997E-2</v>
      </c>
      <c r="D37" s="68">
        <f t="shared" si="7"/>
        <v>1</v>
      </c>
      <c r="E37" s="137"/>
      <c r="F37" s="66">
        <f t="shared" ca="1" si="16"/>
        <v>0</v>
      </c>
      <c r="G37" s="66">
        <f ca="1">IF(OR(CAPI_TERM&gt;A37,MONTH(A37)&lt;&gt;PRIN_MATURITY,FIRST_PRIN&gt;A37),0,MAX(0,INT(((((VLOOKUP($A37,Summary!$D$14:$AX$56,COLUMNS(Summary!$D$15:$AX$15))+M37*2)/$V37-H38*2*R37)/(1+B37*R37)+IF($A37=SURPLUS_FUND_RELEASE_DATE,IF(SURPLUS_RELEASE_SIZING="Yes", SURPLUS_FUND_DEPOSIT,0),0)/(1+B37*R37)))/5000)*5000))</f>
        <v>135000</v>
      </c>
      <c r="H37" s="66">
        <f t="shared" ca="1" si="8"/>
        <v>147021.875</v>
      </c>
      <c r="I37" s="66">
        <f t="shared" ca="1" si="9"/>
        <v>282021.875</v>
      </c>
      <c r="J37" s="70">
        <f t="shared" ca="1" si="10"/>
        <v>429043.75</v>
      </c>
      <c r="K37" s="66">
        <f t="shared" ca="1" si="1"/>
        <v>0</v>
      </c>
      <c r="L37" s="85">
        <f t="shared" si="2"/>
        <v>0</v>
      </c>
      <c r="M37" s="85">
        <f t="shared" ca="1" si="3"/>
        <v>6813.1923647280091</v>
      </c>
      <c r="N37" s="66">
        <f t="shared" ca="1" si="13"/>
        <v>275208.68263527198</v>
      </c>
      <c r="O37" s="70">
        <f t="shared" ca="1" si="4"/>
        <v>415417.36527054396</v>
      </c>
      <c r="P37" s="70">
        <f ca="1">$G$96-SUM($G$11:G37)</f>
        <v>4870000</v>
      </c>
      <c r="R37" s="68">
        <f t="shared" si="14"/>
        <v>1</v>
      </c>
      <c r="T37" s="83">
        <f ca="1">IF(ISNA(VLOOKUP($A37,Summary!$C$14:$AX$54,COLUMNS(Summary!$C$15:$AX$15),FALSE))=TRUE,0,VLOOKUP($A37,Summary!$C$14:$AX$56,COLUMNS(Summary!$C$15:$AX$15),FALSE))</f>
        <v>550664.09441503801</v>
      </c>
      <c r="U37" s="84">
        <f ca="1">IF(ISERROR(IF(ISNA(VLOOKUP($A37,Summary!$D$14:$AX$54,COLUMNS(Summary!$D$15:$AX$15),FALSE))=TRUE,0,VLOOKUP($A37,Summary!$D$14:$AX$54,COLUMNS(Summary!$D$15:$AX$15),FALSE))/O37),0,IF(ISNA(VLOOKUP($A37,Summary!$D$14:$AX$54,COLUMNS(Summary!$D$15:$AX$15),FALSE))=TRUE,0,VLOOKUP($A37,Summary!$D$14:$AX$54,COLUMNS(Summary!$D$15:$AX$15),FALSE))/O37)</f>
        <v>1.3139209352422645</v>
      </c>
      <c r="V37" s="72">
        <f t="shared" si="11"/>
        <v>1.3</v>
      </c>
      <c r="X37" s="83">
        <f t="shared" ca="1" si="5"/>
        <v>1813125</v>
      </c>
      <c r="Y37" s="83"/>
      <c r="Z37" s="83"/>
    </row>
    <row r="38" spans="1:26" x14ac:dyDescent="0.25">
      <c r="A38" s="67">
        <f t="shared" si="6"/>
        <v>50649</v>
      </c>
      <c r="B38" s="161">
        <f t="shared" si="0"/>
        <v>0</v>
      </c>
      <c r="C38" s="161">
        <f t="shared" si="12"/>
        <v>0</v>
      </c>
      <c r="D38" s="68">
        <f t="shared" si="7"/>
        <v>0</v>
      </c>
      <c r="E38" s="137"/>
      <c r="F38" s="66">
        <f t="shared" si="16"/>
        <v>0</v>
      </c>
      <c r="G38" s="66">
        <f>IF(OR(CAPI_TERM&gt;A38,MONTH(A38)&lt;&gt;PRIN_MATURITY,FIRST_PRIN&gt;A38),0,MAX(0,INT(((((VLOOKUP($A38,Summary!$D$14:$AX$56,COLUMNS(Summary!$D$15:$AX$15))+M38*2)/$V38-H39*2*R38)/(1+B38*R38)+IF($A38=SURPLUS_FUND_RELEASE_DATE,IF(SURPLUS_RELEASE_SIZING="Yes", SURPLUS_FUND_DEPOSIT,0),0)/(1+B38*R38)))/5000)*5000))</f>
        <v>0</v>
      </c>
      <c r="H38" s="66">
        <f t="shared" ca="1" si="8"/>
        <v>143056.25</v>
      </c>
      <c r="I38" s="66">
        <f t="shared" ca="1" si="9"/>
        <v>143056.25</v>
      </c>
      <c r="J38" s="70">
        <f t="shared" si="10"/>
        <v>0</v>
      </c>
      <c r="K38" s="66">
        <f t="shared" ca="1" si="1"/>
        <v>0</v>
      </c>
      <c r="L38" s="85">
        <f t="shared" si="2"/>
        <v>0</v>
      </c>
      <c r="M38" s="85">
        <f t="shared" ca="1" si="3"/>
        <v>6813.1923647280091</v>
      </c>
      <c r="N38" s="66">
        <f t="shared" ca="1" si="13"/>
        <v>136243.05763527198</v>
      </c>
      <c r="O38" s="70">
        <f t="shared" si="4"/>
        <v>0</v>
      </c>
      <c r="P38" s="70">
        <f ca="1">$G$96-SUM($G$11:G38)</f>
        <v>4870000</v>
      </c>
      <c r="R38" s="68">
        <f t="shared" si="14"/>
        <v>0</v>
      </c>
      <c r="T38" s="83">
        <f>IF(ISNA(VLOOKUP($A38,Summary!$C$14:$AX$54,COLUMNS(Summary!$C$15:$AX$15),FALSE))=TRUE,0,VLOOKUP($A38,Summary!$C$14:$AX$56,COLUMNS(Summary!$C$15:$AX$15),FALSE))</f>
        <v>0</v>
      </c>
      <c r="U38" s="84">
        <f>IF(ISERROR(IF(ISNA(VLOOKUP($A38,Summary!$D$14:$AX$54,COLUMNS(Summary!$D$15:$AX$15),FALSE))=TRUE,0,VLOOKUP($A38,Summary!$D$14:$AX$54,COLUMNS(Summary!$D$15:$AX$15),FALSE))/O38),0,IF(ISNA(VLOOKUP($A38,Summary!$D$14:$AX$54,COLUMNS(Summary!$D$15:$AX$15),FALSE))=TRUE,0,VLOOKUP($A38,Summary!$D$14:$AX$54,COLUMNS(Summary!$D$15:$AX$15),FALSE))/O38)</f>
        <v>0</v>
      </c>
      <c r="V38" s="72" t="str">
        <f t="shared" si="11"/>
        <v/>
      </c>
      <c r="X38" s="83">
        <f t="shared" si="5"/>
        <v>0</v>
      </c>
      <c r="Y38" s="83"/>
      <c r="Z38" s="83"/>
    </row>
    <row r="39" spans="1:26" x14ac:dyDescent="0.25">
      <c r="A39" s="67">
        <f t="shared" si="6"/>
        <v>50830</v>
      </c>
      <c r="B39" s="161">
        <f t="shared" si="0"/>
        <v>5.8749999999999997E-2</v>
      </c>
      <c r="C39" s="161">
        <f t="shared" si="12"/>
        <v>5.8749999999999997E-2</v>
      </c>
      <c r="D39" s="68">
        <f t="shared" si="7"/>
        <v>1</v>
      </c>
      <c r="E39" s="137"/>
      <c r="F39" s="66">
        <f t="shared" ca="1" si="16"/>
        <v>0</v>
      </c>
      <c r="G39" s="66">
        <f ca="1">IF(OR(CAPI_TERM&gt;A39,MONTH(A39)&lt;&gt;PRIN_MATURITY,FIRST_PRIN&gt;A39),0,MAX(0,INT(((((VLOOKUP($A39,Summary!$D$14:$AX$56,COLUMNS(Summary!$D$15:$AX$15))+M39*2)/$V39-H40*2*R39)/(1+B39*R39)+IF($A39=SURPLUS_FUND_RELEASE_DATE,IF(SURPLUS_RELEASE_SIZING="Yes", SURPLUS_FUND_DEPOSIT,0),0)/(1+B39*R39)))/5000)*5000))</f>
        <v>145000</v>
      </c>
      <c r="H39" s="66">
        <f t="shared" ca="1" si="8"/>
        <v>143056.25</v>
      </c>
      <c r="I39" s="66">
        <f t="shared" ca="1" si="9"/>
        <v>288056.25</v>
      </c>
      <c r="J39" s="70">
        <f t="shared" ca="1" si="10"/>
        <v>431112.5</v>
      </c>
      <c r="K39" s="66">
        <f t="shared" ca="1" si="1"/>
        <v>0</v>
      </c>
      <c r="L39" s="85">
        <f t="shared" si="2"/>
        <v>0</v>
      </c>
      <c r="M39" s="85">
        <f t="shared" ca="1" si="3"/>
        <v>6813.1923647280091</v>
      </c>
      <c r="N39" s="66">
        <f t="shared" ca="1" si="13"/>
        <v>281243.05763527198</v>
      </c>
      <c r="O39" s="70">
        <f t="shared" ca="1" si="4"/>
        <v>417486.11527054396</v>
      </c>
      <c r="P39" s="70">
        <f ca="1">$G$96-SUM($G$11:G39)</f>
        <v>4725000</v>
      </c>
      <c r="R39" s="68">
        <f t="shared" si="14"/>
        <v>1</v>
      </c>
      <c r="T39" s="83">
        <f ca="1">IF(ISNA(VLOOKUP($A39,Summary!$C$14:$AX$54,COLUMNS(Summary!$C$15:$AX$15),FALSE))=TRUE,0,VLOOKUP($A39,Summary!$C$14:$AX$56,COLUMNS(Summary!$C$15:$AX$15),FALSE))</f>
        <v>555537.80626299349</v>
      </c>
      <c r="U39" s="84">
        <f ca="1">IF(ISERROR(IF(ISNA(VLOOKUP($A39,Summary!$D$14:$AX$54,COLUMNS(Summary!$D$15:$AX$15),FALSE))=TRUE,0,VLOOKUP($A39,Summary!$D$14:$AX$54,COLUMNS(Summary!$D$15:$AX$15),FALSE))/O39),0,IF(ISNA(VLOOKUP($A39,Summary!$D$14:$AX$54,COLUMNS(Summary!$D$15:$AX$15),FALSE))=TRUE,0,VLOOKUP($A39,Summary!$D$14:$AX$54,COLUMNS(Summary!$D$15:$AX$15),FALSE))/O39)</f>
        <v>1.3189997805272891</v>
      </c>
      <c r="V39" s="72">
        <f t="shared" si="11"/>
        <v>1.3</v>
      </c>
      <c r="X39" s="83">
        <f t="shared" ca="1" si="5"/>
        <v>2092430.5555555555</v>
      </c>
      <c r="Y39" s="83"/>
      <c r="Z39" s="83"/>
    </row>
    <row r="40" spans="1:26" x14ac:dyDescent="0.25">
      <c r="A40" s="67">
        <f t="shared" si="6"/>
        <v>51014</v>
      </c>
      <c r="B40" s="161">
        <f t="shared" si="0"/>
        <v>0</v>
      </c>
      <c r="C40" s="161">
        <f t="shared" si="12"/>
        <v>0</v>
      </c>
      <c r="D40" s="68">
        <f t="shared" si="7"/>
        <v>0</v>
      </c>
      <c r="E40" s="137"/>
      <c r="F40" s="66">
        <f t="shared" si="16"/>
        <v>0</v>
      </c>
      <c r="G40" s="66">
        <f>IF(OR(CAPI_TERM&gt;A40,MONTH(A40)&lt;&gt;PRIN_MATURITY,FIRST_PRIN&gt;A40),0,MAX(0,INT(((((VLOOKUP($A40,Summary!$D$14:$AX$56,COLUMNS(Summary!$D$15:$AX$15))+M40*2)/$V40-H41*2*R40)/(1+B40*R40)+IF($A40=SURPLUS_FUND_RELEASE_DATE,IF(SURPLUS_RELEASE_SIZING="Yes", SURPLUS_FUND_DEPOSIT,0),0)/(1+B40*R40)))/5000)*5000))</f>
        <v>0</v>
      </c>
      <c r="H40" s="66">
        <f t="shared" ca="1" si="8"/>
        <v>138796.875</v>
      </c>
      <c r="I40" s="66">
        <f t="shared" ca="1" si="9"/>
        <v>138796.875</v>
      </c>
      <c r="J40" s="70">
        <f t="shared" si="10"/>
        <v>0</v>
      </c>
      <c r="K40" s="66">
        <f t="shared" ca="1" si="1"/>
        <v>0</v>
      </c>
      <c r="L40" s="85">
        <f t="shared" si="2"/>
        <v>0</v>
      </c>
      <c r="M40" s="85">
        <f t="shared" ca="1" si="3"/>
        <v>6813.1923647280091</v>
      </c>
      <c r="N40" s="66">
        <f t="shared" ca="1" si="13"/>
        <v>131983.68263527198</v>
      </c>
      <c r="O40" s="70">
        <f t="shared" si="4"/>
        <v>0</v>
      </c>
      <c r="P40" s="70">
        <f ca="1">$G$96-SUM($G$11:G40)</f>
        <v>4725000</v>
      </c>
      <c r="R40" s="68">
        <f t="shared" si="14"/>
        <v>0</v>
      </c>
      <c r="T40" s="83">
        <f>IF(ISNA(VLOOKUP($A40,Summary!$C$14:$AX$54,COLUMNS(Summary!$C$15:$AX$15),FALSE))=TRUE,0,VLOOKUP($A40,Summary!$C$14:$AX$56,COLUMNS(Summary!$C$15:$AX$15),FALSE))</f>
        <v>0</v>
      </c>
      <c r="U40" s="84">
        <f>IF(ISERROR(IF(ISNA(VLOOKUP($A40,Summary!$D$14:$AX$54,COLUMNS(Summary!$D$15:$AX$15),FALSE))=TRUE,0,VLOOKUP($A40,Summary!$D$14:$AX$54,COLUMNS(Summary!$D$15:$AX$15),FALSE))/O40),0,IF(ISNA(VLOOKUP($A40,Summary!$D$14:$AX$54,COLUMNS(Summary!$D$15:$AX$15),FALSE))=TRUE,0,VLOOKUP($A40,Summary!$D$14:$AX$54,COLUMNS(Summary!$D$15:$AX$15),FALSE))/O40)</f>
        <v>0</v>
      </c>
      <c r="V40" s="72" t="str">
        <f t="shared" si="11"/>
        <v/>
      </c>
      <c r="X40" s="83">
        <f t="shared" si="5"/>
        <v>0</v>
      </c>
      <c r="Y40" s="83"/>
      <c r="Z40" s="83"/>
    </row>
    <row r="41" spans="1:26" x14ac:dyDescent="0.25">
      <c r="A41" s="67">
        <f t="shared" si="6"/>
        <v>51196</v>
      </c>
      <c r="B41" s="161">
        <f t="shared" si="0"/>
        <v>5.8749999999999997E-2</v>
      </c>
      <c r="C41" s="161">
        <f t="shared" si="12"/>
        <v>5.8749999999999997E-2</v>
      </c>
      <c r="D41" s="68">
        <f t="shared" si="7"/>
        <v>1</v>
      </c>
      <c r="E41" s="137"/>
      <c r="F41" s="66">
        <f t="shared" ca="1" si="16"/>
        <v>0</v>
      </c>
      <c r="G41" s="66">
        <f ca="1">IF(OR(CAPI_TERM&gt;A41,MONTH(A41)&lt;&gt;PRIN_MATURITY,FIRST_PRIN&gt;A41),0,MAX(0,INT(((((VLOOKUP($A41,Summary!$D$14:$AX$56,COLUMNS(Summary!$D$15:$AX$15))+M41*2)/$V41-H42*2*R41)/(1+B41*R41)+IF($A41=SURPLUS_FUND_RELEASE_DATE,IF(SURPLUS_RELEASE_SIZING="Yes", SURPLUS_FUND_DEPOSIT,0),0)/(1+B41*R41)))/5000)*5000))</f>
        <v>160000</v>
      </c>
      <c r="H41" s="66">
        <f t="shared" ca="1" si="8"/>
        <v>138796.875</v>
      </c>
      <c r="I41" s="66">
        <f t="shared" ca="1" si="9"/>
        <v>298796.875</v>
      </c>
      <c r="J41" s="70">
        <f t="shared" ca="1" si="10"/>
        <v>437593.75</v>
      </c>
      <c r="K41" s="66">
        <f t="shared" ca="1" si="1"/>
        <v>0</v>
      </c>
      <c r="L41" s="85">
        <f t="shared" si="2"/>
        <v>0</v>
      </c>
      <c r="M41" s="85">
        <f t="shared" ca="1" si="3"/>
        <v>6813.1923647280091</v>
      </c>
      <c r="N41" s="66">
        <f t="shared" ca="1" si="13"/>
        <v>291983.68263527198</v>
      </c>
      <c r="O41" s="70">
        <f t="shared" ca="1" si="4"/>
        <v>423967.36527054396</v>
      </c>
      <c r="P41" s="70">
        <f ca="1">$G$96-SUM($G$11:G41)</f>
        <v>4565000</v>
      </c>
      <c r="R41" s="68">
        <f t="shared" si="14"/>
        <v>1</v>
      </c>
      <c r="T41" s="83">
        <f ca="1">IF(ISNA(VLOOKUP($A41,Summary!$C$14:$AX$54,COLUMNS(Summary!$C$15:$AX$15),FALSE))=TRUE,0,VLOOKUP($A41,Summary!$C$14:$AX$56,COLUMNS(Summary!$C$15:$AX$15),FALSE))</f>
        <v>560446.79664750455</v>
      </c>
      <c r="U41" s="84">
        <f ca="1">IF(ISERROR(IF(ISNA(VLOOKUP($A41,Summary!$D$14:$AX$54,COLUMNS(Summary!$D$15:$AX$15),FALSE))=TRUE,0,VLOOKUP($A41,Summary!$D$14:$AX$54,COLUMNS(Summary!$D$15:$AX$15),FALSE))/O41),0,IF(ISNA(VLOOKUP($A41,Summary!$D$14:$AX$54,COLUMNS(Summary!$D$15:$AX$15),FALSE))=TRUE,0,VLOOKUP($A41,Summary!$D$14:$AX$54,COLUMNS(Summary!$D$15:$AX$15),FALSE))/O41)</f>
        <v>1.3103315296650042</v>
      </c>
      <c r="V41" s="72">
        <f t="shared" si="11"/>
        <v>1.3</v>
      </c>
      <c r="X41" s="83">
        <f t="shared" ca="1" si="5"/>
        <v>2468888.888888889</v>
      </c>
      <c r="Y41" s="83"/>
      <c r="Z41" s="83"/>
    </row>
    <row r="42" spans="1:26" x14ac:dyDescent="0.25">
      <c r="A42" s="67">
        <f t="shared" si="6"/>
        <v>51380</v>
      </c>
      <c r="B42" s="161">
        <f t="shared" si="0"/>
        <v>0</v>
      </c>
      <c r="C42" s="161">
        <f t="shared" si="12"/>
        <v>0</v>
      </c>
      <c r="D42" s="68">
        <f t="shared" si="7"/>
        <v>0</v>
      </c>
      <c r="E42" s="137"/>
      <c r="F42" s="66">
        <f t="shared" si="16"/>
        <v>0</v>
      </c>
      <c r="G42" s="66">
        <f>IF(OR(CAPI_TERM&gt;A42,MONTH(A42)&lt;&gt;PRIN_MATURITY,FIRST_PRIN&gt;A42),0,MAX(0,INT(((((VLOOKUP($A42,Summary!$D$14:$AX$56,COLUMNS(Summary!$D$15:$AX$15))+M42*2)/$V42-H43*2*R42)/(1+B42*R42)+IF($A42=SURPLUS_FUND_RELEASE_DATE,IF(SURPLUS_RELEASE_SIZING="Yes", SURPLUS_FUND_DEPOSIT,0),0)/(1+B42*R42)))/5000)*5000))</f>
        <v>0</v>
      </c>
      <c r="H42" s="66">
        <f t="shared" ca="1" si="8"/>
        <v>134096.875</v>
      </c>
      <c r="I42" s="66">
        <f t="shared" ca="1" si="9"/>
        <v>134096.875</v>
      </c>
      <c r="J42" s="70">
        <f t="shared" si="10"/>
        <v>0</v>
      </c>
      <c r="K42" s="66">
        <f t="shared" ca="1" si="1"/>
        <v>0</v>
      </c>
      <c r="L42" s="85">
        <f t="shared" si="2"/>
        <v>0</v>
      </c>
      <c r="M42" s="85">
        <f t="shared" ca="1" si="3"/>
        <v>6813.1923647280091</v>
      </c>
      <c r="N42" s="66">
        <f t="shared" ca="1" si="13"/>
        <v>127283.68263527199</v>
      </c>
      <c r="O42" s="70">
        <f t="shared" si="4"/>
        <v>0</v>
      </c>
      <c r="P42" s="70">
        <f ca="1">$G$96-SUM($G$11:G42)</f>
        <v>4565000</v>
      </c>
      <c r="R42" s="68">
        <f t="shared" si="14"/>
        <v>0</v>
      </c>
      <c r="T42" s="83">
        <f>IF(ISNA(VLOOKUP($A42,Summary!$C$14:$AX$54,COLUMNS(Summary!$C$15:$AX$15),FALSE))=TRUE,0,VLOOKUP($A42,Summary!$C$14:$AX$56,COLUMNS(Summary!$C$15:$AX$15),FALSE))</f>
        <v>0</v>
      </c>
      <c r="U42" s="84">
        <f>IF(ISERROR(IF(ISNA(VLOOKUP($A42,Summary!$D$14:$AX$54,COLUMNS(Summary!$D$15:$AX$15),FALSE))=TRUE,0,VLOOKUP($A42,Summary!$D$14:$AX$54,COLUMNS(Summary!$D$15:$AX$15),FALSE))/O42),0,IF(ISNA(VLOOKUP($A42,Summary!$D$14:$AX$54,COLUMNS(Summary!$D$15:$AX$15),FALSE))=TRUE,0,VLOOKUP($A42,Summary!$D$14:$AX$54,COLUMNS(Summary!$D$15:$AX$15),FALSE))/O42)</f>
        <v>0</v>
      </c>
      <c r="V42" s="72" t="str">
        <f t="shared" si="11"/>
        <v/>
      </c>
      <c r="X42" s="83">
        <f t="shared" si="5"/>
        <v>0</v>
      </c>
      <c r="Y42" s="83"/>
      <c r="Z42" s="83"/>
    </row>
    <row r="43" spans="1:26" x14ac:dyDescent="0.25">
      <c r="A43" s="67">
        <f t="shared" si="6"/>
        <v>51561</v>
      </c>
      <c r="B43" s="161">
        <f t="shared" si="0"/>
        <v>5.8749999999999997E-2</v>
      </c>
      <c r="C43" s="161">
        <f t="shared" si="12"/>
        <v>5.8749999999999997E-2</v>
      </c>
      <c r="D43" s="68">
        <f t="shared" si="7"/>
        <v>1</v>
      </c>
      <c r="E43" s="137"/>
      <c r="F43" s="66">
        <f t="shared" ca="1" si="16"/>
        <v>0</v>
      </c>
      <c r="G43" s="66">
        <f ca="1">IF(OR(CAPI_TERM&gt;A43,MONTH(A43)&lt;&gt;PRIN_MATURITY,FIRST_PRIN&gt;A43),0,MAX(0,INT(((((VLOOKUP($A43,Summary!$D$14:$AX$56,COLUMNS(Summary!$D$15:$AX$15))+M43*2)/$V43-H44*2*R43)/(1+B43*R43)+IF($A43=SURPLUS_FUND_RELEASE_DATE,IF(SURPLUS_RELEASE_SIZING="Yes", SURPLUS_FUND_DEPOSIT,0),0)/(1+B43*R43)))/5000)*5000))</f>
        <v>170000</v>
      </c>
      <c r="H43" s="66">
        <f t="shared" ca="1" si="8"/>
        <v>134096.875</v>
      </c>
      <c r="I43" s="66">
        <f t="shared" ca="1" si="9"/>
        <v>304096.875</v>
      </c>
      <c r="J43" s="70">
        <f t="shared" ca="1" si="10"/>
        <v>438193.75</v>
      </c>
      <c r="K43" s="66">
        <f t="shared" ref="K43:K92" ca="1" si="24">MAX(0,DAYS360(MAX(DELIVERY,A42),MIN(A43,CAPI_END_DATE))/DAYS360(MAX(DELIVERY,A42),A43))*H43</f>
        <v>0</v>
      </c>
      <c r="L43" s="85">
        <f t="shared" ref="L43:L74" si="25">IF($A43=SURPLUS_FUND_RELEASE_DATE,IF(SURPLUS_RELEASE_SIZING="Yes", SURPLUS_FUND_DEPOSIT,0),0)</f>
        <v>0</v>
      </c>
      <c r="M43" s="85">
        <f t="shared" ref="M43:M69" ca="1" si="26">SURPLUS_FUND_DEPOSIT/2* INTEREST_EARN_RATE</f>
        <v>6813.1923647280091</v>
      </c>
      <c r="N43" s="66">
        <f t="shared" ca="1" si="13"/>
        <v>297283.68263527198</v>
      </c>
      <c r="O43" s="70">
        <f t="shared" ref="O43:O74" ca="1" si="27">IF($A43=0,0,IF(MONTH($A43)=INT_MATURITY,0,SUM(N42:N43)))-L43</f>
        <v>424567.36527054396</v>
      </c>
      <c r="P43" s="70">
        <f ca="1">$G$96-SUM($G$11:G43)</f>
        <v>4395000</v>
      </c>
      <c r="R43" s="68">
        <f t="shared" si="14"/>
        <v>1</v>
      </c>
      <c r="T43" s="83">
        <f ca="1">IF(ISNA(VLOOKUP($A43,Summary!$C$14:$AX$54,COLUMNS(Summary!$C$15:$AX$15),FALSE))=TRUE,0,VLOOKUP($A43,Summary!$C$14:$AX$56,COLUMNS(Summary!$C$15:$AX$15),FALSE))</f>
        <v>565391.14918229869</v>
      </c>
      <c r="U43" s="84">
        <f ca="1">IF(ISERROR(IF(ISNA(VLOOKUP($A43,Summary!$D$14:$AX$54,COLUMNS(Summary!$D$15:$AX$15),FALSE))=TRUE,0,VLOOKUP($A43,Summary!$D$14:$AX$54,COLUMNS(Summary!$D$15:$AX$15),FALSE))/O43),0,IF(ISNA(VLOOKUP($A43,Summary!$D$14:$AX$54,COLUMNS(Summary!$D$15:$AX$15),FALSE))=TRUE,0,VLOOKUP($A43,Summary!$D$14:$AX$54,COLUMNS(Summary!$D$15:$AX$15),FALSE))/O43)</f>
        <v>1.3200421004812162</v>
      </c>
      <c r="V43" s="72">
        <f t="shared" si="11"/>
        <v>1.3</v>
      </c>
      <c r="X43" s="83">
        <f t="shared" ref="X43:X74" ca="1" si="28">D43*G43*DAYS360(DELIVERY,A43)/360</f>
        <v>2793194.4444444445</v>
      </c>
      <c r="Y43" s="83"/>
      <c r="Z43" s="83"/>
    </row>
    <row r="44" spans="1:26" x14ac:dyDescent="0.25">
      <c r="A44" s="67">
        <f t="shared" ref="A44:A75" si="29">IF(IF(ISERROR(EDATE(A43,6)),0,EDATE(A43,6))&gt;EDATE(MAX($A$11,DATE(YEAR($A$11),PRIN_MATURITY,1)),6*2*FINAL_MAT_YRS),0,IF(ISERROR(EDATE(A43,6)),0,IF(A43=0,0,EDATE(A43,6))))</f>
        <v>51745</v>
      </c>
      <c r="B44" s="161">
        <f t="shared" si="0"/>
        <v>0</v>
      </c>
      <c r="C44" s="161">
        <f t="shared" si="12"/>
        <v>0</v>
      </c>
      <c r="D44" s="68">
        <f t="shared" ref="D44:D75" si="30">MAX(IF(C44=0,0,TRUNC(IF(B44=C44,100,IF(A44&lt;=PAR_CALL_FIRST,PRICE(DELIVERY,A44,B44,C44,100,2,0),MIN(PRICE(DELIVERY,A44,B44,C44,100,2,0),PRICE(DELIVERY,PREMIUM_CALL_FIRST,B44,C44,PREMIUM_CALL_FIRST_PRICE,2,0),PRICE(DELIVERY,PAR_CALL_FIRST,B44,C44,100,2,0)))),3)/100),IF(C44=0,0,TRUNC(IF(B44=C44,100,IF(A44&lt;=PREMIUM_CALL_FIRST,PRICE(DELIVERY,A44,B44,C44,PREMIUM_CALL_FIRST_PRICE,2,0),MIN(PRICE(DELIVERY,A44,B44,C44,100,2,0),PRICE(DELIVERY,A44,B44,C44,PREMIUM_CALL_FIRST_PRICE,2,0),PRICE(DELIVERY,PREMIUM_CALL_FIRST,B44,C44,PREMIUM_CALL_FIRST_PRICE,2,0)))),3)/100))</f>
        <v>0</v>
      </c>
      <c r="E44" s="137"/>
      <c r="F44" s="66">
        <f t="shared" si="16"/>
        <v>0</v>
      </c>
      <c r="G44" s="66">
        <f>IF(OR(CAPI_TERM&gt;A44,MONTH(A44)&lt;&gt;PRIN_MATURITY,FIRST_PRIN&gt;A44),0,MAX(0,INT(((((VLOOKUP($A44,Summary!$D$14:$AX$56,COLUMNS(Summary!$D$15:$AX$15))+M44*2)/$V44-H45*2*R44)/(1+B44*R44)+IF($A44=SURPLUS_FUND_RELEASE_DATE,IF(SURPLUS_RELEASE_SIZING="Yes", SURPLUS_FUND_DEPOSIT,0),0)/(1+B44*R44)))/5000)*5000))</f>
        <v>0</v>
      </c>
      <c r="H44" s="66">
        <f t="shared" ca="1" si="8"/>
        <v>129103.125</v>
      </c>
      <c r="I44" s="66">
        <f t="shared" ca="1" si="9"/>
        <v>129103.125</v>
      </c>
      <c r="J44" s="70">
        <f t="shared" ref="J44:J75" si="31">IF($A44=0,0,IF(MONTH(A44)=INT_MATURITY,0,SUM(I43:I44)))</f>
        <v>0</v>
      </c>
      <c r="K44" s="66">
        <f t="shared" ca="1" si="24"/>
        <v>0</v>
      </c>
      <c r="L44" s="85">
        <f t="shared" si="25"/>
        <v>0</v>
      </c>
      <c r="M44" s="85">
        <f t="shared" ca="1" si="26"/>
        <v>6813.1923647280091</v>
      </c>
      <c r="N44" s="66">
        <f t="shared" ca="1" si="13"/>
        <v>122289.93263527199</v>
      </c>
      <c r="O44" s="70">
        <f t="shared" si="27"/>
        <v>0</v>
      </c>
      <c r="P44" s="70">
        <f ca="1">$G$96-SUM($G$11:G44)</f>
        <v>4395000</v>
      </c>
      <c r="R44" s="68">
        <f t="shared" si="14"/>
        <v>0</v>
      </c>
      <c r="T44" s="83">
        <f>IF(ISNA(VLOOKUP($A44,Summary!$C$14:$AX$54,COLUMNS(Summary!$C$15:$AX$15),FALSE))=TRUE,0,VLOOKUP($A44,Summary!$C$14:$AX$56,COLUMNS(Summary!$C$15:$AX$15),FALSE))</f>
        <v>0</v>
      </c>
      <c r="U44" s="84">
        <f>IF(ISERROR(IF(ISNA(VLOOKUP($A44,Summary!$D$14:$AX$54,COLUMNS(Summary!$D$15:$AX$15),FALSE))=TRUE,0,VLOOKUP($A44,Summary!$D$14:$AX$54,COLUMNS(Summary!$D$15:$AX$15),FALSE))/O44),0,IF(ISNA(VLOOKUP($A44,Summary!$D$14:$AX$54,COLUMNS(Summary!$D$15:$AX$15),FALSE))=TRUE,0,VLOOKUP($A44,Summary!$D$14:$AX$54,COLUMNS(Summary!$D$15:$AX$15),FALSE))/O44)</f>
        <v>0</v>
      </c>
      <c r="V44" s="72" t="str">
        <f t="shared" si="11"/>
        <v/>
      </c>
      <c r="X44" s="83">
        <f t="shared" si="28"/>
        <v>0</v>
      </c>
      <c r="Y44" s="83"/>
      <c r="Z44" s="83"/>
    </row>
    <row r="45" spans="1:26" x14ac:dyDescent="0.25">
      <c r="A45" s="67">
        <f t="shared" si="29"/>
        <v>51926</v>
      </c>
      <c r="B45" s="161">
        <f t="shared" si="0"/>
        <v>5.8749999999999997E-2</v>
      </c>
      <c r="C45" s="161">
        <f t="shared" si="12"/>
        <v>5.8749999999999997E-2</v>
      </c>
      <c r="D45" s="68">
        <f t="shared" si="30"/>
        <v>1</v>
      </c>
      <c r="E45" s="137"/>
      <c r="F45" s="66">
        <f t="shared" ca="1" si="16"/>
        <v>0</v>
      </c>
      <c r="G45" s="66">
        <f ca="1">IF(OR(CAPI_TERM&gt;A45,MONTH(A45)&lt;&gt;PRIN_MATURITY,FIRST_PRIN&gt;A45),0,MAX(0,INT(((((VLOOKUP($A45,Summary!$D$14:$AX$56,COLUMNS(Summary!$D$15:$AX$15))+M45*2)/$V45-H46*2*R45)/(1+B45*R45)+IF($A45=SURPLUS_FUND_RELEASE_DATE,IF(SURPLUS_RELEASE_SIZING="Yes", SURPLUS_FUND_DEPOSIT,0),0)/(1+B45*R45)))/5000)*5000))</f>
        <v>185000</v>
      </c>
      <c r="H45" s="66">
        <f t="shared" ca="1" si="8"/>
        <v>129103.125</v>
      </c>
      <c r="I45" s="66">
        <f t="shared" ca="1" si="9"/>
        <v>314103.125</v>
      </c>
      <c r="J45" s="70">
        <f t="shared" ca="1" si="31"/>
        <v>443206.25</v>
      </c>
      <c r="K45" s="66">
        <f t="shared" ca="1" si="24"/>
        <v>0</v>
      </c>
      <c r="L45" s="85">
        <f t="shared" si="25"/>
        <v>0</v>
      </c>
      <c r="M45" s="85">
        <f t="shared" ca="1" si="26"/>
        <v>6813.1923647280091</v>
      </c>
      <c r="N45" s="66">
        <f t="shared" ca="1" si="13"/>
        <v>307289.93263527198</v>
      </c>
      <c r="O45" s="70">
        <f t="shared" ca="1" si="27"/>
        <v>429579.86527054396</v>
      </c>
      <c r="P45" s="70">
        <f ca="1">$G$96-SUM($G$11:G45)</f>
        <v>4210000</v>
      </c>
      <c r="R45" s="68">
        <f t="shared" ref="R45:R92" si="32">IF(MONTH(A45)=PRIN_MATURITY,MAX(0,DAYS360(MAX(CAPI_TERM,EDATE(A45,-12)),A45))/360,0)</f>
        <v>1</v>
      </c>
      <c r="T45" s="83">
        <f ca="1">IF(ISNA(VLOOKUP($A45,Summary!$C$14:$AX$54,COLUMNS(Summary!$C$15:$AX$15),FALSE))=TRUE,0,VLOOKUP($A45,Summary!$C$14:$AX$56,COLUMNS(Summary!$C$15:$AX$15),FALSE))</f>
        <v>570370.94293380657</v>
      </c>
      <c r="U45" s="84">
        <f ca="1">IF(ISERROR(IF(ISNA(VLOOKUP($A45,Summary!$D$14:$AX$54,COLUMNS(Summary!$D$15:$AX$15),FALSE))=TRUE,0,VLOOKUP($A45,Summary!$D$14:$AX$54,COLUMNS(Summary!$D$15:$AX$15),FALSE))/O45),0,IF(ISNA(VLOOKUP($A45,Summary!$D$14:$AX$54,COLUMNS(Summary!$D$15:$AX$15),FALSE))=TRUE,0,VLOOKUP($A45,Summary!$D$14:$AX$54,COLUMNS(Summary!$D$15:$AX$15),FALSE))/O45)</f>
        <v>1.3161490909873592</v>
      </c>
      <c r="V45" s="72">
        <f t="shared" ref="V45:V92" si="33">IF($B45&lt;&gt;0,DSC_SENIOR_LIEN_BONDS,"")</f>
        <v>1.3</v>
      </c>
      <c r="X45" s="83">
        <f t="shared" ca="1" si="28"/>
        <v>3224652.777777778</v>
      </c>
      <c r="Y45" s="83"/>
      <c r="Z45" s="83"/>
    </row>
    <row r="46" spans="1:26" x14ac:dyDescent="0.25">
      <c r="A46" s="67">
        <f t="shared" si="29"/>
        <v>52110</v>
      </c>
      <c r="B46" s="161">
        <f t="shared" si="0"/>
        <v>0</v>
      </c>
      <c r="C46" s="161">
        <f t="shared" si="12"/>
        <v>0</v>
      </c>
      <c r="D46" s="68">
        <f t="shared" si="30"/>
        <v>0</v>
      </c>
      <c r="E46" s="137"/>
      <c r="F46" s="66">
        <f t="shared" si="16"/>
        <v>0</v>
      </c>
      <c r="G46" s="66">
        <f>IF(OR(CAPI_TERM&gt;A46,MONTH(A46)&lt;&gt;PRIN_MATURITY,FIRST_PRIN&gt;A46),0,MAX(0,INT(((((VLOOKUP($A46,Summary!$D$14:$AX$56,COLUMNS(Summary!$D$15:$AX$15))+M46*2)/$V46-H47*2*R46)/(1+B46*R46)+IF($A46=SURPLUS_FUND_RELEASE_DATE,IF(SURPLUS_RELEASE_SIZING="Yes", SURPLUS_FUND_DEPOSIT,0),0)/(1+B46*R46)))/5000)*5000))</f>
        <v>0</v>
      </c>
      <c r="H46" s="66">
        <f t="shared" ca="1" si="8"/>
        <v>123668.75</v>
      </c>
      <c r="I46" s="66">
        <f t="shared" ca="1" si="9"/>
        <v>123668.75</v>
      </c>
      <c r="J46" s="70">
        <f t="shared" si="31"/>
        <v>0</v>
      </c>
      <c r="K46" s="66">
        <f t="shared" ca="1" si="24"/>
        <v>0</v>
      </c>
      <c r="L46" s="85">
        <f t="shared" si="25"/>
        <v>0</v>
      </c>
      <c r="M46" s="85">
        <f t="shared" ca="1" si="26"/>
        <v>6813.1923647280091</v>
      </c>
      <c r="N46" s="66">
        <f t="shared" ca="1" si="13"/>
        <v>116855.55763527199</v>
      </c>
      <c r="O46" s="70">
        <f t="shared" si="27"/>
        <v>0</v>
      </c>
      <c r="P46" s="70">
        <f ca="1">$G$96-SUM($G$11:G46)</f>
        <v>4210000</v>
      </c>
      <c r="R46" s="68">
        <f t="shared" si="32"/>
        <v>0</v>
      </c>
      <c r="T46" s="83">
        <f>IF(ISNA(VLOOKUP($A46,Summary!$C$14:$AX$54,COLUMNS(Summary!$C$15:$AX$15),FALSE))=TRUE,0,VLOOKUP($A46,Summary!$C$14:$AX$56,COLUMNS(Summary!$C$15:$AX$15),FALSE))</f>
        <v>0</v>
      </c>
      <c r="U46" s="84">
        <f>IF(ISERROR(IF(ISNA(VLOOKUP($A46,Summary!$D$14:$AX$54,COLUMNS(Summary!$D$15:$AX$15),FALSE))=TRUE,0,VLOOKUP($A46,Summary!$D$14:$AX$54,COLUMNS(Summary!$D$15:$AX$15),FALSE))/O46),0,IF(ISNA(VLOOKUP($A46,Summary!$D$14:$AX$54,COLUMNS(Summary!$D$15:$AX$15),FALSE))=TRUE,0,VLOOKUP($A46,Summary!$D$14:$AX$54,COLUMNS(Summary!$D$15:$AX$15),FALSE))/O46)</f>
        <v>0</v>
      </c>
      <c r="V46" s="72" t="str">
        <f t="shared" si="33"/>
        <v/>
      </c>
      <c r="X46" s="83">
        <f t="shared" si="28"/>
        <v>0</v>
      </c>
      <c r="Y46" s="83"/>
      <c r="Z46" s="83"/>
    </row>
    <row r="47" spans="1:26" x14ac:dyDescent="0.25">
      <c r="A47" s="67">
        <f t="shared" si="29"/>
        <v>52291</v>
      </c>
      <c r="B47" s="161">
        <f t="shared" si="0"/>
        <v>5.8749999999999997E-2</v>
      </c>
      <c r="C47" s="161">
        <f t="shared" si="12"/>
        <v>5.8749999999999997E-2</v>
      </c>
      <c r="D47" s="68">
        <f t="shared" si="30"/>
        <v>1</v>
      </c>
      <c r="E47" s="137"/>
      <c r="F47" s="66">
        <f t="shared" ca="1" si="16"/>
        <v>0</v>
      </c>
      <c r="G47" s="66">
        <f ca="1">IF(OR(CAPI_TERM&gt;A47,MONTH(A47)&lt;&gt;PRIN_MATURITY,FIRST_PRIN&gt;A47),0,MAX(0,INT(((((VLOOKUP($A47,Summary!$D$14:$AX$56,COLUMNS(Summary!$D$15:$AX$15))+M47*2)/$V47-H48*2*R47)/(1+B47*R47)+IF($A47=SURPLUS_FUND_RELEASE_DATE,IF(SURPLUS_RELEASE_SIZING="Yes", SURPLUS_FUND_DEPOSIT,0),0)/(1+B47*R47)))/5000)*5000))</f>
        <v>200000</v>
      </c>
      <c r="H47" s="66">
        <f t="shared" ca="1" si="8"/>
        <v>123668.75</v>
      </c>
      <c r="I47" s="66">
        <f t="shared" ca="1" si="9"/>
        <v>323668.75</v>
      </c>
      <c r="J47" s="70">
        <f t="shared" ca="1" si="31"/>
        <v>447337.5</v>
      </c>
      <c r="K47" s="66">
        <f t="shared" ca="1" si="24"/>
        <v>0</v>
      </c>
      <c r="L47" s="85">
        <f t="shared" si="25"/>
        <v>0</v>
      </c>
      <c r="M47" s="85">
        <f t="shared" ca="1" si="26"/>
        <v>6813.1923647280091</v>
      </c>
      <c r="N47" s="66">
        <f t="shared" ca="1" si="13"/>
        <v>316855.55763527198</v>
      </c>
      <c r="O47" s="70">
        <f t="shared" ca="1" si="27"/>
        <v>433711.11527054396</v>
      </c>
      <c r="P47" s="70">
        <f ca="1">$G$96-SUM($G$11:G47)</f>
        <v>4010000</v>
      </c>
      <c r="R47" s="68">
        <f t="shared" si="32"/>
        <v>1</v>
      </c>
      <c r="T47" s="83">
        <f ca="1">IF(ISNA(VLOOKUP($A47,Summary!$C$14:$AX$54,COLUMNS(Summary!$C$15:$AX$15),FALSE))=TRUE,0,VLOOKUP($A47,Summary!$C$14:$AX$56,COLUMNS(Summary!$C$15:$AX$15),FALSE))</f>
        <v>575386.25226802367</v>
      </c>
      <c r="U47" s="84">
        <f ca="1">IF(ISERROR(IF(ISNA(VLOOKUP($A47,Summary!$D$14:$AX$54,COLUMNS(Summary!$D$15:$AX$15),FALSE))=TRUE,0,VLOOKUP($A47,Summary!$D$14:$AX$54,COLUMNS(Summary!$D$15:$AX$15),FALSE))/O47),0,IF(ISNA(VLOOKUP($A47,Summary!$D$14:$AX$54,COLUMNS(Summary!$D$15:$AX$15),FALSE))=TRUE,0,VLOOKUP($A47,Summary!$D$14:$AX$54,COLUMNS(Summary!$D$15:$AX$15),FALSE))/O47)</f>
        <v>1.3150941325956467</v>
      </c>
      <c r="V47" s="72">
        <f t="shared" si="33"/>
        <v>1.3</v>
      </c>
      <c r="X47" s="83">
        <f t="shared" ca="1" si="28"/>
        <v>3686111.111111111</v>
      </c>
      <c r="Y47" s="83"/>
      <c r="Z47" s="83"/>
    </row>
    <row r="48" spans="1:26" x14ac:dyDescent="0.25">
      <c r="A48" s="67">
        <f t="shared" si="29"/>
        <v>52475</v>
      </c>
      <c r="B48" s="161">
        <f t="shared" si="0"/>
        <v>0</v>
      </c>
      <c r="C48" s="161">
        <f t="shared" si="12"/>
        <v>0</v>
      </c>
      <c r="D48" s="68">
        <f t="shared" si="30"/>
        <v>0</v>
      </c>
      <c r="E48" s="137"/>
      <c r="F48" s="66">
        <f t="shared" si="16"/>
        <v>0</v>
      </c>
      <c r="G48" s="66">
        <f>IF(OR(CAPI_TERM&gt;A48,MONTH(A48)&lt;&gt;PRIN_MATURITY,FIRST_PRIN&gt;A48),0,MAX(0,INT(((((VLOOKUP($A48,Summary!$D$14:$AX$56,COLUMNS(Summary!$D$15:$AX$15))+M48*2)/$V48-H49*2*R48)/(1+B48*R48)+IF($A48=SURPLUS_FUND_RELEASE_DATE,IF(SURPLUS_RELEASE_SIZING="Yes", SURPLUS_FUND_DEPOSIT,0),0)/(1+B48*R48)))/5000)*5000))</f>
        <v>0</v>
      </c>
      <c r="H48" s="66">
        <f t="shared" ca="1" si="8"/>
        <v>117793.75</v>
      </c>
      <c r="I48" s="66">
        <f t="shared" ca="1" si="9"/>
        <v>117793.75</v>
      </c>
      <c r="J48" s="70">
        <f t="shared" si="31"/>
        <v>0</v>
      </c>
      <c r="K48" s="66">
        <f t="shared" ca="1" si="24"/>
        <v>0</v>
      </c>
      <c r="L48" s="85">
        <f t="shared" si="25"/>
        <v>0</v>
      </c>
      <c r="M48" s="85">
        <f t="shared" ca="1" si="26"/>
        <v>6813.1923647280091</v>
      </c>
      <c r="N48" s="66">
        <f t="shared" ca="1" si="13"/>
        <v>110980.55763527199</v>
      </c>
      <c r="O48" s="70">
        <f t="shared" si="27"/>
        <v>0</v>
      </c>
      <c r="P48" s="70">
        <f ca="1">$G$96-SUM($G$11:G48)</f>
        <v>4010000</v>
      </c>
      <c r="R48" s="68">
        <f t="shared" si="32"/>
        <v>0</v>
      </c>
      <c r="T48" s="83">
        <f>IF(ISNA(VLOOKUP($A48,Summary!$C$14:$AX$54,COLUMNS(Summary!$C$15:$AX$15),FALSE))=TRUE,0,VLOOKUP($A48,Summary!$C$14:$AX$56,COLUMNS(Summary!$C$15:$AX$15),FALSE))</f>
        <v>0</v>
      </c>
      <c r="U48" s="402">
        <f>IF(ISERROR(IF(ISNA(VLOOKUP($A48,Summary!$D$14:$AX$54,COLUMNS(Summary!$D$15:$AX$15),FALSE))=TRUE,0,VLOOKUP($A48,Summary!$D$14:$AX$54,COLUMNS(Summary!$D$15:$AX$15),FALSE))/O48),0,IF(ISNA(VLOOKUP($A48,Summary!$D$14:$AX$54,COLUMNS(Summary!$D$15:$AX$15),FALSE))=TRUE,0,VLOOKUP($A48,Summary!$D$14:$AX$54,COLUMNS(Summary!$D$15:$AX$15),FALSE))/O48)</f>
        <v>0</v>
      </c>
      <c r="V48" s="72" t="str">
        <f t="shared" si="33"/>
        <v/>
      </c>
      <c r="X48" s="83">
        <f t="shared" si="28"/>
        <v>0</v>
      </c>
      <c r="Y48" s="83"/>
      <c r="Z48" s="83"/>
    </row>
    <row r="49" spans="1:26" x14ac:dyDescent="0.25">
      <c r="A49" s="67">
        <f t="shared" si="29"/>
        <v>52657</v>
      </c>
      <c r="B49" s="161">
        <f t="shared" si="0"/>
        <v>5.8749999999999997E-2</v>
      </c>
      <c r="C49" s="161">
        <f t="shared" si="12"/>
        <v>5.8749999999999997E-2</v>
      </c>
      <c r="D49" s="68">
        <f t="shared" si="30"/>
        <v>1</v>
      </c>
      <c r="E49" s="137"/>
      <c r="F49" s="66">
        <f t="shared" ca="1" si="16"/>
        <v>0</v>
      </c>
      <c r="G49" s="66">
        <f ca="1">IF(OR(CAPI_TERM&gt;A49,MONTH(A49)&lt;&gt;PRIN_MATURITY,FIRST_PRIN&gt;A49),0,MAX(0,INT(((((VLOOKUP($A49,Summary!$D$14:$AX$56,COLUMNS(Summary!$D$15:$AX$15))+M49*2)/$V49-H50*2*R49)/(1+B49*R49)+IF($A49=SURPLUS_FUND_RELEASE_DATE,IF(SURPLUS_RELEASE_SIZING="Yes", SURPLUS_FUND_DEPOSIT,0),0)/(1+B49*R49)))/5000)*5000))</f>
        <v>215000</v>
      </c>
      <c r="H49" s="66">
        <f t="shared" ca="1" si="8"/>
        <v>117793.75</v>
      </c>
      <c r="I49" s="66">
        <f t="shared" ca="1" si="9"/>
        <v>332793.75</v>
      </c>
      <c r="J49" s="70">
        <f t="shared" ca="1" si="31"/>
        <v>450587.5</v>
      </c>
      <c r="K49" s="66">
        <f t="shared" ca="1" si="24"/>
        <v>0</v>
      </c>
      <c r="L49" s="85">
        <f t="shared" si="25"/>
        <v>0</v>
      </c>
      <c r="M49" s="85">
        <f t="shared" ca="1" si="26"/>
        <v>6813.1923647280091</v>
      </c>
      <c r="N49" s="66">
        <f t="shared" ca="1" si="13"/>
        <v>325980.55763527198</v>
      </c>
      <c r="O49" s="70">
        <f t="shared" ca="1" si="27"/>
        <v>436961.11527054396</v>
      </c>
      <c r="P49" s="70">
        <f ca="1">$G$96-SUM($G$11:G49)</f>
        <v>3795000</v>
      </c>
      <c r="R49" s="68">
        <f t="shared" si="32"/>
        <v>1</v>
      </c>
      <c r="T49" s="83">
        <f ca="1">IF(ISNA(VLOOKUP($A49,Summary!$C$14:$AX$54,COLUMNS(Summary!$C$15:$AX$15),FALSE))=TRUE,0,VLOOKUP($A49,Summary!$C$14:$AX$56,COLUMNS(Summary!$C$15:$AX$15),FALSE))</f>
        <v>580437.14669368044</v>
      </c>
      <c r="U49" s="84">
        <f ca="1">IF(ISERROR(IF(ISNA(VLOOKUP($A49,Summary!$D$14:$AX$54,COLUMNS(Summary!$D$15:$AX$15),FALSE))=TRUE,0,VLOOKUP($A49,Summary!$D$14:$AX$54,COLUMNS(Summary!$D$15:$AX$15),FALSE))/O49),0,IF(ISNA(VLOOKUP($A49,Summary!$D$14:$AX$54,COLUMNS(Summary!$D$15:$AX$15),FALSE))=TRUE,0,VLOOKUP($A49,Summary!$D$14:$AX$54,COLUMNS(Summary!$D$15:$AX$15),FALSE))/O49)</f>
        <v>1.3167905155857493</v>
      </c>
      <c r="V49" s="72">
        <f t="shared" si="33"/>
        <v>1.3</v>
      </c>
      <c r="X49" s="83">
        <f t="shared" ca="1" si="28"/>
        <v>4177569.4444444445</v>
      </c>
      <c r="Y49" s="83"/>
      <c r="Z49" s="83"/>
    </row>
    <row r="50" spans="1:26" x14ac:dyDescent="0.25">
      <c r="A50" s="67">
        <f t="shared" si="29"/>
        <v>52841</v>
      </c>
      <c r="B50" s="161">
        <f t="shared" si="0"/>
        <v>0</v>
      </c>
      <c r="C50" s="161">
        <f t="shared" si="12"/>
        <v>0</v>
      </c>
      <c r="D50" s="68">
        <f t="shared" si="30"/>
        <v>0</v>
      </c>
      <c r="E50" s="137"/>
      <c r="F50" s="66">
        <f t="shared" si="16"/>
        <v>0</v>
      </c>
      <c r="G50" s="66">
        <f>IF(OR(CAPI_TERM&gt;A50,MONTH(A50)&lt;&gt;PRIN_MATURITY,FIRST_PRIN&gt;A50),0,MAX(0,INT(((((VLOOKUP($A50,Summary!$D$14:$AX$56,COLUMNS(Summary!$D$15:$AX$15))+M50*2)/$V50-H51*2*R50)/(1+B50*R50)+IF($A50=SURPLUS_FUND_RELEASE_DATE,IF(SURPLUS_RELEASE_SIZING="Yes", SURPLUS_FUND_DEPOSIT,0),0)/(1+B50*R50)))/5000)*5000))</f>
        <v>0</v>
      </c>
      <c r="H50" s="66">
        <f t="shared" ca="1" si="8"/>
        <v>111478.125</v>
      </c>
      <c r="I50" s="66">
        <f t="shared" ca="1" si="9"/>
        <v>111478.125</v>
      </c>
      <c r="J50" s="70">
        <f t="shared" si="31"/>
        <v>0</v>
      </c>
      <c r="K50" s="66">
        <f t="shared" ca="1" si="24"/>
        <v>0</v>
      </c>
      <c r="L50" s="85">
        <f t="shared" si="25"/>
        <v>0</v>
      </c>
      <c r="M50" s="85">
        <f t="shared" ca="1" si="26"/>
        <v>6813.1923647280091</v>
      </c>
      <c r="N50" s="66">
        <f t="shared" ca="1" si="13"/>
        <v>104664.93263527199</v>
      </c>
      <c r="O50" s="70">
        <f t="shared" si="27"/>
        <v>0</v>
      </c>
      <c r="P50" s="70">
        <f ca="1">$G$96-SUM($G$11:G50)</f>
        <v>3795000</v>
      </c>
      <c r="R50" s="68">
        <f t="shared" si="32"/>
        <v>0</v>
      </c>
      <c r="T50" s="83">
        <f>IF(ISNA(VLOOKUP($A50,Summary!$C$14:$AX$54,COLUMNS(Summary!$C$15:$AX$15),FALSE))=TRUE,0,VLOOKUP($A50,Summary!$C$14:$AX$56,COLUMNS(Summary!$C$15:$AX$15),FALSE))</f>
        <v>0</v>
      </c>
      <c r="U50" s="84">
        <f>IF(ISERROR(IF(ISNA(VLOOKUP($A50,Summary!$D$14:$AX$54,COLUMNS(Summary!$D$15:$AX$15),FALSE))=TRUE,0,VLOOKUP($A50,Summary!$D$14:$AX$54,COLUMNS(Summary!$D$15:$AX$15),FALSE))/O50),0,IF(ISNA(VLOOKUP($A50,Summary!$D$14:$AX$54,COLUMNS(Summary!$D$15:$AX$15),FALSE))=TRUE,0,VLOOKUP($A50,Summary!$D$14:$AX$54,COLUMNS(Summary!$D$15:$AX$15),FALSE))/O50)</f>
        <v>0</v>
      </c>
      <c r="V50" s="72" t="str">
        <f t="shared" si="33"/>
        <v/>
      </c>
      <c r="X50" s="83">
        <f t="shared" si="28"/>
        <v>0</v>
      </c>
      <c r="Y50" s="83"/>
      <c r="Z50" s="83"/>
    </row>
    <row r="51" spans="1:26" x14ac:dyDescent="0.25">
      <c r="A51" s="67">
        <f t="shared" si="29"/>
        <v>53022</v>
      </c>
      <c r="B51" s="161">
        <f t="shared" si="0"/>
        <v>5.8749999999999997E-2</v>
      </c>
      <c r="C51" s="161">
        <f t="shared" si="12"/>
        <v>5.8749999999999997E-2</v>
      </c>
      <c r="D51" s="68">
        <f t="shared" si="30"/>
        <v>1</v>
      </c>
      <c r="E51" s="137"/>
      <c r="F51" s="66">
        <f t="shared" ca="1" si="16"/>
        <v>0</v>
      </c>
      <c r="G51" s="66">
        <f ca="1">IF(OR(CAPI_TERM&gt;A51,MONTH(A51)&lt;&gt;PRIN_MATURITY,FIRST_PRIN&gt;A51),0,MAX(0,INT(((((VLOOKUP($A51,Summary!$D$14:$AX$56,COLUMNS(Summary!$D$15:$AX$15))+M51*2)/$V51-H52*2*R51)/(1+B51*R51)+IF($A51=SURPLUS_FUND_RELEASE_DATE,IF(SURPLUS_RELEASE_SIZING="Yes", SURPLUS_FUND_DEPOSIT,0),0)/(1+B51*R51)))/5000)*5000))</f>
        <v>230000</v>
      </c>
      <c r="H51" s="66">
        <f t="shared" ca="1" si="8"/>
        <v>111478.125</v>
      </c>
      <c r="I51" s="66">
        <f t="shared" ca="1" si="9"/>
        <v>341478.125</v>
      </c>
      <c r="J51" s="70">
        <f t="shared" ca="1" si="31"/>
        <v>452956.25</v>
      </c>
      <c r="K51" s="66">
        <f t="shared" ca="1" si="24"/>
        <v>0</v>
      </c>
      <c r="L51" s="85">
        <f t="shared" si="25"/>
        <v>0</v>
      </c>
      <c r="M51" s="85">
        <f t="shared" ca="1" si="26"/>
        <v>6813.1923647280091</v>
      </c>
      <c r="N51" s="66">
        <f t="shared" ca="1" si="13"/>
        <v>334664.93263527198</v>
      </c>
      <c r="O51" s="70">
        <f t="shared" ca="1" si="27"/>
        <v>439329.86527054396</v>
      </c>
      <c r="P51" s="70">
        <f ca="1">$G$96-SUM($G$11:G51)</f>
        <v>3565000</v>
      </c>
      <c r="R51" s="68">
        <f t="shared" si="32"/>
        <v>1</v>
      </c>
      <c r="T51" s="83">
        <f ca="1">IF(ISNA(VLOOKUP($A51,Summary!$C$14:$AX$54,COLUMNS(Summary!$C$15:$AX$15),FALSE))=TRUE,0,VLOOKUP($A51,Summary!$C$14:$AX$56,COLUMNS(Summary!$C$15:$AX$15),FALSE))</f>
        <v>585523.69070165325</v>
      </c>
      <c r="U51" s="84">
        <f ca="1">IF(ISERROR(IF(ISNA(VLOOKUP($A51,Summary!$D$14:$AX$54,COLUMNS(Summary!$D$15:$AX$15),FALSE))=TRUE,0,VLOOKUP($A51,Summary!$D$14:$AX$54,COLUMNS(Summary!$D$15:$AX$15),FALSE))/O51),0,IF(ISNA(VLOOKUP($A51,Summary!$D$14:$AX$54,COLUMNS(Summary!$D$15:$AX$15),FALSE))=TRUE,0,VLOOKUP($A51,Summary!$D$14:$AX$54,COLUMNS(Summary!$D$15:$AX$15),FALSE))/O51)</f>
        <v>1.3211875462557983</v>
      </c>
      <c r="V51" s="72">
        <f t="shared" si="33"/>
        <v>1.3</v>
      </c>
      <c r="X51" s="83">
        <f t="shared" ca="1" si="28"/>
        <v>4699027.777777778</v>
      </c>
      <c r="Y51" s="83"/>
      <c r="Z51" s="83"/>
    </row>
    <row r="52" spans="1:26" x14ac:dyDescent="0.25">
      <c r="A52" s="67">
        <f t="shared" si="29"/>
        <v>53206</v>
      </c>
      <c r="B52" s="161">
        <f t="shared" si="0"/>
        <v>0</v>
      </c>
      <c r="C52" s="161">
        <f t="shared" si="12"/>
        <v>0</v>
      </c>
      <c r="D52" s="68">
        <f t="shared" si="30"/>
        <v>0</v>
      </c>
      <c r="E52" s="137"/>
      <c r="F52" s="66">
        <f t="shared" si="16"/>
        <v>0</v>
      </c>
      <c r="G52" s="66">
        <f>IF(OR(CAPI_TERM&gt;A52,MONTH(A52)&lt;&gt;PRIN_MATURITY,FIRST_PRIN&gt;A52),0,MAX(0,INT(((((VLOOKUP($A52,Summary!$D$14:$AX$56,COLUMNS(Summary!$D$15:$AX$15))+M52*2)/$V52-H53*2*R52)/(1+B52*R52)+IF($A52=SURPLUS_FUND_RELEASE_DATE,IF(SURPLUS_RELEASE_SIZING="Yes", SURPLUS_FUND_DEPOSIT,0),0)/(1+B52*R52)))/5000)*5000))</f>
        <v>0</v>
      </c>
      <c r="H52" s="66">
        <f t="shared" ca="1" si="8"/>
        <v>104721.875</v>
      </c>
      <c r="I52" s="66">
        <f t="shared" ca="1" si="9"/>
        <v>104721.875</v>
      </c>
      <c r="J52" s="70">
        <f t="shared" si="31"/>
        <v>0</v>
      </c>
      <c r="K52" s="66">
        <f t="shared" ca="1" si="24"/>
        <v>0</v>
      </c>
      <c r="L52" s="85">
        <f t="shared" si="25"/>
        <v>0</v>
      </c>
      <c r="M52" s="85">
        <f t="shared" ca="1" si="26"/>
        <v>6813.1923647280091</v>
      </c>
      <c r="N52" s="66">
        <f t="shared" ca="1" si="13"/>
        <v>97908.682635271995</v>
      </c>
      <c r="O52" s="70">
        <f t="shared" si="27"/>
        <v>0</v>
      </c>
      <c r="P52" s="70">
        <f ca="1">$G$96-SUM($G$11:G52)</f>
        <v>3565000</v>
      </c>
      <c r="R52" s="68">
        <f t="shared" si="32"/>
        <v>0</v>
      </c>
      <c r="T52" s="83">
        <f>IF(ISNA(VLOOKUP($A52,Summary!$C$14:$AX$54,COLUMNS(Summary!$C$15:$AX$15),FALSE))=TRUE,0,VLOOKUP($A52,Summary!$C$14:$AX$56,COLUMNS(Summary!$C$15:$AX$15),FALSE))</f>
        <v>0</v>
      </c>
      <c r="U52" s="84">
        <f>IF(ISERROR(IF(ISNA(VLOOKUP($A52,Summary!$D$14:$AX$54,COLUMNS(Summary!$D$15:$AX$15),FALSE))=TRUE,0,VLOOKUP($A52,Summary!$D$14:$AX$54,COLUMNS(Summary!$D$15:$AX$15),FALSE))/O52),0,IF(ISNA(VLOOKUP($A52,Summary!$D$14:$AX$54,COLUMNS(Summary!$D$15:$AX$15),FALSE))=TRUE,0,VLOOKUP($A52,Summary!$D$14:$AX$54,COLUMNS(Summary!$D$15:$AX$15),FALSE))/O52)</f>
        <v>0</v>
      </c>
      <c r="V52" s="72" t="str">
        <f t="shared" si="33"/>
        <v/>
      </c>
      <c r="X52" s="83">
        <f t="shared" si="28"/>
        <v>0</v>
      </c>
      <c r="Y52" s="83"/>
      <c r="Z52" s="83"/>
    </row>
    <row r="53" spans="1:26" x14ac:dyDescent="0.25">
      <c r="A53" s="67">
        <f t="shared" si="29"/>
        <v>53387</v>
      </c>
      <c r="B53" s="161">
        <f t="shared" si="0"/>
        <v>5.8749999999999997E-2</v>
      </c>
      <c r="C53" s="161">
        <f t="shared" si="12"/>
        <v>5.8749999999999997E-2</v>
      </c>
      <c r="D53" s="68">
        <f t="shared" si="30"/>
        <v>1</v>
      </c>
      <c r="E53" s="137"/>
      <c r="F53" s="66">
        <f t="shared" ca="1" si="16"/>
        <v>0</v>
      </c>
      <c r="G53" s="66">
        <f ca="1">IF(OR(CAPI_TERM&gt;A53,MONTH(A53)&lt;&gt;PRIN_MATURITY,FIRST_PRIN&gt;A53),0,MAX(0,INT(((((VLOOKUP($A53,Summary!$D$14:$AX$56,COLUMNS(Summary!$D$15:$AX$15))+M53*2)/$V53-H54*2*R53)/(1+B53*R53)+IF($A53=SURPLUS_FUND_RELEASE_DATE,IF(SURPLUS_RELEASE_SIZING="Yes", SURPLUS_FUND_DEPOSIT,0),0)/(1+B53*R53)))/5000)*5000))</f>
        <v>250000</v>
      </c>
      <c r="H53" s="66">
        <f t="shared" ca="1" si="8"/>
        <v>104721.875</v>
      </c>
      <c r="I53" s="66">
        <f t="shared" ca="1" si="9"/>
        <v>354721.875</v>
      </c>
      <c r="J53" s="70">
        <f t="shared" ca="1" si="31"/>
        <v>459443.75</v>
      </c>
      <c r="K53" s="66">
        <f t="shared" ca="1" si="24"/>
        <v>0</v>
      </c>
      <c r="L53" s="85">
        <f t="shared" si="25"/>
        <v>0</v>
      </c>
      <c r="M53" s="85">
        <f t="shared" ca="1" si="26"/>
        <v>6813.1923647280091</v>
      </c>
      <c r="N53" s="66">
        <f t="shared" ca="1" si="13"/>
        <v>347908.68263527198</v>
      </c>
      <c r="O53" s="70">
        <f t="shared" ca="1" si="27"/>
        <v>445817.36527054396</v>
      </c>
      <c r="P53" s="70">
        <f ca="1">$G$96-SUM($G$11:G53)</f>
        <v>3315000</v>
      </c>
      <c r="R53" s="68">
        <f t="shared" si="32"/>
        <v>1</v>
      </c>
      <c r="T53" s="83">
        <f ca="1">IF(ISNA(VLOOKUP($A53,Summary!$C$14:$AX$54,COLUMNS(Summary!$C$15:$AX$15),FALSE))=TRUE,0,VLOOKUP($A53,Summary!$C$14:$AX$56,COLUMNS(Summary!$C$15:$AX$15),FALSE))</f>
        <v>590645.94360052655</v>
      </c>
      <c r="U53" s="84">
        <f ca="1">IF(ISERROR(IF(ISNA(VLOOKUP($A53,Summary!$D$14:$AX$54,COLUMNS(Summary!$D$15:$AX$15),FALSE))=TRUE,0,VLOOKUP($A53,Summary!$D$14:$AX$54,COLUMNS(Summary!$D$15:$AX$15),FALSE))/O53),0,IF(ISNA(VLOOKUP($A53,Summary!$D$14:$AX$54,COLUMNS(Summary!$D$15:$AX$15),FALSE))=TRUE,0,VLOOKUP($A53,Summary!$D$14:$AX$54,COLUMNS(Summary!$D$15:$AX$15),FALSE))/O53)</f>
        <v>1.3133712060460647</v>
      </c>
      <c r="V53" s="72">
        <f t="shared" si="33"/>
        <v>1.3</v>
      </c>
      <c r="X53" s="83">
        <f t="shared" ca="1" si="28"/>
        <v>5357638.888888889</v>
      </c>
      <c r="Y53" s="83"/>
      <c r="Z53" s="83"/>
    </row>
    <row r="54" spans="1:26" x14ac:dyDescent="0.25">
      <c r="A54" s="67">
        <f t="shared" si="29"/>
        <v>53571</v>
      </c>
      <c r="B54" s="161">
        <f t="shared" si="0"/>
        <v>0</v>
      </c>
      <c r="C54" s="161">
        <f t="shared" si="12"/>
        <v>0</v>
      </c>
      <c r="D54" s="68">
        <f t="shared" si="30"/>
        <v>0</v>
      </c>
      <c r="E54" s="137"/>
      <c r="F54" s="66">
        <f t="shared" si="16"/>
        <v>0</v>
      </c>
      <c r="G54" s="66">
        <f>IF(OR(CAPI_TERM&gt;A54,MONTH(A54)&lt;&gt;PRIN_MATURITY,FIRST_PRIN&gt;A54),0,MAX(0,INT(((((VLOOKUP($A54,Summary!$D$14:$AX$56,COLUMNS(Summary!$D$15:$AX$15))+M54*2)/$V54-H55*2*R54)/(1+B54*R54)+IF($A54=SURPLUS_FUND_RELEASE_DATE,IF(SURPLUS_RELEASE_SIZING="Yes", SURPLUS_FUND_DEPOSIT,0),0)/(1+B54*R54)))/5000)*5000))</f>
        <v>0</v>
      </c>
      <c r="H54" s="66">
        <f t="shared" ca="1" si="8"/>
        <v>97378.125</v>
      </c>
      <c r="I54" s="66">
        <f t="shared" ca="1" si="9"/>
        <v>97378.125</v>
      </c>
      <c r="J54" s="70">
        <f t="shared" si="31"/>
        <v>0</v>
      </c>
      <c r="K54" s="66">
        <f t="shared" ca="1" si="24"/>
        <v>0</v>
      </c>
      <c r="L54" s="85">
        <f t="shared" si="25"/>
        <v>0</v>
      </c>
      <c r="M54" s="85">
        <f t="shared" ca="1" si="26"/>
        <v>6813.1923647280091</v>
      </c>
      <c r="N54" s="66">
        <f t="shared" ca="1" si="13"/>
        <v>90564.932635271995</v>
      </c>
      <c r="O54" s="70">
        <f t="shared" si="27"/>
        <v>0</v>
      </c>
      <c r="P54" s="70">
        <f ca="1">$G$96-SUM($G$11:G54)</f>
        <v>3315000</v>
      </c>
      <c r="R54" s="68">
        <f t="shared" si="32"/>
        <v>0</v>
      </c>
      <c r="T54" s="83">
        <f>IF(ISNA(VLOOKUP($A54,Summary!$C$14:$AX$54,COLUMNS(Summary!$C$15:$AX$15),FALSE))=TRUE,0,VLOOKUP($A54,Summary!$C$14:$AX$56,COLUMNS(Summary!$C$15:$AX$15),FALSE))</f>
        <v>0</v>
      </c>
      <c r="U54" s="84">
        <f>IF(ISERROR(IF(ISNA(VLOOKUP($A54,Summary!$D$14:$AX$54,COLUMNS(Summary!$D$15:$AX$15),FALSE))=TRUE,0,VLOOKUP($A54,Summary!$D$14:$AX$54,COLUMNS(Summary!$D$15:$AX$15),FALSE))/O54),0,IF(ISNA(VLOOKUP($A54,Summary!$D$14:$AX$54,COLUMNS(Summary!$D$15:$AX$15),FALSE))=TRUE,0,VLOOKUP($A54,Summary!$D$14:$AX$54,COLUMNS(Summary!$D$15:$AX$15),FALSE))/O54)</f>
        <v>0</v>
      </c>
      <c r="V54" s="72" t="str">
        <f t="shared" si="33"/>
        <v/>
      </c>
      <c r="X54" s="83">
        <f t="shared" si="28"/>
        <v>0</v>
      </c>
      <c r="Y54" s="83"/>
      <c r="Z54" s="83"/>
    </row>
    <row r="55" spans="1:26" x14ac:dyDescent="0.25">
      <c r="A55" s="67">
        <f t="shared" si="29"/>
        <v>53752</v>
      </c>
      <c r="B55" s="161">
        <f t="shared" si="0"/>
        <v>5.8749999999999997E-2</v>
      </c>
      <c r="C55" s="161">
        <f t="shared" si="12"/>
        <v>5.8749999999999997E-2</v>
      </c>
      <c r="D55" s="68">
        <f t="shared" si="30"/>
        <v>1</v>
      </c>
      <c r="E55" s="137"/>
      <c r="F55" s="66">
        <f t="shared" ca="1" si="16"/>
        <v>0</v>
      </c>
      <c r="G55" s="66">
        <f ca="1">IF(OR(CAPI_TERM&gt;A55,MONTH(A55)&lt;&gt;PRIN_MATURITY,FIRST_PRIN&gt;A55),0,MAX(0,INT(((((VLOOKUP($A55,Summary!$D$14:$AX$56,COLUMNS(Summary!$D$15:$AX$15))+M55*2)/$V55-H56*2*R55)/(1+B55*R55)+IF($A55=SURPLUS_FUND_RELEASE_DATE,IF(SURPLUS_RELEASE_SIZING="Yes", SURPLUS_FUND_DEPOSIT,0),0)/(1+B55*R55)))/5000)*5000))</f>
        <v>270000</v>
      </c>
      <c r="H55" s="66">
        <f t="shared" ca="1" si="8"/>
        <v>97378.125</v>
      </c>
      <c r="I55" s="66">
        <f t="shared" ca="1" si="9"/>
        <v>367378.125</v>
      </c>
      <c r="J55" s="70">
        <f t="shared" ca="1" si="31"/>
        <v>464756.25</v>
      </c>
      <c r="K55" s="66">
        <f t="shared" ca="1" si="24"/>
        <v>0</v>
      </c>
      <c r="L55" s="85">
        <f t="shared" si="25"/>
        <v>0</v>
      </c>
      <c r="M55" s="85">
        <f t="shared" ca="1" si="26"/>
        <v>6813.1923647280091</v>
      </c>
      <c r="N55" s="66">
        <f t="shared" ca="1" si="13"/>
        <v>360564.93263527198</v>
      </c>
      <c r="O55" s="70">
        <f ca="1">IF($A55=0,0,IF(MONTH($A55)=INT_MATURITY,0,SUM(N54:N55)))-L55</f>
        <v>451129.86527054396</v>
      </c>
      <c r="P55" s="70">
        <f ca="1">$G$96-SUM($G$11:G55)</f>
        <v>3045000</v>
      </c>
      <c r="R55" s="68">
        <f t="shared" si="32"/>
        <v>1</v>
      </c>
      <c r="T55" s="83">
        <f ca="1">IF(ISNA(VLOOKUP($A55,Summary!$C$14:$AX$54,COLUMNS(Summary!$C$15:$AX$15),FALSE))=TRUE,0,VLOOKUP($A55,Summary!$C$14:$AX$56,COLUMNS(Summary!$C$15:$AX$15),FALSE))</f>
        <v>595803.95934822562</v>
      </c>
      <c r="U55" s="84">
        <f ca="1">IF(ISERROR(IF(ISNA(VLOOKUP($A55,Summary!$D$14:$AX$54,COLUMNS(Summary!$D$15:$AX$15),FALSE))=TRUE,0,VLOOKUP($A55,Summary!$D$14:$AX$54,COLUMNS(Summary!$D$15:$AX$15),FALSE))/O55),0,IF(ISNA(VLOOKUP($A55,Summary!$D$14:$AX$54,COLUMNS(Summary!$D$15:$AX$15),FALSE))=TRUE,0,VLOOKUP($A55,Summary!$D$14:$AX$54,COLUMNS(Summary!$D$15:$AX$15),FALSE))/O55)</f>
        <v>1.3092592379055072</v>
      </c>
      <c r="V55" s="72">
        <f t="shared" si="33"/>
        <v>1.3</v>
      </c>
      <c r="X55" s="83">
        <f t="shared" ca="1" si="28"/>
        <v>6056250</v>
      </c>
      <c r="Y55" s="83"/>
      <c r="Z55" s="83"/>
    </row>
    <row r="56" spans="1:26" x14ac:dyDescent="0.25">
      <c r="A56" s="67">
        <f t="shared" si="29"/>
        <v>53936</v>
      </c>
      <c r="B56" s="161">
        <f t="shared" si="0"/>
        <v>0</v>
      </c>
      <c r="C56" s="161">
        <f t="shared" si="12"/>
        <v>0</v>
      </c>
      <c r="D56" s="68">
        <f t="shared" si="30"/>
        <v>0</v>
      </c>
      <c r="E56" s="137"/>
      <c r="F56" s="66">
        <f t="shared" si="16"/>
        <v>0</v>
      </c>
      <c r="G56" s="66">
        <f>IF(OR(CAPI_TERM&gt;A56,MONTH(A56)&lt;&gt;PRIN_MATURITY,FIRST_PRIN&gt;A56),0,MAX(0,INT(((((VLOOKUP($A56,Summary!$D$14:$AX$56,COLUMNS(Summary!$D$15:$AX$15))+M56*2)/$V56-H57*2*R56)/(1+B56*R56)+IF($A56=SURPLUS_FUND_RELEASE_DATE,IF(SURPLUS_RELEASE_SIZING="Yes", SURPLUS_FUND_DEPOSIT,0),0)/(1+B56*R56)))/5000)*5000))</f>
        <v>0</v>
      </c>
      <c r="H56" s="66">
        <f t="shared" ca="1" si="8"/>
        <v>89446.875</v>
      </c>
      <c r="I56" s="66">
        <f t="shared" ca="1" si="9"/>
        <v>89446.875</v>
      </c>
      <c r="J56" s="70">
        <f t="shared" si="31"/>
        <v>0</v>
      </c>
      <c r="K56" s="66">
        <f t="shared" ca="1" si="24"/>
        <v>0</v>
      </c>
      <c r="L56" s="85">
        <f t="shared" si="25"/>
        <v>0</v>
      </c>
      <c r="M56" s="85">
        <f t="shared" ca="1" si="26"/>
        <v>6813.1923647280091</v>
      </c>
      <c r="N56" s="66">
        <f t="shared" ca="1" si="13"/>
        <v>82633.682635271995</v>
      </c>
      <c r="O56" s="70">
        <f t="shared" si="27"/>
        <v>0</v>
      </c>
      <c r="P56" s="70">
        <f ca="1">$G$96-SUM($G$11:G56)</f>
        <v>3045000</v>
      </c>
      <c r="R56" s="68">
        <f t="shared" si="32"/>
        <v>0</v>
      </c>
      <c r="T56" s="83">
        <f>IF(ISNA(VLOOKUP($A56,Summary!$C$14:$AX$54,COLUMNS(Summary!$C$15:$AX$15),FALSE))=TRUE,0,VLOOKUP($A56,Summary!$C$14:$AX$56,COLUMNS(Summary!$C$15:$AX$15),FALSE))</f>
        <v>0</v>
      </c>
      <c r="U56" s="84">
        <f>IF(ISERROR(IF(ISNA(VLOOKUP($A56,Summary!$D$14:$AX$54,COLUMNS(Summary!$D$15:$AX$15),FALSE))=TRUE,0,VLOOKUP($A56,Summary!$D$14:$AX$54,COLUMNS(Summary!$D$15:$AX$15),FALSE))/O56),0,IF(ISNA(VLOOKUP($A56,Summary!$D$14:$AX$54,COLUMNS(Summary!$D$15:$AX$15),FALSE))=TRUE,0,VLOOKUP($A56,Summary!$D$14:$AX$54,COLUMNS(Summary!$D$15:$AX$15),FALSE))/O56)</f>
        <v>0</v>
      </c>
      <c r="V56" s="72" t="str">
        <f t="shared" si="33"/>
        <v/>
      </c>
      <c r="X56" s="83">
        <f t="shared" si="28"/>
        <v>0</v>
      </c>
      <c r="Y56" s="83"/>
      <c r="Z56" s="83"/>
    </row>
    <row r="57" spans="1:26" x14ac:dyDescent="0.25">
      <c r="A57" s="67">
        <f t="shared" si="29"/>
        <v>54118</v>
      </c>
      <c r="B57" s="161">
        <f t="shared" si="0"/>
        <v>5.8749999999999997E-2</v>
      </c>
      <c r="C57" s="161">
        <f t="shared" si="12"/>
        <v>5.8749999999999997E-2</v>
      </c>
      <c r="D57" s="68">
        <f t="shared" si="30"/>
        <v>1</v>
      </c>
      <c r="E57" s="137"/>
      <c r="F57" s="66">
        <f t="shared" ca="1" si="16"/>
        <v>0</v>
      </c>
      <c r="G57" s="66">
        <f ca="1">IF(OR(CAPI_TERM&gt;A57,MONTH(A57)&lt;&gt;PRIN_MATURITY,FIRST_PRIN&gt;A57),0,MAX(0,INT(((((VLOOKUP($A57,Summary!$D$14:$AX$56,COLUMNS(Summary!$D$15:$AX$15))+M57*2)/$V57-H58*2*R57)/(1+B57*R57)+IF($A57=SURPLUS_FUND_RELEASE_DATE,IF(SURPLUS_RELEASE_SIZING="Yes", SURPLUS_FUND_DEPOSIT,0),0)/(1+B57*R57)))/5000)*5000))</f>
        <v>285000</v>
      </c>
      <c r="H57" s="66">
        <f t="shared" ca="1" si="8"/>
        <v>89446.875</v>
      </c>
      <c r="I57" s="66">
        <f t="shared" ca="1" si="9"/>
        <v>374446.875</v>
      </c>
      <c r="J57" s="70">
        <f t="shared" ca="1" si="31"/>
        <v>463893.75</v>
      </c>
      <c r="K57" s="66">
        <f t="shared" ca="1" si="24"/>
        <v>0</v>
      </c>
      <c r="L57" s="85">
        <f t="shared" si="25"/>
        <v>0</v>
      </c>
      <c r="M57" s="85">
        <f t="shared" ca="1" si="26"/>
        <v>6813.1923647280091</v>
      </c>
      <c r="N57" s="66">
        <f t="shared" ca="1" si="13"/>
        <v>367633.68263527198</v>
      </c>
      <c r="O57" s="70">
        <f t="shared" ca="1" si="27"/>
        <v>450267.36527054396</v>
      </c>
      <c r="P57" s="70">
        <f ca="1">$G$96-SUM($G$11:G57)</f>
        <v>2760000</v>
      </c>
      <c r="R57" s="68">
        <f t="shared" si="32"/>
        <v>1</v>
      </c>
      <c r="T57" s="83">
        <f ca="1">IF(ISNA(VLOOKUP($A57,Summary!$C$14:$AX$54,COLUMNS(Summary!$C$15:$AX$15),FALSE))=TRUE,0,VLOOKUP($A57,Summary!$C$14:$AX$56,COLUMNS(Summary!$C$15:$AX$15),FALSE))</f>
        <v>600997.78637963592</v>
      </c>
      <c r="U57" s="84">
        <f ca="1">IF(ISERROR(IF(ISNA(VLOOKUP($A57,Summary!$D$14:$AX$54,COLUMNS(Summary!$D$15:$AX$15),FALSE))=TRUE,0,VLOOKUP($A57,Summary!$D$14:$AX$54,COLUMNS(Summary!$D$15:$AX$15),FALSE))/O57),0,IF(ISNA(VLOOKUP($A57,Summary!$D$14:$AX$54,COLUMNS(Summary!$D$15:$AX$15),FALSE))=TRUE,0,VLOOKUP($A57,Summary!$D$14:$AX$54,COLUMNS(Summary!$D$15:$AX$15),FALSE))/O57)</f>
        <v>1.3232226123921633</v>
      </c>
      <c r="V57" s="72">
        <f t="shared" si="33"/>
        <v>1.3</v>
      </c>
      <c r="X57" s="83">
        <f t="shared" ca="1" si="28"/>
        <v>6677708.333333333</v>
      </c>
      <c r="Y57" s="83"/>
      <c r="Z57" s="83"/>
    </row>
    <row r="58" spans="1:26" x14ac:dyDescent="0.25">
      <c r="A58" s="67">
        <f t="shared" si="29"/>
        <v>54302</v>
      </c>
      <c r="B58" s="161">
        <f t="shared" si="0"/>
        <v>0</v>
      </c>
      <c r="C58" s="161">
        <f t="shared" si="12"/>
        <v>0</v>
      </c>
      <c r="D58" s="68">
        <f t="shared" si="30"/>
        <v>0</v>
      </c>
      <c r="E58" s="137"/>
      <c r="F58" s="66">
        <f t="shared" si="16"/>
        <v>0</v>
      </c>
      <c r="G58" s="66">
        <f>IF(OR(CAPI_TERM&gt;A58,MONTH(A58)&lt;&gt;PRIN_MATURITY,FIRST_PRIN&gt;A58),0,MAX(0,INT(((((VLOOKUP($A58,Summary!$D$14:$AX$56,COLUMNS(Summary!$D$15:$AX$15))+M58*2)/$V58-H59*2*R58)/(1+B58*R58)+IF($A58=SURPLUS_FUND_RELEASE_DATE,IF(SURPLUS_RELEASE_SIZING="Yes", SURPLUS_FUND_DEPOSIT,0),0)/(1+B58*R58)))/5000)*5000))</f>
        <v>0</v>
      </c>
      <c r="H58" s="66">
        <f t="shared" ca="1" si="8"/>
        <v>81075</v>
      </c>
      <c r="I58" s="66">
        <f t="shared" ca="1" si="9"/>
        <v>81075</v>
      </c>
      <c r="J58" s="70">
        <f t="shared" si="31"/>
        <v>0</v>
      </c>
      <c r="K58" s="66">
        <f t="shared" ca="1" si="24"/>
        <v>0</v>
      </c>
      <c r="L58" s="85">
        <f t="shared" si="25"/>
        <v>0</v>
      </c>
      <c r="M58" s="85">
        <f t="shared" ca="1" si="26"/>
        <v>6813.1923647280091</v>
      </c>
      <c r="N58" s="66">
        <f t="shared" ca="1" si="13"/>
        <v>74261.807635271995</v>
      </c>
      <c r="O58" s="70">
        <f t="shared" si="27"/>
        <v>0</v>
      </c>
      <c r="P58" s="70">
        <f ca="1">$G$96-SUM($G$11:G58)</f>
        <v>2760000</v>
      </c>
      <c r="R58" s="68">
        <f t="shared" si="32"/>
        <v>0</v>
      </c>
      <c r="T58" s="83">
        <f>IF(ISNA(VLOOKUP($A58,Summary!$C$14:$AX$54,COLUMNS(Summary!$C$15:$AX$15),FALSE))=TRUE,0,VLOOKUP($A58,Summary!$C$14:$AX$56,COLUMNS(Summary!$C$15:$AX$15),FALSE))</f>
        <v>0</v>
      </c>
      <c r="U58" s="84">
        <f>IF(ISERROR(IF(ISNA(VLOOKUP($A58,Summary!$D$14:$AX$54,COLUMNS(Summary!$D$15:$AX$15),FALSE))=TRUE,0,VLOOKUP($A58,Summary!$D$14:$AX$54,COLUMNS(Summary!$D$15:$AX$15),FALSE))/O58),0,IF(ISNA(VLOOKUP($A58,Summary!$D$14:$AX$54,COLUMNS(Summary!$D$15:$AX$15),FALSE))=TRUE,0,VLOOKUP($A58,Summary!$D$14:$AX$54,COLUMNS(Summary!$D$15:$AX$15),FALSE))/O58)</f>
        <v>0</v>
      </c>
      <c r="V58" s="72" t="str">
        <f t="shared" si="33"/>
        <v/>
      </c>
      <c r="X58" s="83">
        <f t="shared" si="28"/>
        <v>0</v>
      </c>
      <c r="Y58" s="83"/>
      <c r="Z58" s="83"/>
    </row>
    <row r="59" spans="1:26" x14ac:dyDescent="0.25">
      <c r="A59" s="67">
        <f t="shared" si="29"/>
        <v>54483</v>
      </c>
      <c r="B59" s="161">
        <f t="shared" si="0"/>
        <v>5.8749999999999997E-2</v>
      </c>
      <c r="C59" s="161">
        <f t="shared" si="12"/>
        <v>5.8749999999999997E-2</v>
      </c>
      <c r="D59" s="68">
        <f t="shared" si="30"/>
        <v>1</v>
      </c>
      <c r="E59" s="137"/>
      <c r="F59" s="66">
        <f t="shared" ca="1" si="16"/>
        <v>0</v>
      </c>
      <c r="G59" s="66">
        <f ca="1">IF(OR(CAPI_TERM&gt;A59,MONTH(A59)&lt;&gt;PRIN_MATURITY,FIRST_PRIN&gt;A59),0,MAX(0,INT(((((VLOOKUP($A59,Summary!$D$14:$AX$56,COLUMNS(Summary!$D$15:$AX$15))+M59*2)/$V59-H60*2*R59)/(1+B59*R59)+IF($A59=SURPLUS_FUND_RELEASE_DATE,IF(SURPLUS_RELEASE_SIZING="Yes", SURPLUS_FUND_DEPOSIT,0),0)/(1+B59*R59)))/5000)*5000))</f>
        <v>310000</v>
      </c>
      <c r="H59" s="66">
        <f t="shared" ca="1" si="8"/>
        <v>81075</v>
      </c>
      <c r="I59" s="66">
        <f t="shared" ca="1" si="9"/>
        <v>391075</v>
      </c>
      <c r="J59" s="70">
        <f t="shared" ca="1" si="31"/>
        <v>472150</v>
      </c>
      <c r="K59" s="66">
        <f t="shared" ca="1" si="24"/>
        <v>0</v>
      </c>
      <c r="L59" s="85">
        <f t="shared" si="25"/>
        <v>0</v>
      </c>
      <c r="M59" s="85">
        <f t="shared" ca="1" si="26"/>
        <v>6813.1923647280091</v>
      </c>
      <c r="N59" s="66">
        <f t="shared" ca="1" si="13"/>
        <v>384261.80763527198</v>
      </c>
      <c r="O59" s="70">
        <f t="shared" ca="1" si="27"/>
        <v>458523.61527054396</v>
      </c>
      <c r="P59" s="70">
        <f ca="1">$G$96-SUM($G$11:G59)</f>
        <v>2450000</v>
      </c>
      <c r="R59" s="68">
        <f t="shared" si="32"/>
        <v>1</v>
      </c>
      <c r="T59" s="83">
        <f ca="1">IF(ISNA(VLOOKUP($A59,Summary!$C$14:$AX$54,COLUMNS(Summary!$C$15:$AX$15),FALSE))=TRUE,0,VLOOKUP($A59,Summary!$C$14:$AX$56,COLUMNS(Summary!$C$15:$AX$15),FALSE))</f>
        <v>606227.46743011859</v>
      </c>
      <c r="U59" s="84">
        <f ca="1">IF(ISERROR(IF(ISNA(VLOOKUP($A59,Summary!$D$14:$AX$54,COLUMNS(Summary!$D$15:$AX$15),FALSE))=TRUE,0,VLOOKUP($A59,Summary!$D$14:$AX$54,COLUMNS(Summary!$D$15:$AX$15),FALSE))/O59),0,IF(ISNA(VLOOKUP($A59,Summary!$D$14:$AX$54,COLUMNS(Summary!$D$15:$AX$15),FALSE))=TRUE,0,VLOOKUP($A59,Summary!$D$14:$AX$54,COLUMNS(Summary!$D$15:$AX$15),FALSE))/O59)</f>
        <v>1.3107237367153435</v>
      </c>
      <c r="V59" s="72">
        <f t="shared" si="33"/>
        <v>1.3</v>
      </c>
      <c r="X59" s="83">
        <f t="shared" ca="1" si="28"/>
        <v>7573472.222222222</v>
      </c>
      <c r="Y59" s="83"/>
      <c r="Z59" s="83"/>
    </row>
    <row r="60" spans="1:26" x14ac:dyDescent="0.25">
      <c r="A60" s="67">
        <f t="shared" si="29"/>
        <v>54667</v>
      </c>
      <c r="B60" s="161">
        <f t="shared" si="0"/>
        <v>0</v>
      </c>
      <c r="C60" s="161">
        <f t="shared" si="12"/>
        <v>0</v>
      </c>
      <c r="D60" s="68">
        <f t="shared" si="30"/>
        <v>0</v>
      </c>
      <c r="E60" s="137"/>
      <c r="F60" s="66">
        <f t="shared" si="16"/>
        <v>0</v>
      </c>
      <c r="G60" s="66">
        <f>IF(OR(CAPI_TERM&gt;A60,MONTH(A60)&lt;&gt;PRIN_MATURITY,FIRST_PRIN&gt;A60),0,MAX(0,INT(((((VLOOKUP($A60,Summary!$D$14:$AX$56,COLUMNS(Summary!$D$15:$AX$15))+M60*2)/$V60-H61*2*R60)/(1+B60*R60)+IF($A60=SURPLUS_FUND_RELEASE_DATE,IF(SURPLUS_RELEASE_SIZING="Yes", SURPLUS_FUND_DEPOSIT,0),0)/(1+B60*R60)))/5000)*5000))</f>
        <v>0</v>
      </c>
      <c r="H60" s="66">
        <f t="shared" ca="1" si="8"/>
        <v>71968.75</v>
      </c>
      <c r="I60" s="66">
        <f t="shared" ca="1" si="9"/>
        <v>71968.75</v>
      </c>
      <c r="J60" s="70">
        <f t="shared" si="31"/>
        <v>0</v>
      </c>
      <c r="K60" s="66">
        <f t="shared" ca="1" si="24"/>
        <v>0</v>
      </c>
      <c r="L60" s="85">
        <f t="shared" si="25"/>
        <v>0</v>
      </c>
      <c r="M60" s="85">
        <f t="shared" ca="1" si="26"/>
        <v>6813.1923647280091</v>
      </c>
      <c r="N60" s="66">
        <f t="shared" ca="1" si="13"/>
        <v>65155.557635271995</v>
      </c>
      <c r="O60" s="70">
        <f t="shared" si="27"/>
        <v>0</v>
      </c>
      <c r="P60" s="70">
        <f ca="1">$G$96-SUM($G$11:G60)</f>
        <v>2450000</v>
      </c>
      <c r="R60" s="68">
        <f t="shared" si="32"/>
        <v>0</v>
      </c>
      <c r="T60" s="83">
        <f>IF(ISNA(VLOOKUP($A60,Summary!$C$14:$AX$54,COLUMNS(Summary!$C$15:$AX$15),FALSE))=TRUE,0,VLOOKUP($A60,Summary!$C$14:$AX$56,COLUMNS(Summary!$C$15:$AX$15),FALSE))</f>
        <v>0</v>
      </c>
      <c r="U60" s="84">
        <f>IF(ISERROR(IF(ISNA(VLOOKUP($A60,Summary!$D$14:$AX$54,COLUMNS(Summary!$D$15:$AX$15),FALSE))=TRUE,0,VLOOKUP($A60,Summary!$D$14:$AX$54,COLUMNS(Summary!$D$15:$AX$15),FALSE))/O60),0,IF(ISNA(VLOOKUP($A60,Summary!$D$14:$AX$54,COLUMNS(Summary!$D$15:$AX$15),FALSE))=TRUE,0,VLOOKUP($A60,Summary!$D$14:$AX$54,COLUMNS(Summary!$D$15:$AX$15),FALSE))/O60)</f>
        <v>0</v>
      </c>
      <c r="V60" s="72" t="str">
        <f t="shared" si="33"/>
        <v/>
      </c>
      <c r="X60" s="83">
        <f t="shared" si="28"/>
        <v>0</v>
      </c>
      <c r="Y60" s="83"/>
      <c r="Z60" s="83"/>
    </row>
    <row r="61" spans="1:26" x14ac:dyDescent="0.25">
      <c r="A61" s="67">
        <f t="shared" si="29"/>
        <v>54848</v>
      </c>
      <c r="B61" s="161">
        <f t="shared" si="0"/>
        <v>5.8749999999999997E-2</v>
      </c>
      <c r="C61" s="161">
        <f t="shared" si="12"/>
        <v>5.8749999999999997E-2</v>
      </c>
      <c r="D61" s="68">
        <f t="shared" si="30"/>
        <v>1</v>
      </c>
      <c r="E61" s="137"/>
      <c r="F61" s="66">
        <f t="shared" ca="1" si="16"/>
        <v>0</v>
      </c>
      <c r="G61" s="66">
        <f ca="1">IF(OR(CAPI_TERM&gt;A61,MONTH(A61)&lt;&gt;PRIN_MATURITY,FIRST_PRIN&gt;A61),0,MAX(0,INT(((((VLOOKUP($A61,Summary!$D$14:$AX$56,COLUMNS(Summary!$D$15:$AX$15))+M61*2)/$V61-H62*2*R61)/(1+B61*R61)+IF($A61=SURPLUS_FUND_RELEASE_DATE,IF(SURPLUS_RELEASE_SIZING="Yes", SURPLUS_FUND_DEPOSIT,0),0)/(1+B61*R61)))/5000)*5000))</f>
        <v>330000</v>
      </c>
      <c r="H61" s="66">
        <f t="shared" ca="1" si="8"/>
        <v>71968.75</v>
      </c>
      <c r="I61" s="66">
        <f t="shared" ca="1" si="9"/>
        <v>401968.75</v>
      </c>
      <c r="J61" s="70">
        <f t="shared" ca="1" si="31"/>
        <v>473937.5</v>
      </c>
      <c r="K61" s="66">
        <f t="shared" ca="1" si="24"/>
        <v>0</v>
      </c>
      <c r="L61" s="85">
        <f t="shared" si="25"/>
        <v>0</v>
      </c>
      <c r="M61" s="85">
        <f t="shared" ca="1" si="26"/>
        <v>6813.1923647280091</v>
      </c>
      <c r="N61" s="66">
        <f t="shared" ca="1" si="13"/>
        <v>395155.55763527198</v>
      </c>
      <c r="O61" s="70">
        <f t="shared" ca="1" si="27"/>
        <v>460311.11527054396</v>
      </c>
      <c r="P61" s="70">
        <f ca="1">$G$96-SUM($G$11:G61)</f>
        <v>2120000</v>
      </c>
      <c r="R61" s="68">
        <f t="shared" si="32"/>
        <v>1</v>
      </c>
      <c r="T61" s="83">
        <f ca="1">IF(ISNA(VLOOKUP($A61,Summary!$C$14:$AX$54,COLUMNS(Summary!$C$15:$AX$15),FALSE))=TRUE,0,VLOOKUP($A61,Summary!$C$14:$AX$56,COLUMNS(Summary!$C$15:$AX$15),FALSE))</f>
        <v>611493.0393548396</v>
      </c>
      <c r="U61" s="84">
        <f ca="1">IF(ISERROR(IF(ISNA(VLOOKUP($A61,Summary!$D$14:$AX$54,COLUMNS(Summary!$D$15:$AX$15),FALSE))=TRUE,0,VLOOKUP($A61,Summary!$D$14:$AX$54,COLUMNS(Summary!$D$15:$AX$15),FALSE))/O61),0,IF(ISNA(VLOOKUP($A61,Summary!$D$14:$AX$54,COLUMNS(Summary!$D$15:$AX$15),FALSE))=TRUE,0,VLOOKUP($A61,Summary!$D$14:$AX$54,COLUMNS(Summary!$D$15:$AX$15),FALSE))/O61)</f>
        <v>1.3169950655521614</v>
      </c>
      <c r="V61" s="72">
        <f t="shared" si="33"/>
        <v>1.3</v>
      </c>
      <c r="X61" s="83">
        <f t="shared" ca="1" si="28"/>
        <v>8392083.333333334</v>
      </c>
      <c r="Y61" s="83"/>
      <c r="Z61" s="83"/>
    </row>
    <row r="62" spans="1:26" x14ac:dyDescent="0.25">
      <c r="A62" s="67">
        <f t="shared" si="29"/>
        <v>55032</v>
      </c>
      <c r="B62" s="161">
        <f t="shared" si="0"/>
        <v>0</v>
      </c>
      <c r="C62" s="161">
        <f t="shared" si="12"/>
        <v>0</v>
      </c>
      <c r="D62" s="68">
        <f t="shared" si="30"/>
        <v>0</v>
      </c>
      <c r="E62" s="137"/>
      <c r="F62" s="66">
        <f t="shared" si="16"/>
        <v>0</v>
      </c>
      <c r="G62" s="66">
        <f>IF(OR(CAPI_TERM&gt;A62,MONTH(A62)&lt;&gt;PRIN_MATURITY,FIRST_PRIN&gt;A62),0,MAX(0,INT(((((VLOOKUP($A62,Summary!$D$14:$AX$56,COLUMNS(Summary!$D$15:$AX$15))+M62*2)/$V62-H63*2*R62)/(1+B62*R62)+IF($A62=SURPLUS_FUND_RELEASE_DATE,IF(SURPLUS_RELEASE_SIZING="Yes", SURPLUS_FUND_DEPOSIT,0),0)/(1+B62*R62)))/5000)*5000))</f>
        <v>0</v>
      </c>
      <c r="H62" s="66">
        <f t="shared" ca="1" si="8"/>
        <v>62275</v>
      </c>
      <c r="I62" s="66">
        <f t="shared" ca="1" si="9"/>
        <v>62275</v>
      </c>
      <c r="J62" s="70">
        <f t="shared" si="31"/>
        <v>0</v>
      </c>
      <c r="K62" s="66">
        <f t="shared" ca="1" si="24"/>
        <v>0</v>
      </c>
      <c r="L62" s="85">
        <f t="shared" si="25"/>
        <v>0</v>
      </c>
      <c r="M62" s="85">
        <f t="shared" ca="1" si="26"/>
        <v>6813.1923647280091</v>
      </c>
      <c r="N62" s="66">
        <f t="shared" ca="1" si="13"/>
        <v>55461.807635271995</v>
      </c>
      <c r="O62" s="70">
        <f t="shared" si="27"/>
        <v>0</v>
      </c>
      <c r="P62" s="70">
        <f ca="1">$G$96-SUM($G$11:G62)</f>
        <v>2120000</v>
      </c>
      <c r="R62" s="68">
        <f t="shared" si="32"/>
        <v>0</v>
      </c>
      <c r="T62" s="83">
        <f>IF(ISNA(VLOOKUP($A62,Summary!$C$14:$AX$54,COLUMNS(Summary!$C$15:$AX$15),FALSE))=TRUE,0,VLOOKUP($A62,Summary!$C$14:$AX$56,COLUMNS(Summary!$C$15:$AX$15),FALSE))</f>
        <v>0</v>
      </c>
      <c r="U62" s="84">
        <f>IF(ISERROR(IF(ISNA(VLOOKUP($A62,Summary!$D$14:$AX$54,COLUMNS(Summary!$D$15:$AX$15),FALSE))=TRUE,0,VLOOKUP($A62,Summary!$D$14:$AX$54,COLUMNS(Summary!$D$15:$AX$15),FALSE))/O62),0,IF(ISNA(VLOOKUP($A62,Summary!$D$14:$AX$54,COLUMNS(Summary!$D$15:$AX$15),FALSE))=TRUE,0,VLOOKUP($A62,Summary!$D$14:$AX$54,COLUMNS(Summary!$D$15:$AX$15),FALSE))/O62)</f>
        <v>0</v>
      </c>
      <c r="V62" s="72" t="str">
        <f t="shared" si="33"/>
        <v/>
      </c>
      <c r="X62" s="83">
        <f t="shared" si="28"/>
        <v>0</v>
      </c>
      <c r="Y62" s="83"/>
      <c r="Z62" s="83"/>
    </row>
    <row r="63" spans="1:26" x14ac:dyDescent="0.25">
      <c r="A63" s="67">
        <f t="shared" si="29"/>
        <v>55213</v>
      </c>
      <c r="B63" s="161">
        <f t="shared" si="0"/>
        <v>5.8749999999999997E-2</v>
      </c>
      <c r="C63" s="161">
        <f t="shared" si="12"/>
        <v>5.8749999999999997E-2</v>
      </c>
      <c r="D63" s="68">
        <f t="shared" si="30"/>
        <v>1</v>
      </c>
      <c r="E63" s="137"/>
      <c r="F63" s="66">
        <f t="shared" ca="1" si="16"/>
        <v>0</v>
      </c>
      <c r="G63" s="66">
        <f ca="1">IF(OR(CAPI_TERM&gt;A63,MONTH(A63)&lt;&gt;PRIN_MATURITY,FIRST_PRIN&gt;A63),0,MAX(0,INT(((((VLOOKUP($A63,Summary!$D$14:$AX$56,COLUMNS(Summary!$D$15:$AX$15))+M63*2)/$V63-H64*2*R63)/(1+B63*R63)+IF($A63=SURPLUS_FUND_RELEASE_DATE,IF(SURPLUS_RELEASE_SIZING="Yes", SURPLUS_FUND_DEPOSIT,0),0)/(1+B63*R63)))/5000)*5000))</f>
        <v>355000</v>
      </c>
      <c r="H63" s="66">
        <f t="shared" ca="1" si="8"/>
        <v>62275</v>
      </c>
      <c r="I63" s="66">
        <f t="shared" ca="1" si="9"/>
        <v>417275</v>
      </c>
      <c r="J63" s="70">
        <f t="shared" ca="1" si="31"/>
        <v>479550</v>
      </c>
      <c r="K63" s="66">
        <f t="shared" ca="1" si="24"/>
        <v>0</v>
      </c>
      <c r="L63" s="85">
        <f t="shared" si="25"/>
        <v>0</v>
      </c>
      <c r="M63" s="85">
        <f t="shared" ca="1" si="26"/>
        <v>6813.1923647280091</v>
      </c>
      <c r="N63" s="66">
        <f t="shared" ca="1" si="13"/>
        <v>410461.80763527198</v>
      </c>
      <c r="O63" s="70">
        <f t="shared" ca="1" si="27"/>
        <v>465923.61527054396</v>
      </c>
      <c r="P63" s="70">
        <f ca="1">$G$96-SUM($G$11:G63)</f>
        <v>1765000</v>
      </c>
      <c r="R63" s="68">
        <f t="shared" si="32"/>
        <v>1</v>
      </c>
      <c r="T63" s="83">
        <f ca="1">IF(ISNA(VLOOKUP($A63,Summary!$C$14:$AX$54,COLUMNS(Summary!$C$15:$AX$15),FALSE))=TRUE,0,VLOOKUP($A63,Summary!$C$14:$AX$56,COLUMNS(Summary!$C$15:$AX$15),FALSE))</f>
        <v>616794.53294381662</v>
      </c>
      <c r="U63" s="84">
        <f ca="1">IF(ISERROR(IF(ISNA(VLOOKUP($A63,Summary!$D$14:$AX$54,COLUMNS(Summary!$D$15:$AX$15),FALSE))=TRUE,0,VLOOKUP($A63,Summary!$D$14:$AX$54,COLUMNS(Summary!$D$15:$AX$15),FALSE))/O63),0,IF(ISNA(VLOOKUP($A63,Summary!$D$14:$AX$54,COLUMNS(Summary!$D$15:$AX$15),FALSE))=TRUE,0,VLOOKUP($A63,Summary!$D$14:$AX$54,COLUMNS(Summary!$D$15:$AX$15),FALSE))/O63)</f>
        <v>1.3124319508891367</v>
      </c>
      <c r="V63" s="72">
        <f t="shared" si="33"/>
        <v>1.3</v>
      </c>
      <c r="X63" s="83">
        <f t="shared" ca="1" si="28"/>
        <v>9382847.222222222</v>
      </c>
      <c r="Y63" s="83"/>
      <c r="Z63" s="83"/>
    </row>
    <row r="64" spans="1:26" x14ac:dyDescent="0.25">
      <c r="A64" s="67">
        <f t="shared" si="29"/>
        <v>55397</v>
      </c>
      <c r="B64" s="161">
        <f t="shared" si="0"/>
        <v>0</v>
      </c>
      <c r="C64" s="161">
        <f t="shared" si="12"/>
        <v>0</v>
      </c>
      <c r="D64" s="68">
        <f t="shared" si="30"/>
        <v>0</v>
      </c>
      <c r="E64" s="137"/>
      <c r="F64" s="66">
        <f t="shared" si="16"/>
        <v>0</v>
      </c>
      <c r="G64" s="66">
        <f>IF(OR(CAPI_TERM&gt;A64,MONTH(A64)&lt;&gt;PRIN_MATURITY,FIRST_PRIN&gt;A64),0,MAX(0,INT(((((VLOOKUP($A64,Summary!$D$14:$AX$56,COLUMNS(Summary!$D$15:$AX$15))+M64*2)/$V64-H65*2*R64)/(1+B64*R64)+IF($A64=SURPLUS_FUND_RELEASE_DATE,IF(SURPLUS_RELEASE_SIZING="Yes", SURPLUS_FUND_DEPOSIT,0),0)/(1+B64*R64)))/5000)*5000))</f>
        <v>0</v>
      </c>
      <c r="H64" s="66">
        <f t="shared" ca="1" si="8"/>
        <v>51846.875</v>
      </c>
      <c r="I64" s="66">
        <f t="shared" ca="1" si="9"/>
        <v>51846.875</v>
      </c>
      <c r="J64" s="70">
        <f t="shared" si="31"/>
        <v>0</v>
      </c>
      <c r="K64" s="66">
        <f t="shared" ca="1" si="24"/>
        <v>0</v>
      </c>
      <c r="L64" s="85">
        <f t="shared" si="25"/>
        <v>0</v>
      </c>
      <c r="M64" s="85">
        <f t="shared" ca="1" si="26"/>
        <v>6813.1923647280091</v>
      </c>
      <c r="N64" s="66">
        <f t="shared" ca="1" si="13"/>
        <v>45033.682635271995</v>
      </c>
      <c r="O64" s="70">
        <f t="shared" si="27"/>
        <v>0</v>
      </c>
      <c r="P64" s="70">
        <f ca="1">$G$96-SUM($G$11:G64)</f>
        <v>1765000</v>
      </c>
      <c r="R64" s="68">
        <f t="shared" si="32"/>
        <v>0</v>
      </c>
      <c r="T64" s="83">
        <f>IF(ISNA(VLOOKUP($A64,Summary!$C$14:$AX$54,COLUMNS(Summary!$C$15:$AX$15),FALSE))=TRUE,0,VLOOKUP($A64,Summary!$C$14:$AX$56,COLUMNS(Summary!$C$15:$AX$15),FALSE))</f>
        <v>0</v>
      </c>
      <c r="U64" s="84">
        <f>IF(ISERROR(IF(ISNA(VLOOKUP($A64,Summary!$D$14:$AX$54,COLUMNS(Summary!$D$15:$AX$15),FALSE))=TRUE,0,VLOOKUP($A64,Summary!$D$14:$AX$54,COLUMNS(Summary!$D$15:$AX$15),FALSE))/O64),0,IF(ISNA(VLOOKUP($A64,Summary!$D$14:$AX$54,COLUMNS(Summary!$D$15:$AX$15),FALSE))=TRUE,0,VLOOKUP($A64,Summary!$D$14:$AX$54,COLUMNS(Summary!$D$15:$AX$15),FALSE))/O64)</f>
        <v>0</v>
      </c>
      <c r="V64" s="72" t="str">
        <f t="shared" si="33"/>
        <v/>
      </c>
      <c r="X64" s="83">
        <f t="shared" si="28"/>
        <v>0</v>
      </c>
      <c r="Y64" s="83"/>
      <c r="Z64" s="83"/>
    </row>
    <row r="65" spans="1:26" x14ac:dyDescent="0.25">
      <c r="A65" s="67">
        <f t="shared" si="29"/>
        <v>55579</v>
      </c>
      <c r="B65" s="161">
        <f t="shared" si="0"/>
        <v>5.8749999999999997E-2</v>
      </c>
      <c r="C65" s="161">
        <f t="shared" si="12"/>
        <v>5.8749999999999997E-2</v>
      </c>
      <c r="D65" s="68">
        <f t="shared" si="30"/>
        <v>1</v>
      </c>
      <c r="E65" s="137"/>
      <c r="F65" s="66">
        <f t="shared" ca="1" si="16"/>
        <v>0</v>
      </c>
      <c r="G65" s="66">
        <f ca="1">IF(OR(CAPI_TERM&gt;A65,MONTH(A65)&lt;&gt;PRIN_MATURITY,FIRST_PRIN&gt;A65),0,MAX(0,INT(((((VLOOKUP($A65,Summary!$D$14:$AX$56,COLUMNS(Summary!$D$15:$AX$15))+M65*2)/$V65-H66*2*R65)/(1+B65*R65)+IF($A65=SURPLUS_FUND_RELEASE_DATE,IF(SURPLUS_RELEASE_SIZING="Yes", SURPLUS_FUND_DEPOSIT,0),0)/(1+B65*R65)))/5000)*5000))</f>
        <v>380000</v>
      </c>
      <c r="H65" s="66">
        <f t="shared" ca="1" si="8"/>
        <v>51846.875</v>
      </c>
      <c r="I65" s="66">
        <f t="shared" ca="1" si="9"/>
        <v>431846.875</v>
      </c>
      <c r="J65" s="70">
        <f t="shared" ca="1" si="31"/>
        <v>483693.75</v>
      </c>
      <c r="K65" s="66">
        <f t="shared" ca="1" si="24"/>
        <v>0</v>
      </c>
      <c r="L65" s="85">
        <f t="shared" si="25"/>
        <v>0</v>
      </c>
      <c r="M65" s="85">
        <f t="shared" ca="1" si="26"/>
        <v>6813.1923647280091</v>
      </c>
      <c r="N65" s="66">
        <f t="shared" ca="1" si="13"/>
        <v>425033.68263527198</v>
      </c>
      <c r="O65" s="70">
        <f t="shared" ca="1" si="27"/>
        <v>470067.36527054396</v>
      </c>
      <c r="P65" s="70">
        <f ca="1">$G$96-SUM($G$11:G65)</f>
        <v>1385000</v>
      </c>
      <c r="R65" s="68">
        <f t="shared" si="32"/>
        <v>1</v>
      </c>
      <c r="T65" s="83">
        <f ca="1">IF(ISNA(VLOOKUP($A65,Summary!$C$14:$AX$54,COLUMNS(Summary!$C$15:$AX$15),FALSE))=TRUE,0,VLOOKUP($A65,Summary!$C$14:$AX$56,COLUMNS(Summary!$C$15:$AX$15),FALSE))</f>
        <v>622131.97273259168</v>
      </c>
      <c r="U65" s="84">
        <f ca="1">IF(ISERROR(IF(ISNA(VLOOKUP($A65,Summary!$D$14:$AX$54,COLUMNS(Summary!$D$15:$AX$15),FALSE))=TRUE,0,VLOOKUP($A65,Summary!$D$14:$AX$54,COLUMNS(Summary!$D$15:$AX$15),FALSE))/O65),0,IF(ISNA(VLOOKUP($A65,Summary!$D$14:$AX$54,COLUMNS(Summary!$D$15:$AX$15),FALSE))=TRUE,0,VLOOKUP($A65,Summary!$D$14:$AX$54,COLUMNS(Summary!$D$15:$AX$15),FALSE))/O65)</f>
        <v>1.312140723891404</v>
      </c>
      <c r="V65" s="72">
        <f t="shared" si="33"/>
        <v>1.3</v>
      </c>
      <c r="X65" s="83">
        <f t="shared" ca="1" si="28"/>
        <v>10423611.111111112</v>
      </c>
      <c r="Y65" s="83"/>
      <c r="Z65" s="83"/>
    </row>
    <row r="66" spans="1:26" x14ac:dyDescent="0.25">
      <c r="A66" s="67">
        <f t="shared" si="29"/>
        <v>55763</v>
      </c>
      <c r="B66" s="161">
        <f t="shared" si="0"/>
        <v>0</v>
      </c>
      <c r="C66" s="161">
        <f t="shared" si="12"/>
        <v>0</v>
      </c>
      <c r="D66" s="68">
        <f t="shared" si="30"/>
        <v>0</v>
      </c>
      <c r="E66" s="137"/>
      <c r="F66" s="66">
        <f t="shared" si="16"/>
        <v>0</v>
      </c>
      <c r="G66" s="66">
        <f>IF(OR(CAPI_TERM&gt;A66,MONTH(A66)&lt;&gt;PRIN_MATURITY,FIRST_PRIN&gt;A66),0,MAX(0,INT(((((VLOOKUP($A66,Summary!$D$14:$AX$56,COLUMNS(Summary!$D$15:$AX$15))+M66*2)/$V66-H67*2*R66)/(1+B66*R66)+IF($A66=SURPLUS_FUND_RELEASE_DATE,IF(SURPLUS_RELEASE_SIZING="Yes", SURPLUS_FUND_DEPOSIT,0),0)/(1+B66*R66)))/5000)*5000))</f>
        <v>0</v>
      </c>
      <c r="H66" s="66">
        <f t="shared" ca="1" si="8"/>
        <v>40684.375</v>
      </c>
      <c r="I66" s="66">
        <f t="shared" ca="1" si="9"/>
        <v>40684.375</v>
      </c>
      <c r="J66" s="70">
        <f t="shared" si="31"/>
        <v>0</v>
      </c>
      <c r="K66" s="66">
        <f t="shared" ca="1" si="24"/>
        <v>0</v>
      </c>
      <c r="L66" s="85">
        <f t="shared" si="25"/>
        <v>0</v>
      </c>
      <c r="M66" s="85">
        <f t="shared" ca="1" si="26"/>
        <v>6813.1923647280091</v>
      </c>
      <c r="N66" s="66">
        <f t="shared" ca="1" si="13"/>
        <v>33871.182635271995</v>
      </c>
      <c r="O66" s="70">
        <f t="shared" si="27"/>
        <v>0</v>
      </c>
      <c r="P66" s="70">
        <f ca="1">$G$96-SUM($G$11:G66)</f>
        <v>1385000</v>
      </c>
      <c r="R66" s="68">
        <f t="shared" si="32"/>
        <v>0</v>
      </c>
      <c r="T66" s="83">
        <f>IF(ISNA(VLOOKUP($A66,Summary!$C$14:$AX$54,COLUMNS(Summary!$C$15:$AX$15),FALSE))=TRUE,0,VLOOKUP($A66,Summary!$C$14:$AX$56,COLUMNS(Summary!$C$15:$AX$15),FALSE))</f>
        <v>0</v>
      </c>
      <c r="U66" s="84">
        <f>IF(ISERROR(IF(ISNA(VLOOKUP($A66,Summary!$D$14:$AX$54,COLUMNS(Summary!$D$15:$AX$15),FALSE))=TRUE,0,VLOOKUP($A66,Summary!$D$14:$AX$54,COLUMNS(Summary!$D$15:$AX$15),FALSE))/O66),0,IF(ISNA(VLOOKUP($A66,Summary!$D$14:$AX$54,COLUMNS(Summary!$D$15:$AX$15),FALSE))=TRUE,0,VLOOKUP($A66,Summary!$D$14:$AX$54,COLUMNS(Summary!$D$15:$AX$15),FALSE))/O66)</f>
        <v>0</v>
      </c>
      <c r="V66" s="72" t="str">
        <f t="shared" si="33"/>
        <v/>
      </c>
      <c r="X66" s="83">
        <f t="shared" si="28"/>
        <v>0</v>
      </c>
      <c r="Y66" s="83"/>
      <c r="Z66" s="83"/>
    </row>
    <row r="67" spans="1:26" x14ac:dyDescent="0.25">
      <c r="A67" s="67">
        <f t="shared" si="29"/>
        <v>55944</v>
      </c>
      <c r="B67" s="161">
        <f t="shared" si="0"/>
        <v>5.8749999999999997E-2</v>
      </c>
      <c r="C67" s="161">
        <f t="shared" si="12"/>
        <v>5.8749999999999997E-2</v>
      </c>
      <c r="D67" s="68">
        <f t="shared" si="30"/>
        <v>1</v>
      </c>
      <c r="E67" s="137"/>
      <c r="F67" s="66">
        <f t="shared" ca="1" si="16"/>
        <v>0</v>
      </c>
      <c r="G67" s="66">
        <f ca="1">IF(OR(CAPI_TERM&gt;A67,MONTH(A67)&lt;&gt;PRIN_MATURITY,FIRST_PRIN&gt;A67),0,MAX(0,INT(((((VLOOKUP($A67,Summary!$D$14:$AX$56,COLUMNS(Summary!$D$15:$AX$15))+M67*2)/$V67-H68*2*R67)/(1+B67*R67)+IF($A67=SURPLUS_FUND_RELEASE_DATE,IF(SURPLUS_RELEASE_SIZING="Yes", SURPLUS_FUND_DEPOSIT,0),0)/(1+B67*R67)))/5000)*5000))</f>
        <v>405000</v>
      </c>
      <c r="H67" s="66">
        <f t="shared" ca="1" si="8"/>
        <v>40684.375</v>
      </c>
      <c r="I67" s="66">
        <f t="shared" ca="1" si="9"/>
        <v>445684.375</v>
      </c>
      <c r="J67" s="70">
        <f t="shared" ca="1" si="31"/>
        <v>486368.75</v>
      </c>
      <c r="K67" s="66">
        <f t="shared" ca="1" si="24"/>
        <v>0</v>
      </c>
      <c r="L67" s="85">
        <f t="shared" si="25"/>
        <v>0</v>
      </c>
      <c r="M67" s="85">
        <f t="shared" ca="1" si="26"/>
        <v>6813.1923647280091</v>
      </c>
      <c r="N67" s="66">
        <f t="shared" ca="1" si="13"/>
        <v>438871.18263527198</v>
      </c>
      <c r="O67" s="70">
        <f t="shared" ca="1" si="27"/>
        <v>472742.36527054396</v>
      </c>
      <c r="P67" s="70">
        <f ca="1">$G$96-SUM($G$11:G67)</f>
        <v>980000</v>
      </c>
      <c r="R67" s="68">
        <f t="shared" si="32"/>
        <v>1</v>
      </c>
      <c r="T67" s="83">
        <f ca="1">IF(ISNA(VLOOKUP($A67,Summary!$C$14:$AX$54,COLUMNS(Summary!$C$15:$AX$15),FALSE))=TRUE,0,VLOOKUP($A67,Summary!$C$14:$AX$56,COLUMNS(Summary!$C$15:$AX$15),FALSE))</f>
        <v>627505.37680844136</v>
      </c>
      <c r="U67" s="84">
        <f ca="1">IF(ISERROR(IF(ISNA(VLOOKUP($A67,Summary!$D$14:$AX$54,COLUMNS(Summary!$D$15:$AX$15),FALSE))=TRUE,0,VLOOKUP($A67,Summary!$D$14:$AX$54,COLUMNS(Summary!$D$15:$AX$15),FALSE))/O67),0,IF(ISNA(VLOOKUP($A67,Summary!$D$14:$AX$54,COLUMNS(Summary!$D$15:$AX$15),FALSE))=TRUE,0,VLOOKUP($A67,Summary!$D$14:$AX$54,COLUMNS(Summary!$D$15:$AX$15),FALSE))/O67)</f>
        <v>1.3160063883349107</v>
      </c>
      <c r="V67" s="72">
        <f t="shared" si="33"/>
        <v>1.3</v>
      </c>
      <c r="X67" s="83">
        <f t="shared" ca="1" si="28"/>
        <v>11514375</v>
      </c>
      <c r="Y67" s="83"/>
      <c r="Z67" s="83"/>
    </row>
    <row r="68" spans="1:26" x14ac:dyDescent="0.25">
      <c r="A68" s="67">
        <f t="shared" si="29"/>
        <v>56128</v>
      </c>
      <c r="B68" s="161">
        <f t="shared" si="0"/>
        <v>0</v>
      </c>
      <c r="C68" s="161">
        <f t="shared" si="12"/>
        <v>0</v>
      </c>
      <c r="D68" s="68">
        <f t="shared" si="30"/>
        <v>0</v>
      </c>
      <c r="E68" s="137"/>
      <c r="F68" s="66">
        <f t="shared" si="16"/>
        <v>0</v>
      </c>
      <c r="G68" s="66">
        <f>IF(OR(CAPI_TERM&gt;A68,MONTH(A68)&lt;&gt;PRIN_MATURITY,FIRST_PRIN&gt;A68),0,MAX(0,INT(((((VLOOKUP($A68,Summary!$D$14:$AX$56,COLUMNS(Summary!$D$15:$AX$15))+M68*2)/$V68-H69*2*R68)/(1+B68*R68)+IF($A68=SURPLUS_FUND_RELEASE_DATE,IF(SURPLUS_RELEASE_SIZING="Yes", SURPLUS_FUND_DEPOSIT,0),0)/(1+B68*R68)))/5000)*5000))</f>
        <v>0</v>
      </c>
      <c r="H68" s="66">
        <f t="shared" ca="1" si="8"/>
        <v>28787.5</v>
      </c>
      <c r="I68" s="66">
        <f t="shared" ca="1" si="9"/>
        <v>28787.5</v>
      </c>
      <c r="J68" s="70">
        <f t="shared" si="31"/>
        <v>0</v>
      </c>
      <c r="K68" s="66">
        <f t="shared" ca="1" si="24"/>
        <v>0</v>
      </c>
      <c r="L68" s="85">
        <f t="shared" si="25"/>
        <v>0</v>
      </c>
      <c r="M68" s="85">
        <f t="shared" ca="1" si="26"/>
        <v>6813.1923647280091</v>
      </c>
      <c r="N68" s="66">
        <f t="shared" ca="1" si="13"/>
        <v>21974.307635271991</v>
      </c>
      <c r="O68" s="70">
        <f t="shared" si="27"/>
        <v>0</v>
      </c>
      <c r="P68" s="70">
        <f ca="1">$G$96-SUM($G$11:G68)</f>
        <v>980000</v>
      </c>
      <c r="R68" s="68">
        <f t="shared" si="32"/>
        <v>0</v>
      </c>
      <c r="T68" s="83">
        <f>IF(ISNA(VLOOKUP($A68,Summary!$C$14:$AX$54,COLUMNS(Summary!$C$15:$AX$15),FALSE))=TRUE,0,VLOOKUP($A68,Summary!$C$14:$AX$56,COLUMNS(Summary!$C$15:$AX$15),FALSE))</f>
        <v>0</v>
      </c>
      <c r="U68" s="84">
        <f>IF(ISERROR(IF(ISNA(VLOOKUP($A68,Summary!$D$14:$AX$54,COLUMNS(Summary!$D$15:$AX$15),FALSE))=TRUE,0,VLOOKUP($A68,Summary!$D$14:$AX$54,COLUMNS(Summary!$D$15:$AX$15),FALSE))/O68),0,IF(ISNA(VLOOKUP($A68,Summary!$D$14:$AX$54,COLUMNS(Summary!$D$15:$AX$15),FALSE))=TRUE,0,VLOOKUP($A68,Summary!$D$14:$AX$54,COLUMNS(Summary!$D$15:$AX$15),FALSE))/O68)</f>
        <v>0</v>
      </c>
      <c r="V68" s="72" t="str">
        <f t="shared" si="33"/>
        <v/>
      </c>
      <c r="X68" s="83">
        <f t="shared" si="28"/>
        <v>0</v>
      </c>
      <c r="Y68" s="83"/>
      <c r="Z68" s="83"/>
    </row>
    <row r="69" spans="1:26" x14ac:dyDescent="0.25">
      <c r="A69" s="67">
        <f t="shared" si="29"/>
        <v>56309</v>
      </c>
      <c r="B69" s="161">
        <f t="shared" si="0"/>
        <v>5.8749999999999997E-2</v>
      </c>
      <c r="C69" s="161">
        <f t="shared" si="12"/>
        <v>5.8749999999999997E-2</v>
      </c>
      <c r="D69" s="68">
        <f t="shared" si="30"/>
        <v>1</v>
      </c>
      <c r="E69" s="137"/>
      <c r="F69" s="66">
        <f t="shared" ca="1" si="16"/>
        <v>0</v>
      </c>
      <c r="G69" s="66">
        <f ca="1">IF(OR(CAPI_TERM&gt;A69,MONTH(A69)&lt;&gt;PRIN_MATURITY,FIRST_PRIN&gt;A69),0,MAX(0,INT(((((VLOOKUP($A69,Summary!$D$14:$AX$56,COLUMNS(Summary!$D$15:$AX$15))+M69*2)/$V69-H70*2*R69)/(1+B69*R69)+IF($A69=SURPLUS_FUND_RELEASE_DATE,IF(SURPLUS_RELEASE_SIZING="Yes", SURPLUS_FUND_DEPOSIT,0),0)/(1+B69*R69)))/5000)*5000))</f>
        <v>980000</v>
      </c>
      <c r="H69" s="66">
        <f t="shared" ca="1" si="8"/>
        <v>28787.5</v>
      </c>
      <c r="I69" s="66">
        <f t="shared" ca="1" si="9"/>
        <v>1008787.5</v>
      </c>
      <c r="J69" s="70">
        <f t="shared" ca="1" si="31"/>
        <v>1037575</v>
      </c>
      <c r="K69" s="66">
        <f t="shared" ca="1" si="24"/>
        <v>0</v>
      </c>
      <c r="L69" s="85">
        <f ca="1">IF($A69=SURPLUS_FUND_RELEASE_DATE,IF(SURPLUS_RELEASE_SIZING="Yes", SURPLUS_FUND_DEPOSIT,0),0)</f>
        <v>545055.38917824067</v>
      </c>
      <c r="M69" s="85">
        <f t="shared" ca="1" si="26"/>
        <v>6813.1923647280091</v>
      </c>
      <c r="N69" s="66">
        <f t="shared" ca="1" si="13"/>
        <v>1001974.307635272</v>
      </c>
      <c r="O69" s="70">
        <f ca="1">IF($A69=0,0,IF(MONTH($A69)=INT_MATURITY,0,SUM(N68:N69)))-L69</f>
        <v>478893.2260923034</v>
      </c>
      <c r="P69" s="70">
        <f ca="1">$G$96-SUM($G$11:G69)</f>
        <v>0</v>
      </c>
      <c r="R69" s="68">
        <f t="shared" si="32"/>
        <v>1</v>
      </c>
      <c r="T69" s="83">
        <f ca="1">IF(ISNA(VLOOKUP($A69,Summary!$C$14:$AX$54,COLUMNS(Summary!$C$15:$AX$15),FALSE))=TRUE,0,VLOOKUP($A69,Summary!$C$14:$AX$56,COLUMNS(Summary!$C$15:$AX$15),FALSE))</f>
        <v>632914.75661202008</v>
      </c>
      <c r="U69" s="84">
        <f ca="1">IF(ISERROR(IF(ISNA(VLOOKUP($A69,Summary!$D$14:$AX$54,COLUMNS(Summary!$D$15:$AX$15),FALSE))=TRUE,0,VLOOKUP($A69,Summary!$D$14:$AX$54,COLUMNS(Summary!$D$15:$AX$15),FALSE))/O69),0,IF(ISNA(VLOOKUP($A69,Summary!$D$14:$AX$54,COLUMNS(Summary!$D$15:$AX$15),FALSE))=TRUE,0,VLOOKUP($A69,Summary!$D$14:$AX$54,COLUMNS(Summary!$D$15:$AX$15),FALSE))/O69)</f>
        <v>1.3103241863093174</v>
      </c>
      <c r="V69" s="72">
        <f t="shared" si="33"/>
        <v>1.3</v>
      </c>
      <c r="X69" s="83">
        <f t="shared" ca="1" si="28"/>
        <v>28841944.444444444</v>
      </c>
      <c r="Y69" s="83"/>
      <c r="Z69" s="83"/>
    </row>
    <row r="70" spans="1:26" x14ac:dyDescent="0.25">
      <c r="A70" s="67">
        <f t="shared" si="29"/>
        <v>0</v>
      </c>
      <c r="B70" s="161">
        <f t="shared" si="0"/>
        <v>0</v>
      </c>
      <c r="C70" s="161">
        <f t="shared" si="12"/>
        <v>0</v>
      </c>
      <c r="D70" s="68">
        <f t="shared" si="30"/>
        <v>0</v>
      </c>
      <c r="E70" s="137"/>
      <c r="F70" s="66">
        <f t="shared" si="16"/>
        <v>0</v>
      </c>
      <c r="G70" s="66">
        <f>IF(OR(CAPI_TERM&gt;A70,MONTH(A70)&lt;&gt;PRIN_MATURITY,FIRST_PRIN&gt;A70),0,MAX(0,INT(((((VLOOKUP($A70,Summary!$D$14:$AX$56,COLUMNS(Summary!$D$15:$AX$15))+M70*2)/$V70-H71*2*R70)/(1+B70*R70)+IF($A70=SURPLUS_FUND_RELEASE_DATE,IF(SURPLUS_RELEASE_SIZING="Yes", SURPLUS_FUND_DEPOSIT,0),0)/(1+B70*R70)))/5000)*5000))</f>
        <v>0</v>
      </c>
      <c r="H70" s="66">
        <f t="shared" si="8"/>
        <v>0</v>
      </c>
      <c r="I70" s="66">
        <f t="shared" si="9"/>
        <v>0</v>
      </c>
      <c r="J70" s="70">
        <f t="shared" si="31"/>
        <v>0</v>
      </c>
      <c r="K70" s="66">
        <f t="shared" si="24"/>
        <v>0</v>
      </c>
      <c r="L70" s="85">
        <f t="shared" si="25"/>
        <v>0</v>
      </c>
      <c r="M70" s="85"/>
      <c r="N70" s="66">
        <f t="shared" si="13"/>
        <v>0</v>
      </c>
      <c r="O70" s="70">
        <f t="shared" si="27"/>
        <v>0</v>
      </c>
      <c r="P70" s="70">
        <f ca="1">$G$96-SUM($G$11:G70)</f>
        <v>0</v>
      </c>
      <c r="R70" s="68">
        <f t="shared" si="32"/>
        <v>0</v>
      </c>
      <c r="T70" s="83">
        <f>IF(ISNA(VLOOKUP($A70,Summary!$C$14:$AX$54,COLUMNS(Summary!$C$15:$AX$15),FALSE))=TRUE,0,VLOOKUP($A70,Summary!$C$14:$AX$56,COLUMNS(Summary!$C$15:$AX$15),FALSE))</f>
        <v>0</v>
      </c>
      <c r="U70" s="84">
        <f>IF(ISERROR(IF(ISNA(VLOOKUP($A70,Summary!$D$14:$AX$54,COLUMNS(Summary!$D$15:$AX$15),FALSE))=TRUE,0,VLOOKUP($A70,Summary!$D$14:$AX$54,COLUMNS(Summary!$D$15:$AX$15),FALSE))/O70),0,IF(ISNA(VLOOKUP($A70,Summary!$D$14:$AX$54,COLUMNS(Summary!$D$15:$AX$15),FALSE))=TRUE,0,VLOOKUP($A70,Summary!$D$14:$AX$54,COLUMNS(Summary!$D$15:$AX$15),FALSE))/O70)</f>
        <v>0</v>
      </c>
      <c r="V70" s="72" t="str">
        <f t="shared" si="33"/>
        <v/>
      </c>
      <c r="X70" s="83">
        <f t="shared" si="28"/>
        <v>0</v>
      </c>
      <c r="Y70" s="83"/>
      <c r="Z70" s="83"/>
    </row>
    <row r="71" spans="1:26" hidden="1" outlineLevel="1" x14ac:dyDescent="0.25">
      <c r="A71" s="67">
        <f t="shared" si="29"/>
        <v>0</v>
      </c>
      <c r="B71" s="161">
        <f t="shared" si="0"/>
        <v>0</v>
      </c>
      <c r="C71" s="161">
        <f t="shared" si="12"/>
        <v>0</v>
      </c>
      <c r="D71" s="68">
        <f t="shared" si="30"/>
        <v>0</v>
      </c>
      <c r="E71" s="137"/>
      <c r="F71" s="66">
        <f t="shared" si="16"/>
        <v>0</v>
      </c>
      <c r="G71" s="66">
        <f>IF(OR(CAPI_TERM&gt;A71,MONTH(A71)&lt;&gt;PRIN_MATURITY,FIRST_PRIN&gt;A71),0,MAX(0,INT(((((VLOOKUP($A71,Summary!$D$14:$AX$56,COLUMNS(Summary!$D$15:$AX$15))+M71*2)/$V71-H72*2*R71)/(1+B71*R71)+IF($A71=SURPLUS_FUND_RELEASE_DATE,IF(SURPLUS_RELEASE_SIZING="Yes", SURPLUS_FUND_DEPOSIT,0),0)/(1+B71*R71)))/5000)*5000))</f>
        <v>0</v>
      </c>
      <c r="H71" s="66">
        <f t="shared" si="8"/>
        <v>0</v>
      </c>
      <c r="I71" s="66">
        <f t="shared" si="9"/>
        <v>0</v>
      </c>
      <c r="J71" s="70">
        <f t="shared" si="31"/>
        <v>0</v>
      </c>
      <c r="K71" s="66">
        <f t="shared" si="24"/>
        <v>0</v>
      </c>
      <c r="L71" s="85">
        <f t="shared" si="25"/>
        <v>0</v>
      </c>
      <c r="M71" s="85"/>
      <c r="N71" s="66">
        <f t="shared" si="13"/>
        <v>0</v>
      </c>
      <c r="O71" s="70">
        <f t="shared" si="27"/>
        <v>0</v>
      </c>
      <c r="P71" s="70">
        <f ca="1">$G$96-SUM($G$11:G71)</f>
        <v>0</v>
      </c>
      <c r="R71" s="68">
        <f t="shared" si="32"/>
        <v>0</v>
      </c>
      <c r="T71" s="83">
        <f>IF(ISNA(VLOOKUP($A71,Summary!$C$14:$AX$54,COLUMNS(Summary!$C$15:$AX$15),FALSE))=TRUE,0,VLOOKUP($A71,Summary!$C$14:$AX$56,COLUMNS(Summary!$C$15:$AX$15),FALSE))</f>
        <v>0</v>
      </c>
      <c r="U71" s="84">
        <f>IF(ISERROR(IF(ISNA(VLOOKUP($A71,Summary!$D$14:$AX$54,COLUMNS(Summary!$D$15:$AX$15),FALSE))=TRUE,0,VLOOKUP($A71,Summary!$D$14:$AX$54,COLUMNS(Summary!$D$15:$AX$15),FALSE))/O71),0,IF(ISNA(VLOOKUP($A71,Summary!$D$14:$AX$54,COLUMNS(Summary!$D$15:$AX$15),FALSE))=TRUE,0,VLOOKUP($A71,Summary!$D$14:$AX$54,COLUMNS(Summary!$D$15:$AX$15),FALSE))/O71)</f>
        <v>0</v>
      </c>
      <c r="V71" s="72" t="str">
        <f t="shared" si="33"/>
        <v/>
      </c>
      <c r="X71" s="83">
        <f t="shared" si="28"/>
        <v>0</v>
      </c>
      <c r="Y71" s="83"/>
      <c r="Z71" s="83"/>
    </row>
    <row r="72" spans="1:26" hidden="1" outlineLevel="1" x14ac:dyDescent="0.25">
      <c r="A72" s="67">
        <f t="shared" si="29"/>
        <v>0</v>
      </c>
      <c r="B72" s="161">
        <f t="shared" si="0"/>
        <v>0</v>
      </c>
      <c r="C72" s="161">
        <f t="shared" si="12"/>
        <v>0</v>
      </c>
      <c r="D72" s="68">
        <f t="shared" si="30"/>
        <v>0</v>
      </c>
      <c r="E72" s="137" t="s">
        <v>182</v>
      </c>
      <c r="F72" s="66">
        <f t="shared" si="16"/>
        <v>0</v>
      </c>
      <c r="G72" s="66">
        <f>IF(OR(CAPI_TERM&gt;A72,MONTH(A72)&lt;&gt;PRIN_MATURITY,FIRST_PRIN&gt;A72),0,MAX(0,INT(((((VLOOKUP($A72,Summary!$D$14:$AX$56,COLUMNS(Summary!$D$15:$AX$15))+M72*2)/$V72-H73*2*R72)/(1+B72*R72)+IF($A72=SURPLUS_FUND_RELEASE_DATE,IF(SURPLUS_RELEASE_SIZING="Yes", SURPLUS_FUND_DEPOSIT,0),0)/(1+B72*R72)))/5000)*5000))</f>
        <v>0</v>
      </c>
      <c r="H72" s="66">
        <f t="shared" si="8"/>
        <v>0</v>
      </c>
      <c r="I72" s="66">
        <f t="shared" si="9"/>
        <v>0</v>
      </c>
      <c r="J72" s="70">
        <f t="shared" si="31"/>
        <v>0</v>
      </c>
      <c r="K72" s="66">
        <f t="shared" si="24"/>
        <v>0</v>
      </c>
      <c r="L72" s="85">
        <f t="shared" si="25"/>
        <v>0</v>
      </c>
      <c r="M72" s="85"/>
      <c r="N72" s="66">
        <f t="shared" si="13"/>
        <v>0</v>
      </c>
      <c r="O72" s="70">
        <f t="shared" si="27"/>
        <v>0</v>
      </c>
      <c r="P72" s="70">
        <f ca="1">$G$96-SUM($G$11:G72)</f>
        <v>0</v>
      </c>
      <c r="R72" s="68">
        <f t="shared" si="32"/>
        <v>0</v>
      </c>
      <c r="T72" s="83">
        <f>IF(ISNA(VLOOKUP($A72,Summary!$C$14:$AX$54,COLUMNS(Summary!$C$15:$AX$15),FALSE))=TRUE,0,VLOOKUP($A72,Summary!$C$14:$AX$56,COLUMNS(Summary!$C$15:$AX$15),FALSE))</f>
        <v>0</v>
      </c>
      <c r="U72" s="84">
        <f>IF(ISERROR(IF(ISNA(VLOOKUP($A72,Summary!$D$14:$AX$54,COLUMNS(Summary!$D$15:$AX$15),FALSE))=TRUE,0,VLOOKUP($A72,Summary!$D$14:$AX$54,COLUMNS(Summary!$D$15:$AX$15),FALSE))/O72),0,IF(ISNA(VLOOKUP($A72,Summary!$D$14:$AX$54,COLUMNS(Summary!$D$15:$AX$15),FALSE))=TRUE,0,VLOOKUP($A72,Summary!$D$14:$AX$54,COLUMNS(Summary!$D$15:$AX$15),FALSE))/O72)</f>
        <v>0</v>
      </c>
      <c r="V72" s="72" t="str">
        <f t="shared" si="33"/>
        <v/>
      </c>
      <c r="X72" s="83">
        <f t="shared" si="28"/>
        <v>0</v>
      </c>
      <c r="Y72" s="83"/>
      <c r="Z72" s="83"/>
    </row>
    <row r="73" spans="1:26" hidden="1" outlineLevel="1" x14ac:dyDescent="0.25">
      <c r="A73" s="67">
        <f t="shared" si="29"/>
        <v>0</v>
      </c>
      <c r="B73" s="161">
        <f t="shared" si="0"/>
        <v>0</v>
      </c>
      <c r="C73" s="161">
        <f t="shared" si="12"/>
        <v>0</v>
      </c>
      <c r="D73" s="68">
        <f t="shared" si="30"/>
        <v>0</v>
      </c>
      <c r="E73" s="137"/>
      <c r="F73" s="66">
        <f t="shared" si="16"/>
        <v>0</v>
      </c>
      <c r="G73" s="66">
        <f>IF(OR(CAPI_TERM&gt;A73,MONTH(A73)&lt;&gt;PRIN_MATURITY,FIRST_PRIN&gt;A73),0,MAX(0,INT(((((VLOOKUP($A73,Summary!$D$14:$AX$56,COLUMNS(Summary!$D$15:$AX$15))+M73*2)/$V73-H74*2*R73)/(1+B73*R73)+IF($A73=SURPLUS_FUND_RELEASE_DATE,IF(SURPLUS_RELEASE_SIZING="Yes", SURPLUS_FUND_DEPOSIT,0),0)/(1+B73*R73)))/5000)*5000))</f>
        <v>0</v>
      </c>
      <c r="H73" s="66">
        <f t="shared" si="8"/>
        <v>0</v>
      </c>
      <c r="I73" s="66">
        <f t="shared" si="9"/>
        <v>0</v>
      </c>
      <c r="J73" s="70">
        <f t="shared" si="31"/>
        <v>0</v>
      </c>
      <c r="K73" s="66">
        <f t="shared" si="24"/>
        <v>0</v>
      </c>
      <c r="L73" s="85">
        <f t="shared" si="25"/>
        <v>0</v>
      </c>
      <c r="M73" s="85"/>
      <c r="N73" s="66">
        <f t="shared" si="13"/>
        <v>0</v>
      </c>
      <c r="O73" s="70">
        <f t="shared" si="27"/>
        <v>0</v>
      </c>
      <c r="P73" s="70">
        <f ca="1">$G$96-SUM($G$11:G73)</f>
        <v>0</v>
      </c>
      <c r="R73" s="68">
        <f t="shared" si="32"/>
        <v>0</v>
      </c>
      <c r="T73" s="83">
        <f>IF(ISNA(VLOOKUP($A73,Summary!$C$14:$AX$54,COLUMNS(Summary!$C$15:$AX$15),FALSE))=TRUE,0,VLOOKUP($A73,Summary!$C$14:$AX$56,COLUMNS(Summary!$C$15:$AX$15),FALSE))</f>
        <v>0</v>
      </c>
      <c r="U73" s="84"/>
      <c r="V73" s="72" t="str">
        <f t="shared" si="33"/>
        <v/>
      </c>
      <c r="X73" s="83">
        <f t="shared" si="28"/>
        <v>0</v>
      </c>
      <c r="Y73" s="83"/>
      <c r="Z73" s="83"/>
    </row>
    <row r="74" spans="1:26" hidden="1" outlineLevel="1" x14ac:dyDescent="0.25">
      <c r="A74" s="67">
        <f t="shared" si="29"/>
        <v>0</v>
      </c>
      <c r="B74" s="161">
        <f t="shared" si="0"/>
        <v>0</v>
      </c>
      <c r="C74" s="161">
        <f t="shared" si="12"/>
        <v>0</v>
      </c>
      <c r="D74" s="68">
        <f t="shared" si="30"/>
        <v>0</v>
      </c>
      <c r="E74" s="137"/>
      <c r="F74" s="66">
        <f t="shared" si="16"/>
        <v>0</v>
      </c>
      <c r="G74" s="66">
        <f>IF(OR(CAPI_TERM&gt;A74,MONTH(A74)&lt;&gt;PRIN_MATURITY,FIRST_PRIN&gt;A74),0,MAX(0,INT(((((VLOOKUP($A74,Summary!$D$14:$AX$56,COLUMNS(Summary!$D$15:$AX$15))+M74*2)/$V74-H75*2*R74)/(1+B74*R74)+IF($A74=SURPLUS_FUND_RELEASE_DATE,IF(SURPLUS_RELEASE_SIZING="Yes", SURPLUS_FUND_DEPOSIT,0),0)/(1+B74*R74)))/5000)*5000))</f>
        <v>0</v>
      </c>
      <c r="H74" s="66">
        <f t="shared" si="8"/>
        <v>0</v>
      </c>
      <c r="I74" s="66">
        <f t="shared" si="9"/>
        <v>0</v>
      </c>
      <c r="J74" s="70">
        <f t="shared" si="31"/>
        <v>0</v>
      </c>
      <c r="K74" s="66">
        <f t="shared" si="24"/>
        <v>0</v>
      </c>
      <c r="L74" s="85">
        <f t="shared" si="25"/>
        <v>0</v>
      </c>
      <c r="M74" s="85"/>
      <c r="N74" s="66">
        <f t="shared" si="13"/>
        <v>0</v>
      </c>
      <c r="O74" s="70">
        <f t="shared" si="27"/>
        <v>0</v>
      </c>
      <c r="P74" s="70">
        <f ca="1">$G$96-SUM($G$11:G74)</f>
        <v>0</v>
      </c>
      <c r="R74" s="68">
        <f t="shared" si="32"/>
        <v>0</v>
      </c>
      <c r="T74" s="83">
        <f>IF(ISNA(VLOOKUP($A74,Summary!$C$14:$AX$54,COLUMNS(Summary!$C$15:$AX$15),FALSE))=TRUE,0,VLOOKUP($A74,Summary!$C$14:$AX$56,COLUMNS(Summary!$C$15:$AX$15),FALSE))</f>
        <v>0</v>
      </c>
      <c r="U74" s="84">
        <f>IF(ISERROR(IF(ISNA(VLOOKUP($A74,Summary!$C$14:$AR$54,COLUMNS(Summary!$C$15:$AR$15),FALSE))=TRUE,0,VLOOKUP($A74,Summary!$C$14:$AR$54,COLUMNS(Summary!$C$15:$AR$15),FALSE))/O74),0,IF(ISNA(VLOOKUP($A74,Summary!$C$14:$AR$54,COLUMNS(Summary!$C$15:$AR$15),FALSE))=TRUE,0,VLOOKUP($A74,Summary!$C$14:$AR$54,COLUMNS(Summary!$C$15:$AR$15),FALSE))/O74)</f>
        <v>0</v>
      </c>
      <c r="V74" s="72" t="str">
        <f t="shared" si="33"/>
        <v/>
      </c>
      <c r="X74" s="83">
        <f t="shared" si="28"/>
        <v>0</v>
      </c>
      <c r="Y74" s="83"/>
      <c r="Z74" s="83"/>
    </row>
    <row r="75" spans="1:26" hidden="1" outlineLevel="1" x14ac:dyDescent="0.25">
      <c r="A75" s="67">
        <f t="shared" si="29"/>
        <v>0</v>
      </c>
      <c r="B75" s="161">
        <f t="shared" ref="B75:B93" si="34">IF(ISERROR(IF(MONTH(A75)=PRIN_MATURITY,SENIOR_INTEREST_RATE,)),"",IF(MONTH(A75)=PRIN_MATURITY,SENIOR_INTEREST_RATE,))</f>
        <v>0</v>
      </c>
      <c r="C75" s="161">
        <f t="shared" si="12"/>
        <v>0</v>
      </c>
      <c r="D75" s="68">
        <f t="shared" si="30"/>
        <v>0</v>
      </c>
      <c r="E75" s="137"/>
      <c r="F75" s="66">
        <f t="shared" si="16"/>
        <v>0</v>
      </c>
      <c r="G75" s="66">
        <f>IF(OR(CAPI_TERM&gt;A75,MONTH(A75)&lt;&gt;PRIN_MATURITY,FIRST_PRIN&gt;A75),0,MAX(0,INT(((((VLOOKUP($A75,Summary!$D$14:$AX$56,COLUMNS(Summary!$D$15:$AX$15))+M75*2)/$V75-H76*2*R75)/(1+B75*R75)+IF($A75=SURPLUS_FUND_RELEASE_DATE,IF(SURPLUS_RELEASE_SIZING="Yes", SURPLUS_FUND_DEPOSIT,0),0)/(1+B75*R75)))/5000)*5000))</f>
        <v>0</v>
      </c>
      <c r="H75" s="66">
        <f t="shared" ref="H75:H93" si="35">(H76+G75*B75/2)</f>
        <v>0</v>
      </c>
      <c r="I75" s="66">
        <f t="shared" si="9"/>
        <v>0</v>
      </c>
      <c r="J75" s="70">
        <f t="shared" si="31"/>
        <v>0</v>
      </c>
      <c r="K75" s="66">
        <f t="shared" si="24"/>
        <v>0</v>
      </c>
      <c r="L75" s="85">
        <f t="shared" ref="L75:L93" si="36">IF($A75=SURPLUS_FUND_RELEASE_DATE,IF(SURPLUS_RELEASE_SIZING="Yes", SURPLUS_FUND_DEPOSIT,0),0)</f>
        <v>0</v>
      </c>
      <c r="M75" s="85"/>
      <c r="N75" s="66">
        <f t="shared" si="13"/>
        <v>0</v>
      </c>
      <c r="O75" s="70">
        <f t="shared" ref="O75:O93" si="37">IF($A75=0,0,IF(MONTH($A75)=INT_MATURITY,0,SUM(N74:N75)))-L75</f>
        <v>0</v>
      </c>
      <c r="P75" s="70">
        <f ca="1">$G$96-SUM($G$11:G75)</f>
        <v>0</v>
      </c>
      <c r="R75" s="68">
        <f t="shared" si="32"/>
        <v>0</v>
      </c>
      <c r="T75" s="83">
        <f>IF(ISNA(VLOOKUP($A75,Summary!$C$14:$AX$54,COLUMNS(Summary!$C$15:$AX$15),FALSE))=TRUE,0,VLOOKUP($A75,Summary!$C$14:$AX$56,COLUMNS(Summary!$C$15:$AX$15),FALSE))</f>
        <v>0</v>
      </c>
      <c r="U75" s="84">
        <f>IF(ISERROR(IF(ISNA(VLOOKUP($A75,Summary!$C$14:$AR$54,COLUMNS(Summary!$C$15:$AR$15),FALSE))=TRUE,0,VLOOKUP($A75,Summary!$C$14:$AR$54,COLUMNS(Summary!$C$15:$AR$15),FALSE))/O75),0,IF(ISNA(VLOOKUP($A75,Summary!$C$14:$AR$54,COLUMNS(Summary!$C$15:$AR$15),FALSE))=TRUE,0,VLOOKUP($A75,Summary!$C$14:$AR$54,COLUMNS(Summary!$C$15:$AR$15),FALSE))/O75)</f>
        <v>0</v>
      </c>
      <c r="V75" s="72" t="str">
        <f t="shared" si="33"/>
        <v/>
      </c>
      <c r="X75" s="83">
        <f t="shared" ref="X75:X92" si="38">D75*G75*DAYS360(DELIVERY,A75)/360</f>
        <v>0</v>
      </c>
      <c r="Y75" s="83"/>
      <c r="Z75" s="83"/>
    </row>
    <row r="76" spans="1:26" hidden="1" outlineLevel="1" x14ac:dyDescent="0.25">
      <c r="A76" s="67">
        <f t="shared" ref="A76:A93" si="39">IF(IF(ISERROR(EDATE(A75,6)),0,EDATE(A75,6))&gt;EDATE(MAX($A$11,DATE(YEAR($A$11),PRIN_MATURITY,1)),6*2*FINAL_MAT_YRS),0,IF(ISERROR(EDATE(A75,6)),0,IF(A75=0,0,EDATE(A75,6))))</f>
        <v>0</v>
      </c>
      <c r="B76" s="161">
        <f t="shared" si="34"/>
        <v>0</v>
      </c>
      <c r="C76" s="161">
        <f t="shared" si="12"/>
        <v>0</v>
      </c>
      <c r="D76" s="68">
        <f t="shared" ref="D76:D92" si="40">MAX(IF(C76=0,0,TRUNC(IF(B76=C76,100,IF(A76&lt;=PAR_CALL_FIRST,PRICE(DELIVERY,A76,B76,C76,100,2,0),MIN(PRICE(DELIVERY,A76,B76,C76,100,2,0),PRICE(DELIVERY,PREMIUM_CALL_FIRST,B76,C76,PREMIUM_CALL_FIRST_PRICE,2,0),PRICE(DELIVERY,PAR_CALL_FIRST,B76,C76,100,2,0)))),3)/100),IF(C76=0,0,TRUNC(IF(B76=C76,100,IF(A76&lt;=PREMIUM_CALL_FIRST,PRICE(DELIVERY,A76,B76,C76,PREMIUM_CALL_FIRST_PRICE,2,0),MIN(PRICE(DELIVERY,A76,B76,C76,100,2,0),PRICE(DELIVERY,A76,B76,C76,PREMIUM_CALL_FIRST_PRICE,2,0),PRICE(DELIVERY,PREMIUM_CALL_FIRST,B76,C76,PREMIUM_CALL_FIRST_PRICE,2,0)))),3)/100))</f>
        <v>0</v>
      </c>
      <c r="E76" s="137"/>
      <c r="F76" s="66">
        <f t="shared" si="16"/>
        <v>0</v>
      </c>
      <c r="G76" s="66">
        <f>IF(OR(CAPI_TERM&gt;A76,MONTH(A76)&lt;&gt;PRIN_MATURITY,FIRST_PRIN&gt;A76),0,MAX(0,INT(((((VLOOKUP($A76,Summary!$D$14:$AX$56,COLUMNS(Summary!$D$15:$AX$15))+M76*2)/$V76-H77*2*R76)/(1+B76*R76)+IF($A76=SURPLUS_FUND_RELEASE_DATE,IF(SURPLUS_RELEASE_SIZING="Yes", SURPLUS_FUND_DEPOSIT,0),0)/(1+B76*R76)))/5000)*5000))</f>
        <v>0</v>
      </c>
      <c r="H76" s="66">
        <f t="shared" si="35"/>
        <v>0</v>
      </c>
      <c r="I76" s="66">
        <f t="shared" ref="I76:I93" si="41">G76+H76</f>
        <v>0</v>
      </c>
      <c r="J76" s="70">
        <f t="shared" ref="J76:J93" si="42">IF($A76=0,0,IF(MONTH(A76)=INT_MATURITY,0,SUM(I75:I76)))</f>
        <v>0</v>
      </c>
      <c r="K76" s="66">
        <f t="shared" si="24"/>
        <v>0</v>
      </c>
      <c r="L76" s="85">
        <f t="shared" si="36"/>
        <v>0</v>
      </c>
      <c r="M76" s="85"/>
      <c r="N76" s="66">
        <f t="shared" ref="N76:N93" si="43">I76-K76-M76</f>
        <v>0</v>
      </c>
      <c r="O76" s="70">
        <f t="shared" si="37"/>
        <v>0</v>
      </c>
      <c r="P76" s="70">
        <f ca="1">$G$96-SUM($G$11:G76)</f>
        <v>0</v>
      </c>
      <c r="R76" s="68">
        <f t="shared" si="32"/>
        <v>0</v>
      </c>
      <c r="T76" s="83">
        <f>IF(ISNA(VLOOKUP($A76,Summary!$C$14:$AX$54,COLUMNS(Summary!$C$15:$AX$15),FALSE))=TRUE,0,VLOOKUP($A76,Summary!$C$14:$AX$56,COLUMNS(Summary!$C$15:$AX$15),FALSE))</f>
        <v>0</v>
      </c>
      <c r="U76" s="84">
        <f>IF(ISERROR(IF(ISNA(VLOOKUP($A76,Summary!$C$14:$AR$54,COLUMNS(Summary!$C$15:$AR$15),FALSE))=TRUE,0,VLOOKUP($A76,Summary!$C$14:$AR$54,COLUMNS(Summary!$C$15:$AR$15),FALSE))/O76),0,IF(ISNA(VLOOKUP($A76,Summary!$C$14:$AR$54,COLUMNS(Summary!$C$15:$AR$15),FALSE))=TRUE,0,VLOOKUP($A76,Summary!$C$14:$AR$54,COLUMNS(Summary!$C$15:$AR$15),FALSE))/O76)</f>
        <v>0</v>
      </c>
      <c r="V76" s="72" t="str">
        <f t="shared" si="33"/>
        <v/>
      </c>
      <c r="X76" s="83">
        <f t="shared" si="38"/>
        <v>0</v>
      </c>
      <c r="Y76" s="83"/>
      <c r="Z76" s="83"/>
    </row>
    <row r="77" spans="1:26" hidden="1" outlineLevel="1" x14ac:dyDescent="0.25">
      <c r="A77" s="67">
        <f t="shared" si="39"/>
        <v>0</v>
      </c>
      <c r="B77" s="161">
        <f t="shared" si="34"/>
        <v>0</v>
      </c>
      <c r="C77" s="161">
        <f t="shared" ref="C77:C92" si="44">B77</f>
        <v>0</v>
      </c>
      <c r="D77" s="68">
        <f t="shared" si="40"/>
        <v>0</v>
      </c>
      <c r="E77" s="137"/>
      <c r="F77" s="66">
        <f t="shared" si="16"/>
        <v>0</v>
      </c>
      <c r="G77" s="66">
        <f>IF(OR(CAPI_TERM&gt;A77,MONTH(A77)&lt;&gt;PRIN_MATURITY,FIRST_PRIN&gt;A77),0,MAX(0,INT(((((VLOOKUP($A77,Summary!$D$14:$AX$56,COLUMNS(Summary!$D$15:$AX$15))+M77*2)/$V77-H78*2*R77)/(1+B77*R77)+IF($A77=SURPLUS_FUND_RELEASE_DATE,IF(SURPLUS_RELEASE_SIZING="Yes", SURPLUS_FUND_DEPOSIT,0),0)/(1+B77*R77)))/5000)*5000))</f>
        <v>0</v>
      </c>
      <c r="H77" s="66">
        <f t="shared" si="35"/>
        <v>0</v>
      </c>
      <c r="I77" s="66">
        <f t="shared" si="41"/>
        <v>0</v>
      </c>
      <c r="J77" s="70">
        <f t="shared" si="42"/>
        <v>0</v>
      </c>
      <c r="K77" s="66">
        <f t="shared" si="24"/>
        <v>0</v>
      </c>
      <c r="L77" s="85">
        <f t="shared" si="36"/>
        <v>0</v>
      </c>
      <c r="M77" s="85"/>
      <c r="N77" s="66">
        <f t="shared" si="43"/>
        <v>0</v>
      </c>
      <c r="O77" s="70">
        <f t="shared" si="37"/>
        <v>0</v>
      </c>
      <c r="P77" s="70">
        <f ca="1">$G$96-SUM($G$11:G77)</f>
        <v>0</v>
      </c>
      <c r="R77" s="68">
        <f t="shared" si="32"/>
        <v>0</v>
      </c>
      <c r="T77" s="83">
        <f>IF(ISNA(VLOOKUP($A77,Summary!$C$14:$AX$54,COLUMNS(Summary!$C$15:$AX$15),FALSE))=TRUE,0,VLOOKUP($A77,Summary!$C$14:$AX$56,COLUMNS(Summary!$C$15:$AX$15),FALSE))</f>
        <v>0</v>
      </c>
      <c r="U77" s="84">
        <f>IF(ISERROR(IF(ISNA(VLOOKUP($A77,Summary!$C$14:$AR$54,COLUMNS(Summary!$C$15:$AR$15),FALSE))=TRUE,0,VLOOKUP($A77,Summary!$C$14:$AR$54,COLUMNS(Summary!$C$15:$AR$15),FALSE))/O77),0,IF(ISNA(VLOOKUP($A77,Summary!$C$14:$AR$54,COLUMNS(Summary!$C$15:$AR$15),FALSE))=TRUE,0,VLOOKUP($A77,Summary!$C$14:$AR$54,COLUMNS(Summary!$C$15:$AR$15),FALSE))/O77)</f>
        <v>0</v>
      </c>
      <c r="V77" s="72" t="str">
        <f t="shared" si="33"/>
        <v/>
      </c>
      <c r="X77" s="83">
        <f t="shared" si="38"/>
        <v>0</v>
      </c>
      <c r="Y77" s="83"/>
      <c r="Z77" s="83"/>
    </row>
    <row r="78" spans="1:26" hidden="1" outlineLevel="1" x14ac:dyDescent="0.25">
      <c r="A78" s="67">
        <f t="shared" si="39"/>
        <v>0</v>
      </c>
      <c r="B78" s="161">
        <f t="shared" si="34"/>
        <v>0</v>
      </c>
      <c r="C78" s="161">
        <f t="shared" si="44"/>
        <v>0</v>
      </c>
      <c r="D78" s="68">
        <f t="shared" si="40"/>
        <v>0</v>
      </c>
      <c r="E78" s="137"/>
      <c r="F78" s="66">
        <f t="shared" ref="F78:F93" si="45">D78*G78-G78</f>
        <v>0</v>
      </c>
      <c r="G78" s="66">
        <f>IF(OR(CAPI_TERM&gt;A78,MONTH(A78)&lt;&gt;PRIN_MATURITY,FIRST_PRIN&gt;A78),0,MAX(0,INT(((((VLOOKUP($A78,Summary!$D$14:$AX$56,COLUMNS(Summary!$D$15:$AX$15))+M78*2)/$V78-H79*2*R78)/(1+B78*R78)+IF($A78=SURPLUS_FUND_RELEASE_DATE,IF(SURPLUS_RELEASE_SIZING="Yes", SURPLUS_FUND_DEPOSIT,0),0)/(1+B78*R78)))/5000)*5000))</f>
        <v>0</v>
      </c>
      <c r="H78" s="66">
        <f t="shared" si="35"/>
        <v>0</v>
      </c>
      <c r="I78" s="66">
        <f t="shared" si="41"/>
        <v>0</v>
      </c>
      <c r="J78" s="70">
        <f t="shared" si="42"/>
        <v>0</v>
      </c>
      <c r="K78" s="66">
        <f t="shared" si="24"/>
        <v>0</v>
      </c>
      <c r="L78" s="85">
        <f t="shared" si="36"/>
        <v>0</v>
      </c>
      <c r="M78" s="85"/>
      <c r="N78" s="66">
        <f t="shared" si="43"/>
        <v>0</v>
      </c>
      <c r="O78" s="70">
        <f t="shared" si="37"/>
        <v>0</v>
      </c>
      <c r="P78" s="70">
        <f ca="1">$G$96-SUM($G$11:G78)</f>
        <v>0</v>
      </c>
      <c r="R78" s="68">
        <f t="shared" si="32"/>
        <v>0</v>
      </c>
      <c r="T78" s="83">
        <f>IF(ISNA(VLOOKUP($A78,Summary!$C$14:$AX$54,COLUMNS(Summary!$C$15:$AX$15),FALSE))=TRUE,0,VLOOKUP($A78,Summary!$C$14:$AX$56,COLUMNS(Summary!$C$15:$AX$15),FALSE))</f>
        <v>0</v>
      </c>
      <c r="U78" s="84">
        <f>IF(ISERROR(IF(ISNA(VLOOKUP($A78,Summary!$C$14:$AR$54,COLUMNS(Summary!$C$15:$AR$15),FALSE))=TRUE,0,VLOOKUP($A78,Summary!$C$14:$AR$54,COLUMNS(Summary!$C$15:$AR$15),FALSE))/O78),0,IF(ISNA(VLOOKUP($A78,Summary!$C$14:$AR$54,COLUMNS(Summary!$C$15:$AR$15),FALSE))=TRUE,0,VLOOKUP($A78,Summary!$C$14:$AR$54,COLUMNS(Summary!$C$15:$AR$15),FALSE))/O78)</f>
        <v>0</v>
      </c>
      <c r="V78" s="72" t="str">
        <f t="shared" si="33"/>
        <v/>
      </c>
      <c r="X78" s="83">
        <f t="shared" si="38"/>
        <v>0</v>
      </c>
      <c r="Y78" s="83"/>
      <c r="Z78" s="83"/>
    </row>
    <row r="79" spans="1:26" hidden="1" outlineLevel="1" x14ac:dyDescent="0.25">
      <c r="A79" s="67">
        <f t="shared" si="39"/>
        <v>0</v>
      </c>
      <c r="B79" s="161">
        <f t="shared" si="34"/>
        <v>0</v>
      </c>
      <c r="C79" s="161">
        <f t="shared" si="44"/>
        <v>0</v>
      </c>
      <c r="D79" s="68">
        <f t="shared" si="40"/>
        <v>0</v>
      </c>
      <c r="E79" s="137"/>
      <c r="F79" s="66">
        <f t="shared" si="45"/>
        <v>0</v>
      </c>
      <c r="G79" s="66">
        <f>IF(OR(CAPI_TERM&gt;A79,MONTH(A79)&lt;&gt;PRIN_MATURITY,FIRST_PRIN&gt;A79),0,MAX(0,INT(((((VLOOKUP($A79,Summary!$D$14:$AX$56,COLUMNS(Summary!$D$15:$AX$15))+M79*2)/$V79-H80*2*R79)/(1+B79*R79)+IF($A79=SURPLUS_FUND_RELEASE_DATE,IF(SURPLUS_RELEASE_SIZING="Yes", SURPLUS_FUND_DEPOSIT,0),0)/(1+B79*R79)))/5000)*5000))</f>
        <v>0</v>
      </c>
      <c r="H79" s="66">
        <f t="shared" si="35"/>
        <v>0</v>
      </c>
      <c r="I79" s="66">
        <f t="shared" si="41"/>
        <v>0</v>
      </c>
      <c r="J79" s="70">
        <f t="shared" si="42"/>
        <v>0</v>
      </c>
      <c r="K79" s="66">
        <f t="shared" si="24"/>
        <v>0</v>
      </c>
      <c r="L79" s="85">
        <f t="shared" si="36"/>
        <v>0</v>
      </c>
      <c r="M79" s="85"/>
      <c r="N79" s="66">
        <f t="shared" si="43"/>
        <v>0</v>
      </c>
      <c r="O79" s="70">
        <f t="shared" si="37"/>
        <v>0</v>
      </c>
      <c r="P79" s="70">
        <f ca="1">$G$96-SUM($G$11:G79)</f>
        <v>0</v>
      </c>
      <c r="R79" s="68">
        <f t="shared" si="32"/>
        <v>0</v>
      </c>
      <c r="T79" s="83">
        <f>IF(ISNA(VLOOKUP($A79,Summary!$C$14:$AX$54,COLUMNS(Summary!$C$15:$AX$15),FALSE))=TRUE,0,VLOOKUP($A79,Summary!$C$14:$AX$56,COLUMNS(Summary!$C$15:$AX$15),FALSE))</f>
        <v>0</v>
      </c>
      <c r="U79" s="84">
        <f>IF(ISERROR(IF(ISNA(VLOOKUP($A79,Summary!$C$14:$AR$54,COLUMNS(Summary!$C$15:$AR$15),FALSE))=TRUE,0,VLOOKUP($A79,Summary!$C$14:$AR$54,COLUMNS(Summary!$C$15:$AR$15),FALSE))/O79),0,IF(ISNA(VLOOKUP($A79,Summary!$C$14:$AR$54,COLUMNS(Summary!$C$15:$AR$15),FALSE))=TRUE,0,VLOOKUP($A79,Summary!$C$14:$AR$54,COLUMNS(Summary!$C$15:$AR$15),FALSE))/O79)</f>
        <v>0</v>
      </c>
      <c r="V79" s="72" t="str">
        <f t="shared" si="33"/>
        <v/>
      </c>
      <c r="X79" s="83">
        <f t="shared" si="38"/>
        <v>0</v>
      </c>
      <c r="Y79" s="83"/>
      <c r="Z79" s="83"/>
    </row>
    <row r="80" spans="1:26" hidden="1" outlineLevel="1" x14ac:dyDescent="0.25">
      <c r="A80" s="67">
        <f t="shared" si="39"/>
        <v>0</v>
      </c>
      <c r="B80" s="161">
        <f t="shared" si="34"/>
        <v>0</v>
      </c>
      <c r="C80" s="161">
        <f t="shared" si="44"/>
        <v>0</v>
      </c>
      <c r="D80" s="68">
        <f t="shared" si="40"/>
        <v>0</v>
      </c>
      <c r="E80" s="137"/>
      <c r="F80" s="66">
        <f t="shared" si="45"/>
        <v>0</v>
      </c>
      <c r="G80" s="66">
        <f>IF(OR(CAPI_TERM&gt;A80,MONTH(A80)&lt;&gt;PRIN_MATURITY,FIRST_PRIN&gt;A80),0,MAX(0,INT(((((VLOOKUP($A80,Summary!$D$14:$AX$56,COLUMNS(Summary!$D$15:$AX$15))+M80*2)/$V80-H81*2*R80)/(1+B80*R80)+IF($A80=SURPLUS_FUND_RELEASE_DATE,IF(SURPLUS_RELEASE_SIZING="Yes", SURPLUS_FUND_DEPOSIT,0),0)/(1+B80*R80)))/5000)*5000))</f>
        <v>0</v>
      </c>
      <c r="H80" s="66">
        <f t="shared" si="35"/>
        <v>0</v>
      </c>
      <c r="I80" s="66">
        <f t="shared" si="41"/>
        <v>0</v>
      </c>
      <c r="J80" s="70">
        <f t="shared" si="42"/>
        <v>0</v>
      </c>
      <c r="K80" s="66">
        <f t="shared" si="24"/>
        <v>0</v>
      </c>
      <c r="L80" s="85">
        <f t="shared" si="36"/>
        <v>0</v>
      </c>
      <c r="M80" s="85"/>
      <c r="N80" s="66">
        <f t="shared" si="43"/>
        <v>0</v>
      </c>
      <c r="O80" s="70">
        <f t="shared" si="37"/>
        <v>0</v>
      </c>
      <c r="P80" s="70">
        <f ca="1">$G$96-SUM($G$11:G80)</f>
        <v>0</v>
      </c>
      <c r="R80" s="68">
        <f t="shared" si="32"/>
        <v>0</v>
      </c>
      <c r="T80" s="83">
        <f>IF(ISNA(VLOOKUP($A80,Summary!$C$14:$AX$54,COLUMNS(Summary!$C$15:$AX$15),FALSE))=TRUE,0,VLOOKUP($A80,Summary!$C$14:$AX$56,COLUMNS(Summary!$C$15:$AX$15),FALSE))</f>
        <v>0</v>
      </c>
      <c r="U80" s="84">
        <f>IF(ISERROR(IF(ISNA(VLOOKUP($A80,Summary!$C$14:$AR$54,COLUMNS(Summary!$C$15:$AR$15),FALSE))=TRUE,0,VLOOKUP($A80,Summary!$C$14:$AR$54,COLUMNS(Summary!$C$15:$AR$15),FALSE))/O80),0,IF(ISNA(VLOOKUP($A80,Summary!$C$14:$AR$54,COLUMNS(Summary!$C$15:$AR$15),FALSE))=TRUE,0,VLOOKUP($A80,Summary!$C$14:$AR$54,COLUMNS(Summary!$C$15:$AR$15),FALSE))/O80)</f>
        <v>0</v>
      </c>
      <c r="V80" s="72" t="str">
        <f t="shared" si="33"/>
        <v/>
      </c>
      <c r="X80" s="83">
        <f t="shared" si="38"/>
        <v>0</v>
      </c>
      <c r="Y80" s="83"/>
      <c r="Z80" s="83"/>
    </row>
    <row r="81" spans="1:26" hidden="1" outlineLevel="1" x14ac:dyDescent="0.25">
      <c r="A81" s="67">
        <f t="shared" si="39"/>
        <v>0</v>
      </c>
      <c r="B81" s="161">
        <f t="shared" si="34"/>
        <v>0</v>
      </c>
      <c r="C81" s="161">
        <f t="shared" si="44"/>
        <v>0</v>
      </c>
      <c r="D81" s="68">
        <f t="shared" si="40"/>
        <v>0</v>
      </c>
      <c r="E81" s="137"/>
      <c r="F81" s="66">
        <f t="shared" si="45"/>
        <v>0</v>
      </c>
      <c r="G81" s="66">
        <f>IF(OR(CAPI_TERM&gt;A81,MONTH(A81)&lt;&gt;PRIN_MATURITY,FIRST_PRIN&gt;A81),0,MAX(0,INT(((((VLOOKUP($A81,Summary!$D$14:$AX$56,COLUMNS(Summary!$D$15:$AX$15))+M81*2)/$V81-H82*2*R81)/(1+B81*R81)+IF($A81=SURPLUS_FUND_RELEASE_DATE,IF(SURPLUS_RELEASE_SIZING="Yes", SURPLUS_FUND_DEPOSIT,0),0)/(1+B81*R81)))/5000)*5000))</f>
        <v>0</v>
      </c>
      <c r="H81" s="66">
        <f t="shared" si="35"/>
        <v>0</v>
      </c>
      <c r="I81" s="66">
        <f t="shared" si="41"/>
        <v>0</v>
      </c>
      <c r="J81" s="70">
        <f t="shared" si="42"/>
        <v>0</v>
      </c>
      <c r="K81" s="66">
        <f t="shared" si="24"/>
        <v>0</v>
      </c>
      <c r="L81" s="85">
        <f t="shared" si="36"/>
        <v>0</v>
      </c>
      <c r="M81" s="85"/>
      <c r="N81" s="66">
        <f t="shared" si="43"/>
        <v>0</v>
      </c>
      <c r="O81" s="70">
        <f t="shared" si="37"/>
        <v>0</v>
      </c>
      <c r="P81" s="70">
        <f ca="1">$G$96-SUM($G$11:G81)</f>
        <v>0</v>
      </c>
      <c r="R81" s="68">
        <f t="shared" si="32"/>
        <v>0</v>
      </c>
      <c r="T81" s="83">
        <f>IF(ISNA(VLOOKUP($A81,Summary!$C$14:$AX$54,COLUMNS(Summary!$C$15:$AX$15),FALSE))=TRUE,0,VLOOKUP($A81,Summary!$C$14:$AX$56,COLUMNS(Summary!$C$15:$AX$15),FALSE))</f>
        <v>0</v>
      </c>
      <c r="U81" s="84">
        <f>IF(ISERROR(IF(ISNA(VLOOKUP($A81,Summary!$C$14:$AR$54,COLUMNS(Summary!$C$15:$AR$15),FALSE))=TRUE,0,VLOOKUP($A81,Summary!$C$14:$AR$54,COLUMNS(Summary!$C$15:$AR$15),FALSE))/O81),0,IF(ISNA(VLOOKUP($A81,Summary!$C$14:$AR$54,COLUMNS(Summary!$C$15:$AR$15),FALSE))=TRUE,0,VLOOKUP($A81,Summary!$C$14:$AR$54,COLUMNS(Summary!$C$15:$AR$15),FALSE))/O81)</f>
        <v>0</v>
      </c>
      <c r="V81" s="72" t="str">
        <f t="shared" si="33"/>
        <v/>
      </c>
      <c r="X81" s="83">
        <f t="shared" si="38"/>
        <v>0</v>
      </c>
      <c r="Y81" s="83"/>
      <c r="Z81" s="83"/>
    </row>
    <row r="82" spans="1:26" hidden="1" outlineLevel="1" x14ac:dyDescent="0.25">
      <c r="A82" s="67">
        <f t="shared" si="39"/>
        <v>0</v>
      </c>
      <c r="B82" s="161">
        <f t="shared" si="34"/>
        <v>0</v>
      </c>
      <c r="C82" s="161">
        <f t="shared" si="44"/>
        <v>0</v>
      </c>
      <c r="D82" s="68">
        <f t="shared" si="40"/>
        <v>0</v>
      </c>
      <c r="E82" s="137"/>
      <c r="F82" s="66">
        <f t="shared" si="45"/>
        <v>0</v>
      </c>
      <c r="G82" s="66">
        <f>IF(OR(CAPI_TERM&gt;A82,MONTH(A82)&lt;&gt;PRIN_MATURITY,FIRST_PRIN&gt;A82),0,MAX(0,INT(((((VLOOKUP($A82,Summary!$D$14:$AX$56,COLUMNS(Summary!$D$15:$AX$15))+M82*2)/$V82-H83*2*R82)/(1+B82*R82)+IF($A82=SURPLUS_FUND_RELEASE_DATE,IF(SURPLUS_RELEASE_SIZING="Yes", SURPLUS_FUND_DEPOSIT,0),0)/(1+B82*R82)))/5000)*5000))</f>
        <v>0</v>
      </c>
      <c r="H82" s="66">
        <f t="shared" si="35"/>
        <v>0</v>
      </c>
      <c r="I82" s="66">
        <f t="shared" si="41"/>
        <v>0</v>
      </c>
      <c r="J82" s="70">
        <f t="shared" si="42"/>
        <v>0</v>
      </c>
      <c r="K82" s="66">
        <f t="shared" si="24"/>
        <v>0</v>
      </c>
      <c r="L82" s="85">
        <f t="shared" si="36"/>
        <v>0</v>
      </c>
      <c r="M82" s="85"/>
      <c r="N82" s="66">
        <f t="shared" si="43"/>
        <v>0</v>
      </c>
      <c r="O82" s="70">
        <f t="shared" si="37"/>
        <v>0</v>
      </c>
      <c r="P82" s="70">
        <f ca="1">$G$96-SUM($G$11:G82)</f>
        <v>0</v>
      </c>
      <c r="R82" s="68">
        <f t="shared" si="32"/>
        <v>0</v>
      </c>
      <c r="T82" s="83">
        <f>IF(ISNA(VLOOKUP($A82,Summary!$C$14:$AX$54,COLUMNS(Summary!$C$15:$AX$15),FALSE))=TRUE,0,VLOOKUP($A82,Summary!$C$14:$AX$56,COLUMNS(Summary!$C$15:$AX$15),FALSE))</f>
        <v>0</v>
      </c>
      <c r="U82" s="84">
        <f>IF(ISERROR(IF(ISNA(VLOOKUP($A82,Summary!$C$14:$AR$54,COLUMNS(Summary!$C$15:$AR$15),FALSE))=TRUE,0,VLOOKUP($A82,Summary!$C$14:$AR$54,COLUMNS(Summary!$C$15:$AR$15),FALSE))/O82),0,IF(ISNA(VLOOKUP($A82,Summary!$C$14:$AR$54,COLUMNS(Summary!$C$15:$AR$15),FALSE))=TRUE,0,VLOOKUP($A82,Summary!$C$14:$AR$54,COLUMNS(Summary!$C$15:$AR$15),FALSE))/O82)</f>
        <v>0</v>
      </c>
      <c r="V82" s="72" t="str">
        <f t="shared" si="33"/>
        <v/>
      </c>
      <c r="X82" s="83">
        <f t="shared" si="38"/>
        <v>0</v>
      </c>
      <c r="Y82" s="83"/>
      <c r="Z82" s="83"/>
    </row>
    <row r="83" spans="1:26" hidden="1" outlineLevel="1" x14ac:dyDescent="0.25">
      <c r="A83" s="67">
        <f t="shared" si="39"/>
        <v>0</v>
      </c>
      <c r="B83" s="161">
        <f t="shared" si="34"/>
        <v>0</v>
      </c>
      <c r="C83" s="161">
        <f t="shared" si="44"/>
        <v>0</v>
      </c>
      <c r="D83" s="68">
        <f t="shared" si="40"/>
        <v>0</v>
      </c>
      <c r="E83" s="137"/>
      <c r="F83" s="66">
        <f t="shared" si="45"/>
        <v>0</v>
      </c>
      <c r="G83" s="66">
        <f>IF(OR(CAPI_TERM&gt;A83,MONTH(A83)&lt;&gt;PRIN_MATURITY,FIRST_PRIN&gt;A83),0,MAX(0,INT(((((VLOOKUP($A83,Summary!$D$14:$AX$56,COLUMNS(Summary!$D$15:$AX$15))+M83*2)/$V83-H84*2*R83)/(1+B83*R83)+IF($A83=SURPLUS_FUND_RELEASE_DATE,IF(SURPLUS_RELEASE_SIZING="Yes", SURPLUS_FUND_DEPOSIT,0),0)/(1+B83*R83)))/5000)*5000))</f>
        <v>0</v>
      </c>
      <c r="H83" s="66">
        <f t="shared" si="35"/>
        <v>0</v>
      </c>
      <c r="I83" s="66">
        <f t="shared" si="41"/>
        <v>0</v>
      </c>
      <c r="J83" s="70">
        <f t="shared" si="42"/>
        <v>0</v>
      </c>
      <c r="K83" s="66">
        <f t="shared" si="24"/>
        <v>0</v>
      </c>
      <c r="L83" s="85">
        <f t="shared" si="36"/>
        <v>0</v>
      </c>
      <c r="M83" s="85"/>
      <c r="N83" s="66">
        <f t="shared" si="43"/>
        <v>0</v>
      </c>
      <c r="O83" s="70">
        <f t="shared" si="37"/>
        <v>0</v>
      </c>
      <c r="P83" s="70">
        <f ca="1">$G$96-SUM($G$11:G83)</f>
        <v>0</v>
      </c>
      <c r="R83" s="68">
        <f t="shared" si="32"/>
        <v>0</v>
      </c>
      <c r="T83" s="83">
        <f>IF(ISNA(VLOOKUP($A83,Summary!$C$14:$AX$54,COLUMNS(Summary!$C$15:$AX$15),FALSE))=TRUE,0,VLOOKUP($A83,Summary!$C$14:$AX$56,COLUMNS(Summary!$C$15:$AX$15),FALSE))</f>
        <v>0</v>
      </c>
      <c r="U83" s="84">
        <f>IF(ISERROR(IF(ISNA(VLOOKUP($A83,Summary!$C$14:$AR$54,COLUMNS(Summary!$C$15:$AR$15),FALSE))=TRUE,0,VLOOKUP($A83,Summary!$C$14:$AR$54,COLUMNS(Summary!$C$15:$AR$15),FALSE))/O83),0,IF(ISNA(VLOOKUP($A83,Summary!$C$14:$AR$54,COLUMNS(Summary!$C$15:$AR$15),FALSE))=TRUE,0,VLOOKUP($A83,Summary!$C$14:$AR$54,COLUMNS(Summary!$C$15:$AR$15),FALSE))/O83)</f>
        <v>0</v>
      </c>
      <c r="V83" s="72" t="str">
        <f t="shared" si="33"/>
        <v/>
      </c>
      <c r="X83" s="83">
        <f t="shared" si="38"/>
        <v>0</v>
      </c>
      <c r="Y83" s="83"/>
      <c r="Z83" s="83"/>
    </row>
    <row r="84" spans="1:26" hidden="1" outlineLevel="1" x14ac:dyDescent="0.25">
      <c r="A84" s="67">
        <f t="shared" si="39"/>
        <v>0</v>
      </c>
      <c r="B84" s="161">
        <f t="shared" si="34"/>
        <v>0</v>
      </c>
      <c r="C84" s="161">
        <f t="shared" si="44"/>
        <v>0</v>
      </c>
      <c r="D84" s="68">
        <f t="shared" si="40"/>
        <v>0</v>
      </c>
      <c r="E84" s="137"/>
      <c r="F84" s="66">
        <f t="shared" si="45"/>
        <v>0</v>
      </c>
      <c r="G84" s="66">
        <f>IF(OR(CAPI_TERM&gt;A84,MONTH(A84)&lt;&gt;PRIN_MATURITY,FIRST_PRIN&gt;A84),0,MAX(0,INT(((((VLOOKUP($A84,Summary!$D$14:$AX$56,COLUMNS(Summary!$D$15:$AX$15))+M84*2)/$V84-H85*2*R84)/(1+B84*R84)+IF($A84=SURPLUS_FUND_RELEASE_DATE,IF(SURPLUS_RELEASE_SIZING="Yes", SURPLUS_FUND_DEPOSIT,0),0)/(1+B84*R84)))/5000)*5000))</f>
        <v>0</v>
      </c>
      <c r="H84" s="66">
        <f t="shared" si="35"/>
        <v>0</v>
      </c>
      <c r="I84" s="66">
        <f t="shared" si="41"/>
        <v>0</v>
      </c>
      <c r="J84" s="70">
        <f t="shared" si="42"/>
        <v>0</v>
      </c>
      <c r="K84" s="66">
        <f t="shared" si="24"/>
        <v>0</v>
      </c>
      <c r="L84" s="85">
        <f t="shared" si="36"/>
        <v>0</v>
      </c>
      <c r="M84" s="85"/>
      <c r="N84" s="66">
        <f t="shared" si="43"/>
        <v>0</v>
      </c>
      <c r="O84" s="70">
        <f t="shared" si="37"/>
        <v>0</v>
      </c>
      <c r="P84" s="70">
        <f ca="1">$G$96-SUM($G$11:G84)</f>
        <v>0</v>
      </c>
      <c r="R84" s="68">
        <f t="shared" si="32"/>
        <v>0</v>
      </c>
      <c r="T84" s="83">
        <f>IF(ISNA(VLOOKUP($A84,Summary!$C$14:$AX$54,COLUMNS(Summary!$C$15:$AX$15),FALSE))=TRUE,0,VLOOKUP($A84,Summary!$C$14:$AX$56,COLUMNS(Summary!$C$15:$AX$15),FALSE))</f>
        <v>0</v>
      </c>
      <c r="U84" s="84">
        <f>IF(ISERROR(IF(ISNA(VLOOKUP($A84,Summary!$C$14:$AR$54,COLUMNS(Summary!$C$15:$AR$15),FALSE))=TRUE,0,VLOOKUP($A84,Summary!$C$14:$AR$54,COLUMNS(Summary!$C$15:$AR$15),FALSE))/O84),0,IF(ISNA(VLOOKUP($A84,Summary!$C$14:$AR$54,COLUMNS(Summary!$C$15:$AR$15),FALSE))=TRUE,0,VLOOKUP($A84,Summary!$C$14:$AR$54,COLUMNS(Summary!$C$15:$AR$15),FALSE))/O84)</f>
        <v>0</v>
      </c>
      <c r="V84" s="72" t="str">
        <f t="shared" si="33"/>
        <v/>
      </c>
      <c r="X84" s="83">
        <f t="shared" si="38"/>
        <v>0</v>
      </c>
      <c r="Y84" s="83"/>
      <c r="Z84" s="83"/>
    </row>
    <row r="85" spans="1:26" hidden="1" outlineLevel="1" x14ac:dyDescent="0.25">
      <c r="A85" s="67">
        <f t="shared" si="39"/>
        <v>0</v>
      </c>
      <c r="B85" s="161">
        <f t="shared" si="34"/>
        <v>0</v>
      </c>
      <c r="C85" s="161">
        <f t="shared" si="44"/>
        <v>0</v>
      </c>
      <c r="D85" s="68">
        <f t="shared" si="40"/>
        <v>0</v>
      </c>
      <c r="E85" s="137"/>
      <c r="F85" s="66">
        <f t="shared" si="45"/>
        <v>0</v>
      </c>
      <c r="G85" s="66">
        <f>IF(OR(CAPI_TERM&gt;A85,MONTH(A85)&lt;&gt;PRIN_MATURITY,FIRST_PRIN&gt;A85),0,MAX(0,INT(((((VLOOKUP($A85,Summary!$D$14:$AX$56,COLUMNS(Summary!$D$15:$AX$15))+M85*2)/$V85-H86*2*R85)/(1+B85*R85)+IF($A85=SURPLUS_FUND_RELEASE_DATE,IF(SURPLUS_RELEASE_SIZING="Yes", SURPLUS_FUND_DEPOSIT,0),0)/(1+B85*R85)))/5000)*5000))</f>
        <v>0</v>
      </c>
      <c r="H85" s="66">
        <f t="shared" si="35"/>
        <v>0</v>
      </c>
      <c r="I85" s="66">
        <f t="shared" si="41"/>
        <v>0</v>
      </c>
      <c r="J85" s="70">
        <f t="shared" si="42"/>
        <v>0</v>
      </c>
      <c r="K85" s="66">
        <f t="shared" si="24"/>
        <v>0</v>
      </c>
      <c r="L85" s="85">
        <f t="shared" si="36"/>
        <v>0</v>
      </c>
      <c r="M85" s="85"/>
      <c r="N85" s="66">
        <f t="shared" si="43"/>
        <v>0</v>
      </c>
      <c r="O85" s="70">
        <f t="shared" si="37"/>
        <v>0</v>
      </c>
      <c r="P85" s="70">
        <f ca="1">$G$96-SUM($G$11:G85)</f>
        <v>0</v>
      </c>
      <c r="R85" s="68">
        <f t="shared" si="32"/>
        <v>0</v>
      </c>
      <c r="T85" s="83">
        <f>IF(ISNA(VLOOKUP($A85,Summary!$C$14:$AX$54,COLUMNS(Summary!$C$15:$AX$15),FALSE))=TRUE,0,VLOOKUP($A85,Summary!$C$14:$AX$56,COLUMNS(Summary!$C$15:$AX$15),FALSE))</f>
        <v>0</v>
      </c>
      <c r="U85" s="84">
        <f>IF(ISERROR(IF(ISNA(VLOOKUP($A85,Summary!$C$14:$AR$54,COLUMNS(Summary!$C$15:$AR$15),FALSE))=TRUE,0,VLOOKUP($A85,Summary!$C$14:$AR$54,COLUMNS(Summary!$C$15:$AR$15),FALSE))/O85),0,IF(ISNA(VLOOKUP($A85,Summary!$C$14:$AR$54,COLUMNS(Summary!$C$15:$AR$15),FALSE))=TRUE,0,VLOOKUP($A85,Summary!$C$14:$AR$54,COLUMNS(Summary!$C$15:$AR$15),FALSE))/O85)</f>
        <v>0</v>
      </c>
      <c r="V85" s="72" t="str">
        <f t="shared" si="33"/>
        <v/>
      </c>
      <c r="X85" s="83">
        <f t="shared" si="38"/>
        <v>0</v>
      </c>
      <c r="Y85" s="83"/>
      <c r="Z85" s="83"/>
    </row>
    <row r="86" spans="1:26" hidden="1" outlineLevel="1" x14ac:dyDescent="0.25">
      <c r="A86" s="67">
        <f t="shared" si="39"/>
        <v>0</v>
      </c>
      <c r="B86" s="161">
        <f t="shared" si="34"/>
        <v>0</v>
      </c>
      <c r="C86" s="161">
        <f t="shared" si="44"/>
        <v>0</v>
      </c>
      <c r="D86" s="68">
        <f t="shared" si="40"/>
        <v>0</v>
      </c>
      <c r="E86" s="137"/>
      <c r="F86" s="66">
        <f t="shared" si="45"/>
        <v>0</v>
      </c>
      <c r="G86" s="66">
        <f>IF(OR(CAPI_TERM&gt;A86,MONTH(A86)&lt;&gt;PRIN_MATURITY,FIRST_PRIN&gt;A86),0,MAX(0,INT(((((VLOOKUP($A86,Summary!$D$14:$AX$56,COLUMNS(Summary!$D$15:$AX$15))+M86*2)/$V86-H87*2*R86)/(1+B86*R86)+IF($A86=SURPLUS_FUND_RELEASE_DATE,IF(SURPLUS_RELEASE_SIZING="Yes", SURPLUS_FUND_DEPOSIT,0),0)/(1+B86*R86)))/5000)*5000))</f>
        <v>0</v>
      </c>
      <c r="H86" s="66">
        <f t="shared" si="35"/>
        <v>0</v>
      </c>
      <c r="I86" s="66">
        <f t="shared" si="41"/>
        <v>0</v>
      </c>
      <c r="J86" s="70">
        <f t="shared" si="42"/>
        <v>0</v>
      </c>
      <c r="K86" s="66">
        <f t="shared" si="24"/>
        <v>0</v>
      </c>
      <c r="L86" s="85">
        <f t="shared" si="36"/>
        <v>0</v>
      </c>
      <c r="M86" s="85"/>
      <c r="N86" s="66">
        <f t="shared" si="43"/>
        <v>0</v>
      </c>
      <c r="O86" s="70">
        <f t="shared" si="37"/>
        <v>0</v>
      </c>
      <c r="P86" s="70">
        <f ca="1">$G$96-SUM($G$11:G86)</f>
        <v>0</v>
      </c>
      <c r="R86" s="68">
        <f t="shared" si="32"/>
        <v>0</v>
      </c>
      <c r="T86" s="83">
        <f>IF(ISNA(VLOOKUP($A86,Summary!$C$14:$AX$54,COLUMNS(Summary!$C$15:$AX$15),FALSE))=TRUE,0,VLOOKUP($A86,Summary!$C$14:$AX$56,COLUMNS(Summary!$C$15:$AX$15),FALSE))</f>
        <v>0</v>
      </c>
      <c r="U86" s="84">
        <f>IF(ISERROR(IF(ISNA(VLOOKUP($A86,Summary!$C$14:$AR$54,COLUMNS(Summary!$C$15:$AR$15),FALSE))=TRUE,0,VLOOKUP($A86,Summary!$C$14:$AR$54,COLUMNS(Summary!$C$15:$AR$15),FALSE))/O86),0,IF(ISNA(VLOOKUP($A86,Summary!$C$14:$AR$54,COLUMNS(Summary!$C$15:$AR$15),FALSE))=TRUE,0,VLOOKUP($A86,Summary!$C$14:$AR$54,COLUMNS(Summary!$C$15:$AR$15),FALSE))/O86)</f>
        <v>0</v>
      </c>
      <c r="V86" s="72" t="str">
        <f t="shared" si="33"/>
        <v/>
      </c>
      <c r="X86" s="83">
        <f t="shared" si="38"/>
        <v>0</v>
      </c>
      <c r="Y86" s="83"/>
      <c r="Z86" s="83"/>
    </row>
    <row r="87" spans="1:26" hidden="1" outlineLevel="1" x14ac:dyDescent="0.25">
      <c r="A87" s="67">
        <f t="shared" si="39"/>
        <v>0</v>
      </c>
      <c r="B87" s="161">
        <f t="shared" si="34"/>
        <v>0</v>
      </c>
      <c r="C87" s="161">
        <f t="shared" si="44"/>
        <v>0</v>
      </c>
      <c r="D87" s="68">
        <f t="shared" si="40"/>
        <v>0</v>
      </c>
      <c r="E87" s="137"/>
      <c r="F87" s="66">
        <f t="shared" si="45"/>
        <v>0</v>
      </c>
      <c r="G87" s="66">
        <f>IF(OR(CAPI_TERM&gt;A87,MONTH(A87)&lt;&gt;PRIN_MATURITY,FIRST_PRIN&gt;A87),0,MAX(0,INT(((((VLOOKUP($A87,Summary!$D$14:$AX$56,COLUMNS(Summary!$D$15:$AX$15))+M87*2)/$V87-H88*2*R87)/(1+B87*R87)+IF($A87=SURPLUS_FUND_RELEASE_DATE,IF(SURPLUS_RELEASE_SIZING="Yes", SURPLUS_FUND_DEPOSIT,0),0)/(1+B87*R87)))/5000)*5000))</f>
        <v>0</v>
      </c>
      <c r="H87" s="66">
        <f t="shared" si="35"/>
        <v>0</v>
      </c>
      <c r="I87" s="66">
        <f t="shared" si="41"/>
        <v>0</v>
      </c>
      <c r="J87" s="70">
        <f t="shared" si="42"/>
        <v>0</v>
      </c>
      <c r="K87" s="66">
        <f t="shared" si="24"/>
        <v>0</v>
      </c>
      <c r="L87" s="85">
        <f t="shared" si="36"/>
        <v>0</v>
      </c>
      <c r="M87" s="85"/>
      <c r="N87" s="66">
        <f t="shared" si="43"/>
        <v>0</v>
      </c>
      <c r="O87" s="70">
        <f t="shared" si="37"/>
        <v>0</v>
      </c>
      <c r="P87" s="70">
        <f ca="1">$G$96-SUM($G$11:G87)</f>
        <v>0</v>
      </c>
      <c r="R87" s="68">
        <f t="shared" si="32"/>
        <v>0</v>
      </c>
      <c r="T87" s="83">
        <f>IF(ISNA(VLOOKUP($A87,Summary!$C$14:$AX$54,COLUMNS(Summary!$C$15:$AX$15),FALSE))=TRUE,0,VLOOKUP($A87,Summary!$C$14:$AX$56,COLUMNS(Summary!$C$15:$AX$15),FALSE))</f>
        <v>0</v>
      </c>
      <c r="U87" s="84">
        <f>IF(ISERROR(IF(ISNA(VLOOKUP($A87,Summary!$C$14:$AR$54,COLUMNS(Summary!$C$15:$AR$15),FALSE))=TRUE,0,VLOOKUP($A87,Summary!$C$14:$AR$54,COLUMNS(Summary!$C$15:$AR$15),FALSE))/O87),0,IF(ISNA(VLOOKUP($A87,Summary!$C$14:$AR$54,COLUMNS(Summary!$C$15:$AR$15),FALSE))=TRUE,0,VLOOKUP($A87,Summary!$C$14:$AR$54,COLUMNS(Summary!$C$15:$AR$15),FALSE))/O87)</f>
        <v>0</v>
      </c>
      <c r="V87" s="72" t="str">
        <f t="shared" si="33"/>
        <v/>
      </c>
      <c r="X87" s="83">
        <f t="shared" si="38"/>
        <v>0</v>
      </c>
      <c r="Y87" s="83"/>
      <c r="Z87" s="83"/>
    </row>
    <row r="88" spans="1:26" hidden="1" outlineLevel="1" x14ac:dyDescent="0.25">
      <c r="A88" s="67">
        <f t="shared" si="39"/>
        <v>0</v>
      </c>
      <c r="B88" s="161">
        <f t="shared" si="34"/>
        <v>0</v>
      </c>
      <c r="C88" s="161">
        <f t="shared" si="44"/>
        <v>0</v>
      </c>
      <c r="D88" s="68">
        <f t="shared" si="40"/>
        <v>0</v>
      </c>
      <c r="E88" s="137"/>
      <c r="F88" s="66">
        <f t="shared" si="45"/>
        <v>0</v>
      </c>
      <c r="G88" s="66">
        <f>IF(OR(CAPI_TERM&gt;A88,MONTH(A88)&lt;&gt;PRIN_MATURITY,FIRST_PRIN&gt;A88),0,MAX(0,INT(((((VLOOKUP($A88,Summary!$D$14:$AX$56,COLUMNS(Summary!$D$15:$AX$15))+M88*2)/$V88-H89*2*R88)/(1+B88*R88)+IF($A88=SURPLUS_FUND_RELEASE_DATE,IF(SURPLUS_RELEASE_SIZING="Yes", SURPLUS_FUND_DEPOSIT,0),0)/(1+B88*R88)))/5000)*5000))</f>
        <v>0</v>
      </c>
      <c r="H88" s="66">
        <f t="shared" si="35"/>
        <v>0</v>
      </c>
      <c r="I88" s="66">
        <f t="shared" si="41"/>
        <v>0</v>
      </c>
      <c r="J88" s="70">
        <f t="shared" si="42"/>
        <v>0</v>
      </c>
      <c r="K88" s="66">
        <f t="shared" si="24"/>
        <v>0</v>
      </c>
      <c r="L88" s="85">
        <f t="shared" si="36"/>
        <v>0</v>
      </c>
      <c r="M88" s="85"/>
      <c r="N88" s="66">
        <f t="shared" si="43"/>
        <v>0</v>
      </c>
      <c r="O88" s="70">
        <f t="shared" si="37"/>
        <v>0</v>
      </c>
      <c r="P88" s="70">
        <f ca="1">$G$96-SUM($G$11:G88)</f>
        <v>0</v>
      </c>
      <c r="R88" s="68">
        <f t="shared" si="32"/>
        <v>0</v>
      </c>
      <c r="T88" s="83">
        <f>IF(ISNA(VLOOKUP($A88,Summary!$C$14:$AX$54,COLUMNS(Summary!$C$15:$AX$15),FALSE))=TRUE,0,VLOOKUP($A88,Summary!$C$14:$AX$56,COLUMNS(Summary!$C$15:$AX$15),FALSE))</f>
        <v>0</v>
      </c>
      <c r="U88" s="84">
        <f>IF(ISERROR(IF(ISNA(VLOOKUP($A88,Summary!$C$14:$AR$54,COLUMNS(Summary!$C$15:$AR$15),FALSE))=TRUE,0,VLOOKUP($A88,Summary!$C$14:$AR$54,COLUMNS(Summary!$C$15:$AR$15),FALSE))/O88),0,IF(ISNA(VLOOKUP($A88,Summary!$C$14:$AR$54,COLUMNS(Summary!$C$15:$AR$15),FALSE))=TRUE,0,VLOOKUP($A88,Summary!$C$14:$AR$54,COLUMNS(Summary!$C$15:$AR$15),FALSE))/O88)</f>
        <v>0</v>
      </c>
      <c r="V88" s="72" t="str">
        <f t="shared" si="33"/>
        <v/>
      </c>
      <c r="X88" s="83">
        <f t="shared" si="38"/>
        <v>0</v>
      </c>
      <c r="Y88" s="83"/>
      <c r="Z88" s="83"/>
    </row>
    <row r="89" spans="1:26" hidden="1" outlineLevel="1" x14ac:dyDescent="0.25">
      <c r="A89" s="67">
        <f t="shared" si="39"/>
        <v>0</v>
      </c>
      <c r="B89" s="161">
        <f t="shared" si="34"/>
        <v>0</v>
      </c>
      <c r="C89" s="161">
        <f t="shared" si="44"/>
        <v>0</v>
      </c>
      <c r="D89" s="68">
        <f t="shared" si="40"/>
        <v>0</v>
      </c>
      <c r="E89" s="137"/>
      <c r="F89" s="66">
        <f t="shared" si="45"/>
        <v>0</v>
      </c>
      <c r="G89" s="66">
        <f>IF(OR(CAPI_TERM&gt;A89,MONTH(A89)&lt;&gt;PRIN_MATURITY,FIRST_PRIN&gt;A89),0,MAX(0,INT(((((VLOOKUP($A89,Summary!$D$14:$AX$56,COLUMNS(Summary!$D$15:$AX$15))+M89*2)/$V89-H90*2*R89)/(1+B89*R89)+IF($A89=SURPLUS_FUND_RELEASE_DATE,IF(SURPLUS_RELEASE_SIZING="Yes", SURPLUS_FUND_DEPOSIT,0),0)/(1+B89*R89)))/5000)*5000))</f>
        <v>0</v>
      </c>
      <c r="H89" s="66">
        <f t="shared" si="35"/>
        <v>0</v>
      </c>
      <c r="I89" s="66">
        <f t="shared" si="41"/>
        <v>0</v>
      </c>
      <c r="J89" s="70">
        <f t="shared" si="42"/>
        <v>0</v>
      </c>
      <c r="K89" s="66">
        <f t="shared" si="24"/>
        <v>0</v>
      </c>
      <c r="L89" s="85">
        <f t="shared" si="36"/>
        <v>0</v>
      </c>
      <c r="M89" s="85"/>
      <c r="N89" s="66">
        <f t="shared" si="43"/>
        <v>0</v>
      </c>
      <c r="O89" s="70">
        <f t="shared" si="37"/>
        <v>0</v>
      </c>
      <c r="P89" s="70">
        <f ca="1">$G$96-SUM($G$11:G89)</f>
        <v>0</v>
      </c>
      <c r="R89" s="68">
        <f t="shared" si="32"/>
        <v>0</v>
      </c>
      <c r="T89" s="83">
        <f>IF(ISNA(VLOOKUP($A89,Summary!$C$14:$AX$54,COLUMNS(Summary!$C$15:$AX$15),FALSE))=TRUE,0,VLOOKUP($A89,Summary!$C$14:$AX$56,COLUMNS(Summary!$C$15:$AX$15),FALSE))</f>
        <v>0</v>
      </c>
      <c r="U89" s="84">
        <f>IF(ISERROR(IF(ISNA(VLOOKUP($A89,Summary!$C$14:$AR$54,COLUMNS(Summary!$C$15:$AR$15),FALSE))=TRUE,0,VLOOKUP($A89,Summary!$C$14:$AR$54,COLUMNS(Summary!$C$15:$AR$15),FALSE))/O89),0,IF(ISNA(VLOOKUP($A89,Summary!$C$14:$AR$54,COLUMNS(Summary!$C$15:$AR$15),FALSE))=TRUE,0,VLOOKUP($A89,Summary!$C$14:$AR$54,COLUMNS(Summary!$C$15:$AR$15),FALSE))/O89)</f>
        <v>0</v>
      </c>
      <c r="V89" s="72" t="str">
        <f t="shared" si="33"/>
        <v/>
      </c>
      <c r="X89" s="83">
        <f t="shared" si="38"/>
        <v>0</v>
      </c>
      <c r="Y89" s="83"/>
      <c r="Z89" s="83"/>
    </row>
    <row r="90" spans="1:26" hidden="1" outlineLevel="1" x14ac:dyDescent="0.25">
      <c r="A90" s="67">
        <f t="shared" si="39"/>
        <v>0</v>
      </c>
      <c r="B90" s="161">
        <f t="shared" si="34"/>
        <v>0</v>
      </c>
      <c r="C90" s="161">
        <f t="shared" si="44"/>
        <v>0</v>
      </c>
      <c r="D90" s="68">
        <f t="shared" si="40"/>
        <v>0</v>
      </c>
      <c r="E90" s="137"/>
      <c r="F90" s="66">
        <f t="shared" si="45"/>
        <v>0</v>
      </c>
      <c r="G90" s="66">
        <f>IF(OR(CAPI_TERM&gt;A90,MONTH(A90)&lt;&gt;PRIN_MATURITY,FIRST_PRIN&gt;A90),0,MAX(0,INT(((((VLOOKUP($A90,Summary!$D$14:$AX$56,COLUMNS(Summary!$D$15:$AX$15))+M90*2)/$V90-H91*2*R90)/(1+B90*R90)+IF($A90=SURPLUS_FUND_RELEASE_DATE,IF(SURPLUS_RELEASE_SIZING="Yes", SURPLUS_FUND_DEPOSIT,0),0)/(1+B90*R90)))/5000)*5000))</f>
        <v>0</v>
      </c>
      <c r="H90" s="66">
        <f t="shared" si="35"/>
        <v>0</v>
      </c>
      <c r="I90" s="66">
        <f t="shared" si="41"/>
        <v>0</v>
      </c>
      <c r="J90" s="70">
        <f t="shared" si="42"/>
        <v>0</v>
      </c>
      <c r="K90" s="66">
        <f t="shared" si="24"/>
        <v>0</v>
      </c>
      <c r="L90" s="85">
        <f t="shared" si="36"/>
        <v>0</v>
      </c>
      <c r="M90" s="85"/>
      <c r="N90" s="66">
        <f t="shared" si="43"/>
        <v>0</v>
      </c>
      <c r="O90" s="70">
        <f t="shared" si="37"/>
        <v>0</v>
      </c>
      <c r="P90" s="70">
        <f ca="1">$G$96-SUM($G$11:G90)</f>
        <v>0</v>
      </c>
      <c r="R90" s="68">
        <f t="shared" si="32"/>
        <v>0</v>
      </c>
      <c r="T90" s="83">
        <f>IF(ISNA(VLOOKUP($A90,Summary!$C$14:$AX$54,COLUMNS(Summary!$C$15:$AX$15),FALSE))=TRUE,0,VLOOKUP($A90,Summary!$C$14:$AX$56,COLUMNS(Summary!$C$15:$AX$15),FALSE))</f>
        <v>0</v>
      </c>
      <c r="U90" s="84">
        <f>IF(ISERROR(IF(ISNA(VLOOKUP($A90,Summary!$C$14:$AR$54,COLUMNS(Summary!$C$15:$AR$15),FALSE))=TRUE,0,VLOOKUP($A90,Summary!$C$14:$AR$54,COLUMNS(Summary!$C$15:$AR$15),FALSE))/O90),0,IF(ISNA(VLOOKUP($A90,Summary!$C$14:$AR$54,COLUMNS(Summary!$C$15:$AR$15),FALSE))=TRUE,0,VLOOKUP($A90,Summary!$C$14:$AR$54,COLUMNS(Summary!$C$15:$AR$15),FALSE))/O90)</f>
        <v>0</v>
      </c>
      <c r="V90" s="72" t="str">
        <f t="shared" si="33"/>
        <v/>
      </c>
      <c r="X90" s="83">
        <f t="shared" si="38"/>
        <v>0</v>
      </c>
      <c r="Y90" s="83"/>
      <c r="Z90" s="83"/>
    </row>
    <row r="91" spans="1:26" hidden="1" outlineLevel="1" x14ac:dyDescent="0.25">
      <c r="A91" s="67">
        <f t="shared" si="39"/>
        <v>0</v>
      </c>
      <c r="B91" s="161">
        <f t="shared" si="34"/>
        <v>0</v>
      </c>
      <c r="C91" s="161">
        <f t="shared" si="44"/>
        <v>0</v>
      </c>
      <c r="D91" s="68">
        <f t="shared" si="40"/>
        <v>0</v>
      </c>
      <c r="E91" s="137"/>
      <c r="F91" s="66">
        <f t="shared" si="45"/>
        <v>0</v>
      </c>
      <c r="G91" s="66">
        <f>IF(OR(CAPI_TERM&gt;A91,MONTH(A91)&lt;&gt;PRIN_MATURITY,FIRST_PRIN&gt;A91),0,MAX(0,INT(((((VLOOKUP($A91,Summary!$D$14:$AX$56,COLUMNS(Summary!$D$15:$AX$15))+M91*2)/$V91-H92*2*R91)/(1+B91*R91)+IF($A91=SURPLUS_FUND_RELEASE_DATE,IF(SURPLUS_RELEASE_SIZING="Yes", SURPLUS_FUND_DEPOSIT,0),0)/(1+B91*R91)))/5000)*5000))</f>
        <v>0</v>
      </c>
      <c r="H91" s="66">
        <f t="shared" si="35"/>
        <v>0</v>
      </c>
      <c r="I91" s="66">
        <f t="shared" si="41"/>
        <v>0</v>
      </c>
      <c r="J91" s="70">
        <f t="shared" si="42"/>
        <v>0</v>
      </c>
      <c r="K91" s="66">
        <f t="shared" si="24"/>
        <v>0</v>
      </c>
      <c r="L91" s="85">
        <f t="shared" si="36"/>
        <v>0</v>
      </c>
      <c r="M91" s="85"/>
      <c r="N91" s="66">
        <f t="shared" si="43"/>
        <v>0</v>
      </c>
      <c r="O91" s="70">
        <f t="shared" si="37"/>
        <v>0</v>
      </c>
      <c r="P91" s="70">
        <f ca="1">$G$96-SUM($G$11:G91)</f>
        <v>0</v>
      </c>
      <c r="R91" s="68">
        <f t="shared" si="32"/>
        <v>0</v>
      </c>
      <c r="T91" s="83">
        <f>IF(ISNA(VLOOKUP($A91,Summary!$C$14:$AX$54,COLUMNS(Summary!$C$15:$AX$15),FALSE))=TRUE,0,VLOOKUP($A91,Summary!$C$14:$AX$56,COLUMNS(Summary!$C$15:$AX$15),FALSE))</f>
        <v>0</v>
      </c>
      <c r="U91" s="84">
        <f>IF(ISERROR(IF(ISNA(VLOOKUP($A91,Summary!$C$14:$AR$54,COLUMNS(Summary!$C$15:$AR$15),FALSE))=TRUE,0,VLOOKUP($A91,Summary!$C$14:$AR$54,COLUMNS(Summary!$C$15:$AR$15),FALSE))/O91),0,IF(ISNA(VLOOKUP($A91,Summary!$C$14:$AR$54,COLUMNS(Summary!$C$15:$AR$15),FALSE))=TRUE,0,VLOOKUP($A91,Summary!$C$14:$AR$54,COLUMNS(Summary!$C$15:$AR$15),FALSE))/O91)</f>
        <v>0</v>
      </c>
      <c r="V91" s="72" t="str">
        <f t="shared" si="33"/>
        <v/>
      </c>
      <c r="X91" s="83">
        <f t="shared" si="38"/>
        <v>0</v>
      </c>
      <c r="Y91" s="83"/>
      <c r="Z91" s="83"/>
    </row>
    <row r="92" spans="1:26" hidden="1" outlineLevel="1" x14ac:dyDescent="0.25">
      <c r="A92" s="67">
        <f t="shared" si="39"/>
        <v>0</v>
      </c>
      <c r="B92" s="161">
        <f t="shared" si="34"/>
        <v>0</v>
      </c>
      <c r="C92" s="161">
        <f t="shared" si="44"/>
        <v>0</v>
      </c>
      <c r="D92" s="68">
        <f t="shared" si="40"/>
        <v>0</v>
      </c>
      <c r="E92" s="137"/>
      <c r="F92" s="66">
        <f t="shared" si="45"/>
        <v>0</v>
      </c>
      <c r="G92" s="66">
        <f>IF(OR(CAPI_TERM&gt;A92,MONTH(A92)&lt;&gt;PRIN_MATURITY,FIRST_PRIN&gt;A92),0,MAX(0,INT(((((VLOOKUP($A92,Summary!$D$14:$AX$56,COLUMNS(Summary!$D$15:$AX$15))+M92*2)/$V92-H93*2*R92)/(1+B92*R92)+IF($A92=SURPLUS_FUND_RELEASE_DATE,IF(SURPLUS_RELEASE_SIZING="Yes", SURPLUS_FUND_DEPOSIT,0),0)/(1+B92*R92)))/5000)*5000))</f>
        <v>0</v>
      </c>
      <c r="H92" s="66">
        <f t="shared" si="35"/>
        <v>0</v>
      </c>
      <c r="I92" s="66">
        <f t="shared" si="41"/>
        <v>0</v>
      </c>
      <c r="J92" s="70">
        <f t="shared" si="42"/>
        <v>0</v>
      </c>
      <c r="K92" s="66">
        <f t="shared" si="24"/>
        <v>0</v>
      </c>
      <c r="L92" s="85">
        <f t="shared" si="36"/>
        <v>0</v>
      </c>
      <c r="M92" s="85"/>
      <c r="N92" s="66">
        <f t="shared" si="43"/>
        <v>0</v>
      </c>
      <c r="O92" s="70">
        <f t="shared" si="37"/>
        <v>0</v>
      </c>
      <c r="P92" s="70">
        <f ca="1">$G$96-SUM($G$11:G92)</f>
        <v>0</v>
      </c>
      <c r="R92" s="68">
        <f t="shared" si="32"/>
        <v>0</v>
      </c>
      <c r="T92" s="83">
        <f>IF(ISNA(VLOOKUP($A92,Summary!$C$14:$AX$54,COLUMNS(Summary!$C$15:$AX$15),FALSE))=TRUE,0,VLOOKUP($A92,Summary!$C$14:$AX$56,COLUMNS(Summary!$C$15:$AX$15),FALSE))</f>
        <v>0</v>
      </c>
      <c r="U92" s="84">
        <f>IF(ISERROR(IF(ISNA(VLOOKUP($A92,Summary!$C$14:$AR$54,COLUMNS(Summary!$C$15:$AR$15),FALSE))=TRUE,0,VLOOKUP($A92,Summary!$C$14:$AR$54,COLUMNS(Summary!$C$15:$AR$15),FALSE))/O92),0,IF(ISNA(VLOOKUP($A92,Summary!$C$14:$AR$54,COLUMNS(Summary!$C$15:$AR$15),FALSE))=TRUE,0,VLOOKUP($A92,Summary!$C$14:$AR$54,COLUMNS(Summary!$C$15:$AR$15),FALSE))/O92)</f>
        <v>0</v>
      </c>
      <c r="V92" s="72" t="str">
        <f t="shared" si="33"/>
        <v/>
      </c>
      <c r="X92" s="83">
        <f t="shared" si="38"/>
        <v>0</v>
      </c>
    </row>
    <row r="93" spans="1:26" hidden="1" outlineLevel="1" x14ac:dyDescent="0.25">
      <c r="A93" s="67">
        <f t="shared" si="39"/>
        <v>0</v>
      </c>
      <c r="B93" s="161">
        <f t="shared" si="34"/>
        <v>0</v>
      </c>
      <c r="C93" s="68"/>
      <c r="D93" s="68"/>
      <c r="E93" s="137"/>
      <c r="F93" s="66">
        <f t="shared" si="45"/>
        <v>0</v>
      </c>
      <c r="G93" s="66">
        <f>IF(OR(CAPI_TERM&gt;A93,MONTH(A93)&lt;&gt;PRIN_MATURITY,FIRST_PRIN&gt;A93),0,MAX(0,INT(((((VLOOKUP($A93,Summary!$D$14:$AX$56,COLUMNS(Summary!$D$15:$AX$15))+M93*2)/$V93-H94*2*R93)/(1+B93*R93)+IF($A93=SURPLUS_FUND_RELEASE_DATE,IF(SURPLUS_RELEASE_SIZING="Yes", SURPLUS_FUND_DEPOSIT,0),0)/(1+B93*R93)))/5000)*5000))</f>
        <v>0</v>
      </c>
      <c r="H93" s="66">
        <f t="shared" si="35"/>
        <v>0</v>
      </c>
      <c r="I93" s="66">
        <f t="shared" si="41"/>
        <v>0</v>
      </c>
      <c r="J93" s="70">
        <f t="shared" si="42"/>
        <v>0</v>
      </c>
      <c r="K93" s="66"/>
      <c r="L93" s="85">
        <f t="shared" si="36"/>
        <v>0</v>
      </c>
      <c r="M93" s="85"/>
      <c r="N93" s="66">
        <f t="shared" si="43"/>
        <v>0</v>
      </c>
      <c r="O93" s="70">
        <f t="shared" si="37"/>
        <v>0</v>
      </c>
      <c r="P93" s="70">
        <f ca="1">$G$96-SUM($G$11:G93)</f>
        <v>0</v>
      </c>
      <c r="R93" s="68"/>
      <c r="V93" s="72"/>
    </row>
    <row r="94" spans="1:26" collapsed="1" x14ac:dyDescent="0.25">
      <c r="A94" s="67"/>
      <c r="B94" s="68"/>
      <c r="C94" s="73"/>
      <c r="D94" s="74"/>
      <c r="E94" s="138"/>
      <c r="F94" s="74"/>
      <c r="G94" s="66"/>
      <c r="H94" s="66"/>
      <c r="I94" s="66"/>
      <c r="J94" s="66"/>
      <c r="K94" s="66"/>
      <c r="L94" s="66"/>
      <c r="M94" s="66"/>
      <c r="N94" s="66"/>
      <c r="O94" s="70"/>
      <c r="P94" s="70"/>
      <c r="R94" s="73"/>
      <c r="V94" s="72" t="str">
        <f>IF($B94&lt;&gt;0,DSC_SENIOR_LIEN_BONDS,"")</f>
        <v/>
      </c>
    </row>
    <row r="95" spans="1:26" x14ac:dyDescent="0.25">
      <c r="A95" s="67"/>
      <c r="B95" s="178"/>
      <c r="C95" s="178"/>
      <c r="D95" s="106"/>
      <c r="E95" s="179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78"/>
      <c r="S95" s="106"/>
      <c r="T95" s="105"/>
      <c r="U95" s="105"/>
      <c r="V95" s="105"/>
    </row>
    <row r="96" spans="1:26" x14ac:dyDescent="0.25">
      <c r="A96" s="67" t="s">
        <v>88</v>
      </c>
      <c r="B96" s="73"/>
      <c r="C96" s="73"/>
      <c r="F96" s="66">
        <f t="shared" ref="F96:N96" ca="1" si="46">SUM(F11:F94)</f>
        <v>0</v>
      </c>
      <c r="G96" s="66">
        <f ca="1">SUM(G11:G94)</f>
        <v>5690000</v>
      </c>
      <c r="H96" s="66">
        <f ca="1">SUM(H11:H94)</f>
        <v>7391329.340277778</v>
      </c>
      <c r="I96" s="66">
        <f ca="1">SUM(I11:I94)</f>
        <v>13081329.340277778</v>
      </c>
      <c r="J96" s="66">
        <f ca="1">SUM(J11:J94)</f>
        <v>13081329.340277778</v>
      </c>
      <c r="K96" s="66">
        <f t="shared" ca="1" si="46"/>
        <v>812504.34027777775</v>
      </c>
      <c r="L96" s="66">
        <f t="shared" ca="1" si="46"/>
        <v>545055.38917824067</v>
      </c>
      <c r="M96" s="66">
        <f t="shared" ca="1" si="46"/>
        <v>401978.34951895289</v>
      </c>
      <c r="N96" s="66">
        <f t="shared" ca="1" si="46"/>
        <v>11866846.650481045</v>
      </c>
      <c r="O96" s="66">
        <f ca="1">SUM(O11:O94)</f>
        <v>11321791.261302805</v>
      </c>
      <c r="P96" s="66"/>
      <c r="Q96" s="66"/>
      <c r="R96" s="66"/>
      <c r="S96" s="66"/>
      <c r="T96" s="66"/>
      <c r="U96" s="66"/>
      <c r="V96" s="66"/>
      <c r="W96" s="66"/>
      <c r="X96" s="83">
        <f t="shared" ref="X96" ca="1" si="47">SUM(X11:X94)</f>
        <v>125809861.11111113</v>
      </c>
      <c r="Y96" s="83"/>
      <c r="Z96" s="83"/>
    </row>
    <row r="97" spans="1:20" x14ac:dyDescent="0.25">
      <c r="A97" s="67"/>
    </row>
    <row r="98" spans="1:20" x14ac:dyDescent="0.25">
      <c r="A98" s="67"/>
      <c r="J98" s="70"/>
    </row>
    <row r="99" spans="1:20" x14ac:dyDescent="0.25">
      <c r="A99" s="67"/>
      <c r="L99" s="7"/>
    </row>
    <row r="100" spans="1:20" x14ac:dyDescent="0.25">
      <c r="A100" s="67"/>
      <c r="T100" s="273"/>
    </row>
    <row r="101" spans="1:20" x14ac:dyDescent="0.25">
      <c r="A101" s="67"/>
    </row>
    <row r="102" spans="1:20" x14ac:dyDescent="0.25">
      <c r="A102" s="67"/>
    </row>
    <row r="103" spans="1:20" x14ac:dyDescent="0.25">
      <c r="A103" s="67"/>
    </row>
    <row r="104" spans="1:20" x14ac:dyDescent="0.25">
      <c r="A104" s="67"/>
    </row>
    <row r="105" spans="1:20" x14ac:dyDescent="0.25">
      <c r="A105" s="67"/>
    </row>
    <row r="106" spans="1:20" x14ac:dyDescent="0.25">
      <c r="A106" s="67"/>
    </row>
    <row r="107" spans="1:20" x14ac:dyDescent="0.25">
      <c r="A107" s="67"/>
    </row>
    <row r="108" spans="1:20" x14ac:dyDescent="0.25">
      <c r="A108" s="67"/>
    </row>
    <row r="109" spans="1:20" x14ac:dyDescent="0.25">
      <c r="A109" s="67"/>
    </row>
    <row r="110" spans="1:20" x14ac:dyDescent="0.25">
      <c r="A110" s="67"/>
    </row>
    <row r="111" spans="1:20" x14ac:dyDescent="0.25">
      <c r="A111" s="67"/>
    </row>
  </sheetData>
  <pageMargins left="0.25" right="0.25" top="0.5" bottom="0.5" header="0.3" footer="0.3"/>
  <pageSetup scale="32" orientation="portrait" r:id="rId1"/>
  <colBreaks count="1" manualBreakCount="1">
    <brk id="22" max="1048575" man="1"/>
  </colBreaks>
  <ignoredErrors>
    <ignoredError sqref="E13:F30 E35:F50 E33:F33 F32 E31:F31 F34 E61:F67 F60 F58 E57:F57 E59:F59 E75:F84 E73:F74 F70 E71:F71 F72 E12:F12 E53:F56 F52 F51 E69:F69 F6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8DEC1-6029-47E9-9557-68AB94E12A56}">
  <sheetPr codeName="Sheet22">
    <pageSetUpPr fitToPage="1"/>
  </sheetPr>
  <dimension ref="A1:AQ113"/>
  <sheetViews>
    <sheetView showGridLines="0" view="pageBreakPreview" topLeftCell="A5" zoomScale="55" zoomScaleNormal="100" zoomScaleSheetLayoutView="55" workbookViewId="0">
      <selection activeCell="G36" sqref="G36"/>
    </sheetView>
  </sheetViews>
  <sheetFormatPr defaultColWidth="9.140625" defaultRowHeight="15" outlineLevelRow="2" outlineLevelCol="1" x14ac:dyDescent="0.25"/>
  <cols>
    <col min="1" max="4" width="14.28515625" customWidth="1"/>
    <col min="5" max="5" width="18.7109375" bestFit="1" customWidth="1"/>
    <col min="6" max="6" width="3.85546875" customWidth="1"/>
    <col min="7" max="7" width="15.5703125" bestFit="1" customWidth="1"/>
    <col min="8" max="9" width="14.28515625" customWidth="1"/>
    <col min="10" max="10" width="16.7109375" style="27" customWidth="1" outlineLevel="1"/>
    <col min="11" max="11" width="27.85546875" customWidth="1" outlineLevel="1"/>
    <col min="12" max="12" width="14.28515625" style="27" customWidth="1" outlineLevel="1"/>
    <col min="13" max="13" width="20.7109375" customWidth="1" outlineLevel="1"/>
    <col min="14" max="14" width="18.7109375" customWidth="1" outlineLevel="1"/>
    <col min="15" max="15" width="15.42578125" bestFit="1" customWidth="1"/>
    <col min="16" max="16" width="14.42578125" customWidth="1"/>
    <col min="17" max="17" width="13.140625" bestFit="1" customWidth="1"/>
    <col min="18" max="18" width="18.7109375" bestFit="1" customWidth="1"/>
    <col min="19" max="19" width="14.28515625" customWidth="1"/>
    <col min="20" max="20" width="14.5703125" customWidth="1"/>
    <col min="21" max="21" width="14.28515625" customWidth="1"/>
    <col min="22" max="23" width="14.28515625" customWidth="1" outlineLevel="1"/>
    <col min="25" max="25" width="21.28515625" hidden="1" customWidth="1"/>
    <col min="26" max="26" width="17.85546875" style="11" customWidth="1"/>
    <col min="27" max="27" width="18.5703125" style="11" customWidth="1"/>
    <col min="28" max="29" width="20.28515625" style="11" customWidth="1"/>
    <col min="31" max="31" width="17.85546875" style="11" customWidth="1"/>
    <col min="32" max="32" width="16.85546875" customWidth="1"/>
    <col min="33" max="33" width="17.85546875" style="11" customWidth="1"/>
    <col min="35" max="35" width="12.7109375" bestFit="1" customWidth="1"/>
    <col min="36" max="36" width="14.140625" bestFit="1" customWidth="1"/>
    <col min="37" max="37" width="11.42578125" customWidth="1"/>
    <col min="38" max="38" width="13.7109375" bestFit="1" customWidth="1"/>
    <col min="39" max="40" width="11.42578125" customWidth="1"/>
    <col min="41" max="41" width="14.140625" bestFit="1" customWidth="1"/>
    <col min="42" max="42" width="11.42578125" customWidth="1"/>
    <col min="43" max="43" width="13.42578125" bestFit="1" customWidth="1"/>
  </cols>
  <sheetData>
    <row r="1" spans="1:43" ht="28.5" x14ac:dyDescent="0.45">
      <c r="A1" s="115" t="str">
        <f>METRO</f>
        <v>Viridian Farm Public Improvement District</v>
      </c>
    </row>
    <row r="2" spans="1:43" ht="19.5" thickBot="1" x14ac:dyDescent="0.35">
      <c r="A2" s="110" t="str">
        <f>"City of " &amp; CITY &amp; " / " &amp; COUNTY &amp; " County "</f>
        <v xml:space="preserve">City of Salem / Utah County </v>
      </c>
    </row>
    <row r="3" spans="1:43" ht="15.75" x14ac:dyDescent="0.25">
      <c r="A3" s="109" t="str">
        <f>ANALYSIS</f>
        <v>Development Projections at 3.000 Mills for Debt Service</v>
      </c>
      <c r="K3" s="232" t="s">
        <v>155</v>
      </c>
    </row>
    <row r="4" spans="1:43" ht="16.5" thickBot="1" x14ac:dyDescent="0.3">
      <c r="A4" s="116" t="str">
        <f ca="1">SUB_BONDS_SERIES&amp;" - "&amp;TEXT('Sources and Uses - First'!$D$12/1000000,"$0.00")&amp;"MM "&amp;"("&amp;TEXT(DSC_SUB_LIEN_BONDS,"0.00x")&amp;")"</f>
        <v>Series 2024B - $1.00MM (1.00x)</v>
      </c>
      <c r="G4" s="7"/>
      <c r="I4" s="7"/>
      <c r="K4" s="233" t="s">
        <v>68</v>
      </c>
      <c r="M4" s="70"/>
    </row>
    <row r="5" spans="1:43" x14ac:dyDescent="0.25">
      <c r="G5" s="54"/>
      <c r="I5" s="7"/>
      <c r="M5" s="70"/>
      <c r="Z5" s="230"/>
    </row>
    <row r="6" spans="1:43" x14ac:dyDescent="0.25">
      <c r="I6" s="70"/>
      <c r="J6" s="207"/>
      <c r="K6" s="7"/>
      <c r="M6" s="210"/>
      <c r="R6" s="80"/>
    </row>
    <row r="7" spans="1:43" ht="15.75" thickBot="1" x14ac:dyDescent="0.3">
      <c r="H7" s="15"/>
      <c r="I7" s="70"/>
      <c r="J7" s="70"/>
    </row>
    <row r="8" spans="1:43" s="56" customFormat="1" ht="13.5" thickTop="1" x14ac:dyDescent="0.2">
      <c r="A8" s="55"/>
      <c r="D8" s="57"/>
      <c r="E8" s="57"/>
      <c r="F8" s="57"/>
      <c r="J8" s="151" t="s">
        <v>155</v>
      </c>
      <c r="K8" s="150"/>
      <c r="L8" s="150"/>
      <c r="M8" s="150"/>
      <c r="N8" s="159" t="s">
        <v>196</v>
      </c>
      <c r="Q8" s="58"/>
      <c r="R8" s="58"/>
      <c r="T8" s="58"/>
      <c r="U8" s="58"/>
      <c r="Z8" s="81"/>
      <c r="AA8" s="81"/>
      <c r="AB8" s="81"/>
      <c r="AC8" s="81"/>
      <c r="AE8" s="81"/>
      <c r="AG8" s="81"/>
    </row>
    <row r="9" spans="1:43" s="62" customFormat="1" ht="39" thickBot="1" x14ac:dyDescent="0.25">
      <c r="A9" s="59" t="s">
        <v>140</v>
      </c>
      <c r="B9" s="60" t="s">
        <v>96</v>
      </c>
      <c r="C9" s="60" t="s">
        <v>97</v>
      </c>
      <c r="D9" s="61" t="s">
        <v>98</v>
      </c>
      <c r="E9" s="61" t="s">
        <v>162</v>
      </c>
      <c r="F9" s="61"/>
      <c r="G9" s="60" t="s">
        <v>8</v>
      </c>
      <c r="H9" s="63" t="s">
        <v>195</v>
      </c>
      <c r="I9" s="63" t="s">
        <v>195</v>
      </c>
      <c r="J9" s="152" t="s">
        <v>14</v>
      </c>
      <c r="K9" s="63" t="str">
        <f>"Accrued Interest + Interest on Balance @ " &amp; TEXT(SUB_INTEREST_RATE, "0.00%")</f>
        <v>Accrued Interest + Interest on Balance @ 8.13%</v>
      </c>
      <c r="L9" s="152" t="s">
        <v>15</v>
      </c>
      <c r="M9" s="63" t="s">
        <v>295</v>
      </c>
      <c r="N9" s="63" t="s">
        <v>197</v>
      </c>
      <c r="O9" s="60" t="s">
        <v>88</v>
      </c>
      <c r="P9" s="63" t="s">
        <v>142</v>
      </c>
      <c r="Q9" s="63" t="s">
        <v>66</v>
      </c>
      <c r="R9" s="60" t="s">
        <v>5</v>
      </c>
      <c r="S9" s="60" t="s">
        <v>99</v>
      </c>
      <c r="T9" s="63" t="s">
        <v>139</v>
      </c>
      <c r="U9" s="60" t="s">
        <v>138</v>
      </c>
      <c r="W9" s="60" t="s">
        <v>100</v>
      </c>
      <c r="X9" s="60"/>
      <c r="Y9" s="82" t="s">
        <v>148</v>
      </c>
      <c r="Z9" s="82" t="s">
        <v>149</v>
      </c>
      <c r="AA9" s="82" t="s">
        <v>101</v>
      </c>
      <c r="AB9" s="64" t="s">
        <v>102</v>
      </c>
      <c r="AC9" s="64" t="s">
        <v>296</v>
      </c>
      <c r="AE9" s="82" t="s">
        <v>186</v>
      </c>
      <c r="AF9" s="62" t="s">
        <v>297</v>
      </c>
      <c r="AG9" s="82" t="s">
        <v>219</v>
      </c>
      <c r="AK9" s="267" t="s">
        <v>351</v>
      </c>
      <c r="AP9" s="267" t="s">
        <v>351</v>
      </c>
    </row>
    <row r="10" spans="1:43" ht="15.75" thickTop="1" x14ac:dyDescent="0.25">
      <c r="K10" s="15"/>
      <c r="P10" s="66"/>
    </row>
    <row r="11" spans="1:43" x14ac:dyDescent="0.25">
      <c r="A11" s="65">
        <f>FIRST_INT_SUB</f>
        <v>45731</v>
      </c>
      <c r="B11" s="68">
        <f t="shared" ref="B11" si="0">IF(ISERROR(IF(MONTH(A11)=PRIN_MATURITY,SUB_INTEREST_RATE,)),"",IF(MONTH(A11)=PRIN_MATURITY,SUB_INTEREST_RATE,))</f>
        <v>8.1250000000000003E-2</v>
      </c>
      <c r="C11" s="68">
        <f>B11</f>
        <v>8.1250000000000003E-2</v>
      </c>
      <c r="D11" s="68">
        <f t="shared" ref="D11:D74" si="1">IF(C11=0,0,TRUNC(IF(B11=C11,100,IF(A11&lt;=PAR_CALL_FIRST,PRICE(DELIVERY,A11,B11,C11,100,2,0),MIN(PRICE(DELIVERY,A11,B11,C11,100,2,0),PRICE(DELIVERY,PAR_CALL_FIRST,B11,C11,100,2,0)))),3)/100)</f>
        <v>1</v>
      </c>
      <c r="G11" s="66"/>
      <c r="H11" s="66">
        <f ca="1">(H12+G11*B11)*YEARFRAC(DELIVERY,'Sub Lien DS - First (Annual)'!A11)</f>
        <v>16634.413435570987</v>
      </c>
      <c r="I11" s="66">
        <f ca="1">H11</f>
        <v>16634.413435570987</v>
      </c>
      <c r="J11" s="153">
        <f ca="1">MAX(MIN(IF(MONTH($A11)=PRIN_MATURITY,IF(ISNA(VLOOKUP(DATE(YEAR($A11),PRIN_MATURITY,PRIN_MATURITY_DAY_SUB),Summary!$D$12:$CJ$57,COLUMNS(Summary!$D$12:$CJ$12))),0,VLOOKUP(DATE(YEAR($A11),PRIN_MATURITY,PRIN_MATURITY_DAY_SUB),Summary!$D$12:$CJ$57,COLUMNS(Summary!$D$12:$CJ$12))),0),$I11),0)</f>
        <v>0</v>
      </c>
      <c r="K11" s="66">
        <f t="shared" ref="K11:K42" ca="1" si="2">IF($K$4="No", 0,I11+(M10*SUB_INTEREST_RATE)-J11)</f>
        <v>16634.413435570987</v>
      </c>
      <c r="L11" s="154">
        <f t="shared" ref="L11:L74" ca="1" si="3">MAX(MIN(($Z11-$J11),$M10+K11),0)</f>
        <v>0</v>
      </c>
      <c r="M11" s="66">
        <f ca="1">M10+K11-L11</f>
        <v>16634.413435570987</v>
      </c>
      <c r="N11" s="66">
        <f t="shared" ref="N11:N74" ca="1" si="4">$G11+$J11+$L11</f>
        <v>0</v>
      </c>
      <c r="O11" s="66">
        <f ca="1">G11+H11+L11</f>
        <v>16634.413435570987</v>
      </c>
      <c r="P11" s="70">
        <f ca="1">O11</f>
        <v>16634.413435570987</v>
      </c>
      <c r="Q11" s="66"/>
      <c r="R11" s="85"/>
      <c r="S11" s="66">
        <f t="shared" ref="S11:S74" ca="1" si="5">O11-Q11</f>
        <v>16634.413435570987</v>
      </c>
      <c r="T11" s="70">
        <f ca="1">S11</f>
        <v>16634.413435570987</v>
      </c>
      <c r="U11" s="70">
        <f ca="1">$G$97-SUM($G$11:G11)</f>
        <v>1000000</v>
      </c>
      <c r="AA11" s="83"/>
      <c r="AE11" s="83">
        <f t="shared" ref="AE11:AE74" si="6">D11*G11*DAYS360(DELIVERY,A11)/360</f>
        <v>0</v>
      </c>
      <c r="AF11" s="70">
        <f t="shared" ref="AF11:AF74" ca="1" si="7">G11+K11+L11</f>
        <v>16634.413435570987</v>
      </c>
      <c r="AG11" s="83"/>
      <c r="AI11" s="77" t="s">
        <v>188</v>
      </c>
      <c r="AJ11" s="11"/>
      <c r="AK11" s="146">
        <v>0</v>
      </c>
      <c r="AL11" s="147">
        <f ca="1">$G$97+$E$97</f>
        <v>1000000</v>
      </c>
      <c r="AM11" s="11"/>
      <c r="AN11" s="77" t="s">
        <v>188</v>
      </c>
      <c r="AO11" s="11"/>
      <c r="AP11" s="146">
        <v>0</v>
      </c>
      <c r="AQ11" s="147">
        <f ca="1">AL11-SUM('Sources and Uses - First'!$D$26:$D$28)</f>
        <v>985000</v>
      </c>
    </row>
    <row r="12" spans="1:43" x14ac:dyDescent="0.25">
      <c r="A12" s="405">
        <f>A11</f>
        <v>45731</v>
      </c>
      <c r="B12" s="68">
        <f t="shared" ref="B12:B75" si="8">IF(ISERROR(IF(MONTH(A12)=PRIN_MATURITY,SUB_INTEREST_RATE,)),"",IF(MONTH(A12)=PRIN_MATURITY,SUB_INTEREST_RATE,))</f>
        <v>8.1250000000000003E-2</v>
      </c>
      <c r="C12" s="68">
        <f>B12</f>
        <v>8.1250000000000003E-2</v>
      </c>
      <c r="D12" s="68">
        <f t="shared" si="1"/>
        <v>1</v>
      </c>
      <c r="E12" s="66">
        <f>D12*G12-G12</f>
        <v>0</v>
      </c>
      <c r="F12" s="66"/>
      <c r="G12" s="66"/>
      <c r="H12" s="66">
        <f ca="1">(H13+G12*B12)*YEARFRAC(DELIVERY,'Sub Lien DS - First (Annual)'!A12)</f>
        <v>35434.253472222219</v>
      </c>
      <c r="I12" s="66">
        <f ca="1">H12</f>
        <v>35434.253472222219</v>
      </c>
      <c r="J12" s="153">
        <f ca="1">MAX(MIN(IF(MONTH($A12)=PRIN_MATURITY,IF(ISNA(VLOOKUP(DATE(YEAR($A12),PRIN_MATURITY,PRIN_MATURITY_DAY_SUB),Summary!$D$12:$CJ$57,COLUMNS(Summary!$D$12:$CJ$12))),0,VLOOKUP(DATE(YEAR($A12),PRIN_MATURITY,PRIN_MATURITY_DAY_SUB),Summary!$D$12:$CJ$57,COLUMNS(Summary!$D$12:$CJ$12))),0),$I12),0)</f>
        <v>0</v>
      </c>
      <c r="K12" s="66">
        <f t="shared" ca="1" si="2"/>
        <v>36785.799563862362</v>
      </c>
      <c r="L12" s="154">
        <f t="shared" ca="1" si="3"/>
        <v>0</v>
      </c>
      <c r="M12" s="66">
        <f t="shared" ref="M12:M42" ca="1" si="9">M11+K12-L12</f>
        <v>53420.212999433352</v>
      </c>
      <c r="N12" s="66">
        <f t="shared" ca="1" si="4"/>
        <v>0</v>
      </c>
      <c r="O12" s="66">
        <f t="shared" ref="O12:O75" ca="1" si="10">G12+H12+L12</f>
        <v>35434.253472222219</v>
      </c>
      <c r="P12" s="70">
        <f t="shared" ref="P12:P75" ca="1" si="11">O12</f>
        <v>35434.253472222219</v>
      </c>
      <c r="Q12" s="66"/>
      <c r="R12" s="85"/>
      <c r="S12" s="66">
        <f t="shared" ca="1" si="5"/>
        <v>35434.253472222219</v>
      </c>
      <c r="T12" s="70">
        <f t="shared" ref="T12:T75" ca="1" si="12">S12</f>
        <v>35434.253472222219</v>
      </c>
      <c r="U12" s="70">
        <f ca="1">$G$97-SUM($G$11:G12)</f>
        <v>1000000</v>
      </c>
      <c r="W12" s="71">
        <v>1</v>
      </c>
      <c r="Z12" s="83">
        <f>IF(MONTH($A12)=PRIN_MATURITY,IF(ISNA(VLOOKUP(DATE(YEAR($A12),PRIN_MATURITY,PRIN_MATURITY_DAY_SENIOR),Summary!$D$14:$CJ$56,COLUMNS(Summary!$D$13:$CJ$15),FALSE))=TRUE,0,VLOOKUP(DATE(YEAR($A12),PRIN_MATURITY,PRIN_MATURITY_DAY_SENIOR),Summary!$D$13:$CJ$56,COLUMNS(Summary!$D$13:$CJ$15),FALSE)),0)</f>
        <v>0</v>
      </c>
      <c r="AA12" s="84">
        <f ca="1">IF(ISERROR(IF(ISNA(VLOOKUP($A12,Summary!$D$13:$CJ$54,COLUMNS(Summary!$D$13:$CJ$15),FALSE))=TRUE,0,VLOOKUP($A12,Summary!$D$14:$CJ$54,COLUMNS(Summary!$D$13:$CJ$15),FALSE))/T12),0,IF(ISNA(VLOOKUP($A12,Summary!$C$13:$CJ$54,COLUMNS(Summary!$D$13:$CJ$15)))=TRUE,0,VLOOKUP($A12,Summary!$D$13:$CJ$54,COLUMNS(Summary!$D$13:$CJ$15)))/T12)</f>
        <v>0</v>
      </c>
      <c r="AB12" s="72">
        <f t="shared" ref="AB12:AB75" si="13">IF($B12&lt;&gt;0,DSC_SUB_LIEN_BONDS,"")</f>
        <v>1</v>
      </c>
      <c r="AC12" s="83">
        <f t="shared" ref="AC12:AC76" ca="1" si="14">Z12-G12-J12-L12</f>
        <v>0</v>
      </c>
      <c r="AE12" s="83">
        <f t="shared" si="6"/>
        <v>0</v>
      </c>
      <c r="AF12" s="70">
        <f t="shared" ca="1" si="7"/>
        <v>36785.799563862362</v>
      </c>
      <c r="AG12" s="83"/>
      <c r="AI12" s="11"/>
      <c r="AJ12" s="11"/>
      <c r="AK12" s="11"/>
      <c r="AL12" s="11"/>
      <c r="AM12" s="11"/>
      <c r="AN12" s="11"/>
      <c r="AO12" s="11"/>
      <c r="AP12" s="11"/>
      <c r="AQ12" s="11"/>
    </row>
    <row r="13" spans="1:43" x14ac:dyDescent="0.25">
      <c r="A13" s="67">
        <f t="shared" ref="A13:A44" si="15">IF(IF(ISERROR(EDATE(A12,12)),0,EDATE(A12,12))&gt;EDATE(MAX($A$11,DATE(YEAR($A$11),PRIN_MATURITY,PRIN_MATURITY_DAY_SUB)),12*FINAL_MAT_SUB_YRS),0,IF(ISERROR(EDATE(A12,12)),0,IF(A12=0,0,EDATE(A12,12))))</f>
        <v>46096</v>
      </c>
      <c r="B13" s="68">
        <f t="shared" si="8"/>
        <v>8.1250000000000003E-2</v>
      </c>
      <c r="C13" s="68">
        <f t="shared" ref="C13:C76" si="16">B13</f>
        <v>8.1250000000000003E-2</v>
      </c>
      <c r="D13" s="68">
        <f t="shared" si="1"/>
        <v>1</v>
      </c>
      <c r="E13" s="66">
        <f t="shared" ref="E13:E76" si="17">D13*G13-G13</f>
        <v>0</v>
      </c>
      <c r="F13" s="66"/>
      <c r="G13" s="66"/>
      <c r="H13" s="66">
        <f t="shared" ref="H13:H76" ca="1" si="18">(H14+G13*B13)</f>
        <v>75481.25</v>
      </c>
      <c r="I13" s="66">
        <f t="shared" ref="I13:I76" ca="1" si="19">H13</f>
        <v>75481.25</v>
      </c>
      <c r="J13" s="153">
        <f ca="1">MAX(MIN(IF(MONTH($A13)=PRIN_MATURITY,IF(ISNA(VLOOKUP(DATE(YEAR($A13),PRIN_MATURITY,PRIN_MATURITY_DAY_SUB),Summary!$D$12:$CJ$57,COLUMNS(Summary!$D$12:$CJ$12))),0,VLOOKUP(DATE(YEAR($A13),PRIN_MATURITY,PRIN_MATURITY_DAY_SUB),Summary!$D$12:$CJ$57,COLUMNS(Summary!$D$12:$CJ$12))),0),$I13),0)</f>
        <v>28108.58168475602</v>
      </c>
      <c r="K13" s="66">
        <f t="shared" ca="1" si="2"/>
        <v>51713.060621447934</v>
      </c>
      <c r="L13" s="154">
        <f t="shared" ca="1" si="3"/>
        <v>0</v>
      </c>
      <c r="M13" s="66">
        <f t="shared" ca="1" si="9"/>
        <v>105133.27362088129</v>
      </c>
      <c r="N13" s="66">
        <f t="shared" ca="1" si="4"/>
        <v>28108.58168475602</v>
      </c>
      <c r="O13" s="66">
        <f t="shared" ca="1" si="10"/>
        <v>75481.25</v>
      </c>
      <c r="P13" s="70">
        <f t="shared" ca="1" si="11"/>
        <v>75481.25</v>
      </c>
      <c r="Q13" s="66"/>
      <c r="R13" s="85"/>
      <c r="S13" s="66">
        <f t="shared" ca="1" si="5"/>
        <v>75481.25</v>
      </c>
      <c r="T13" s="70">
        <f t="shared" ca="1" si="12"/>
        <v>75481.25</v>
      </c>
      <c r="U13" s="70">
        <f ca="1">$G$97-SUM($G$11:G13)</f>
        <v>1000000</v>
      </c>
      <c r="W13" s="68">
        <f t="shared" ref="W13:W76" si="20">IF(MONTH(A13)=PRIN_MATURITY,MAX(0,DAYS360(MAX(CAPI_TERM,EDATE(A13,-12)),A13))/360,0)</f>
        <v>1</v>
      </c>
      <c r="Z13" s="83">
        <f ca="1">IF(MONTH($A13)=PRIN_MATURITY,IF(ISNA(VLOOKUP(DATE(YEAR($A13),PRIN_MATURITY,PRIN_MATURITY_DAY_SENIOR),Summary!$D$14:$CJ$56,COLUMNS(Summary!$D$13:$CJ$15),FALSE))=TRUE,0,VLOOKUP(DATE(YEAR($A13),PRIN_MATURITY,PRIN_MATURITY_DAY_SENIOR),Summary!$D$13:$CJ$56,COLUMNS(Summary!$D$13:$CJ$15),FALSE)),0)</f>
        <v>28108.58168475602</v>
      </c>
      <c r="AA13" s="84">
        <f ca="1">IF(ISERROR(IF(ISNA(VLOOKUP($A13,Summary!$D$13:$CJ$54,COLUMNS(Summary!$D$13:$CJ$15),FALSE))=TRUE,0,VLOOKUP($A13,Summary!$D$14:$CJ$54,COLUMNS(Summary!$D$13:$CJ$15),FALSE))/T13),0,IF(ISNA(VLOOKUP($A13,Summary!$C$13:$CJ$54,COLUMNS(Summary!$D$13:$CJ$15)))=TRUE,0,VLOOKUP($A13,Summary!$D$13:$CJ$54,COLUMNS(Summary!$D$13:$CJ$15)))/T13)</f>
        <v>0.3723915765141147</v>
      </c>
      <c r="AB13" s="72">
        <f t="shared" si="13"/>
        <v>1</v>
      </c>
      <c r="AC13" s="83">
        <f t="shared" ca="1" si="14"/>
        <v>0</v>
      </c>
      <c r="AE13" s="83">
        <f t="shared" si="6"/>
        <v>0</v>
      </c>
      <c r="AF13" s="70">
        <f t="shared" ca="1" si="7"/>
        <v>51713.060621447934</v>
      </c>
      <c r="AG13" s="83"/>
      <c r="AI13" s="148">
        <f>1%+0</f>
        <v>0.01</v>
      </c>
      <c r="AJ13" s="83">
        <f t="shared" ref="AJ13:AJ22" ca="1" si="21">NPV(AI13,TIC_DEBT_SERVICE_SUB)*(1+AI13)^AK13</f>
        <v>2465951.352441642</v>
      </c>
      <c r="AK13" s="145">
        <f>$AK$11</f>
        <v>0</v>
      </c>
      <c r="AL13" s="83">
        <f ca="1">$AL$11</f>
        <v>1000000</v>
      </c>
      <c r="AM13" s="11"/>
      <c r="AN13" s="148">
        <f>1%+0</f>
        <v>0.01</v>
      </c>
      <c r="AO13" s="83">
        <f t="shared" ref="AO13:AO22" ca="1" si="22">NPV(AN13,TIC_DEBT_SERVICE_SUB)*(1+AN13)^AP13</f>
        <v>2465951.352441642</v>
      </c>
      <c r="AP13" s="145">
        <f>$AP$11</f>
        <v>0</v>
      </c>
      <c r="AQ13" s="83">
        <f ca="1">$AQ$11</f>
        <v>985000</v>
      </c>
    </row>
    <row r="14" spans="1:43" x14ac:dyDescent="0.25">
      <c r="A14" s="67">
        <f t="shared" si="15"/>
        <v>46461</v>
      </c>
      <c r="B14" s="68">
        <f t="shared" si="8"/>
        <v>8.1250000000000003E-2</v>
      </c>
      <c r="C14" s="68">
        <f t="shared" si="16"/>
        <v>8.1250000000000003E-2</v>
      </c>
      <c r="D14" s="68">
        <f t="shared" si="1"/>
        <v>1</v>
      </c>
      <c r="E14" s="66">
        <f t="shared" si="17"/>
        <v>0</v>
      </c>
      <c r="F14" s="66"/>
      <c r="G14" s="66"/>
      <c r="H14" s="66">
        <f t="shared" ca="1" si="18"/>
        <v>75481.25</v>
      </c>
      <c r="I14" s="66">
        <f t="shared" ca="1" si="19"/>
        <v>75481.25</v>
      </c>
      <c r="J14" s="153">
        <f ca="1">MAX(MIN(IF(MONTH($A14)=PRIN_MATURITY,IF(ISNA(VLOOKUP(DATE(YEAR($A14),PRIN_MATURITY,PRIN_MATURITY_DAY_SUB),Summary!$D$12:$CJ$57,COLUMNS(Summary!$D$12:$CJ$12))),0,VLOOKUP(DATE(YEAR($A14),PRIN_MATURITY,PRIN_MATURITY_DAY_SUB),Summary!$D$12:$CJ$57,COLUMNS(Summary!$D$12:$CJ$12))),0),$I14),0)</f>
        <v>75481.25</v>
      </c>
      <c r="K14" s="66">
        <f t="shared" ca="1" si="2"/>
        <v>8542.0784816966043</v>
      </c>
      <c r="L14" s="154">
        <f t="shared" ca="1" si="3"/>
        <v>94688.252176245995</v>
      </c>
      <c r="M14" s="66">
        <f t="shared" ca="1" si="9"/>
        <v>18987.099926331895</v>
      </c>
      <c r="N14" s="66">
        <f t="shared" ca="1" si="4"/>
        <v>170169.50217624599</v>
      </c>
      <c r="O14" s="66">
        <f t="shared" ca="1" si="10"/>
        <v>170169.50217624599</v>
      </c>
      <c r="P14" s="70">
        <f t="shared" ca="1" si="11"/>
        <v>170169.50217624599</v>
      </c>
      <c r="Q14" s="66"/>
      <c r="R14" s="85"/>
      <c r="S14" s="66">
        <f t="shared" ca="1" si="5"/>
        <v>170169.50217624599</v>
      </c>
      <c r="T14" s="70">
        <f t="shared" ca="1" si="12"/>
        <v>170169.50217624599</v>
      </c>
      <c r="U14" s="70">
        <f ca="1">$G$97-SUM($G$11:G14)</f>
        <v>1000000</v>
      </c>
      <c r="W14" s="68">
        <f t="shared" si="20"/>
        <v>1</v>
      </c>
      <c r="Z14" s="83">
        <f ca="1">IF(MONTH($A14)=PRIN_MATURITY,IF(ISNA(VLOOKUP(DATE(YEAR($A14),PRIN_MATURITY,PRIN_MATURITY_DAY_SENIOR),Summary!$D$14:$CJ$56,COLUMNS(Summary!$D$13:$CJ$15),FALSE))=TRUE,0,VLOOKUP(DATE(YEAR($A14),PRIN_MATURITY,PRIN_MATURITY_DAY_SENIOR),Summary!$D$13:$CJ$56,COLUMNS(Summary!$D$13:$CJ$15),FALSE)),0)</f>
        <v>170169.50217624599</v>
      </c>
      <c r="AA14" s="84">
        <f ca="1">IF(ISERROR(IF(ISNA(VLOOKUP($A14,Summary!$D$13:$CJ$54,COLUMNS(Summary!$D$13:$CJ$15),FALSE))=TRUE,0,VLOOKUP($A14,Summary!$D$14:$CJ$54,COLUMNS(Summary!$D$13:$CJ$15),FALSE))/T14),0,IF(ISNA(VLOOKUP($A14,Summary!$C$13:$CJ$54,COLUMNS(Summary!$D$13:$CJ$15)))=TRUE,0,VLOOKUP($A14,Summary!$D$13:$CJ$54,COLUMNS(Summary!$D$13:$CJ$15)))/T14)</f>
        <v>1</v>
      </c>
      <c r="AB14" s="72">
        <f t="shared" si="13"/>
        <v>1</v>
      </c>
      <c r="AC14" s="83">
        <f t="shared" ca="1" si="14"/>
        <v>0</v>
      </c>
      <c r="AE14" s="83">
        <f t="shared" si="6"/>
        <v>0</v>
      </c>
      <c r="AF14" s="70">
        <f t="shared" ca="1" si="7"/>
        <v>103230.3306579426</v>
      </c>
      <c r="AG14" s="83"/>
      <c r="AI14" s="148">
        <f>0%+0</f>
        <v>0</v>
      </c>
      <c r="AJ14" s="83">
        <f t="shared" ca="1" si="21"/>
        <v>2852738.5427705832</v>
      </c>
      <c r="AK14" s="145">
        <f t="shared" ref="AK14:AK22" si="23">$AK$11</f>
        <v>0</v>
      </c>
      <c r="AL14" s="83">
        <f t="shared" ref="AL14:AL22" ca="1" si="24">$AL$11</f>
        <v>1000000</v>
      </c>
      <c r="AM14" s="11"/>
      <c r="AN14" s="148">
        <f>0%+0</f>
        <v>0</v>
      </c>
      <c r="AO14" s="83">
        <f t="shared" ca="1" si="22"/>
        <v>2852738.5427705832</v>
      </c>
      <c r="AP14" s="145">
        <f t="shared" ref="AP14:AP22" si="25">$AP$11</f>
        <v>0</v>
      </c>
      <c r="AQ14" s="83">
        <f t="shared" ref="AQ14:AQ22" ca="1" si="26">$AQ$11</f>
        <v>985000</v>
      </c>
    </row>
    <row r="15" spans="1:43" x14ac:dyDescent="0.25">
      <c r="A15" s="67">
        <f t="shared" si="15"/>
        <v>46827</v>
      </c>
      <c r="B15" s="68">
        <f t="shared" si="8"/>
        <v>8.1250000000000003E-2</v>
      </c>
      <c r="C15" s="68">
        <f t="shared" si="16"/>
        <v>8.1250000000000003E-2</v>
      </c>
      <c r="D15" s="68">
        <f t="shared" si="1"/>
        <v>1</v>
      </c>
      <c r="E15" s="66">
        <f t="shared" si="17"/>
        <v>0</v>
      </c>
      <c r="F15" s="66"/>
      <c r="G15" s="66"/>
      <c r="H15" s="66">
        <f t="shared" ca="1" si="18"/>
        <v>75481.25</v>
      </c>
      <c r="I15" s="66">
        <f t="shared" ca="1" si="19"/>
        <v>75481.25</v>
      </c>
      <c r="J15" s="153">
        <f ca="1">MAX(MIN(IF(MONTH($A15)=PRIN_MATURITY,IF(ISNA(VLOOKUP(DATE(YEAR($A15),PRIN_MATURITY,PRIN_MATURITY_DAY_SUB),Summary!$D$12:$CJ$57,COLUMNS(Summary!$D$12:$CJ$12))),0,VLOOKUP(DATE(YEAR($A15),PRIN_MATURITY,PRIN_MATURITY_DAY_SUB),Summary!$D$12:$CJ$57,COLUMNS(Summary!$D$12:$CJ$12))),0),$I15),0)</f>
        <v>0</v>
      </c>
      <c r="K15" s="66">
        <f t="shared" ca="1" si="2"/>
        <v>77023.951869014461</v>
      </c>
      <c r="L15" s="154">
        <f t="shared" ca="1" si="3"/>
        <v>0</v>
      </c>
      <c r="M15" s="66">
        <f t="shared" ca="1" si="9"/>
        <v>96011.051795346357</v>
      </c>
      <c r="N15" s="66">
        <f t="shared" ca="1" si="4"/>
        <v>0</v>
      </c>
      <c r="O15" s="66">
        <f t="shared" ca="1" si="10"/>
        <v>75481.25</v>
      </c>
      <c r="P15" s="70">
        <f t="shared" ca="1" si="11"/>
        <v>75481.25</v>
      </c>
      <c r="Q15" s="66"/>
      <c r="R15" s="85"/>
      <c r="S15" s="66">
        <f t="shared" ca="1" si="5"/>
        <v>75481.25</v>
      </c>
      <c r="T15" s="70">
        <f t="shared" ca="1" si="12"/>
        <v>75481.25</v>
      </c>
      <c r="U15" s="70">
        <f ca="1">$G$97-SUM($G$11:G15)</f>
        <v>1000000</v>
      </c>
      <c r="W15" s="68">
        <f t="shared" si="20"/>
        <v>1</v>
      </c>
      <c r="Z15" s="83">
        <f ca="1">IF(MONTH($A15)=PRIN_MATURITY,IF(ISNA(VLOOKUP(DATE(YEAR($A15),PRIN_MATURITY,PRIN_MATURITY_DAY_SENIOR),Summary!$D$14:$CJ$56,COLUMNS(Summary!$D$13:$CJ$15),FALSE))=TRUE,0,VLOOKUP(DATE(YEAR($A15),PRIN_MATURITY,PRIN_MATURITY_DAY_SENIOR),Summary!$D$13:$CJ$56,COLUMNS(Summary!$D$13:$CJ$15),FALSE)),0)</f>
        <v>0</v>
      </c>
      <c r="AA15" s="84">
        <f ca="1">IF(ISERROR(IF(ISNA(VLOOKUP($A15,Summary!$D$13:$CJ$54,COLUMNS(Summary!$D$13:$CJ$15),FALSE))=TRUE,0,VLOOKUP($A15,Summary!$D$14:$CJ$54,COLUMNS(Summary!$D$13:$CJ$15),FALSE))/T15),0,IF(ISNA(VLOOKUP($A15,Summary!$C$13:$CJ$54,COLUMNS(Summary!$D$13:$CJ$15)))=TRUE,0,VLOOKUP($A15,Summary!$D$13:$CJ$54,COLUMNS(Summary!$D$13:$CJ$15)))/T15)</f>
        <v>0</v>
      </c>
      <c r="AB15" s="72">
        <f t="shared" si="13"/>
        <v>1</v>
      </c>
      <c r="AC15" s="83">
        <f t="shared" ca="1" si="14"/>
        <v>0</v>
      </c>
      <c r="AE15" s="83">
        <f t="shared" si="6"/>
        <v>0</v>
      </c>
      <c r="AF15" s="70">
        <f t="shared" ca="1" si="7"/>
        <v>77023.951869014461</v>
      </c>
      <c r="AG15" s="83"/>
      <c r="AI15" s="144">
        <f ca="1">IF(AJ13-AJ14=0,AI15,AI14+(AI14-AI13)*((AJ14-AL15)/(AJ13-AJ14)))</f>
        <v>4.7900721355196144E-2</v>
      </c>
      <c r="AJ15" s="83">
        <f t="shared" ca="1" si="21"/>
        <v>1501660.4169403724</v>
      </c>
      <c r="AK15" s="145">
        <f t="shared" si="23"/>
        <v>0</v>
      </c>
      <c r="AL15" s="83">
        <f t="shared" ca="1" si="24"/>
        <v>1000000</v>
      </c>
      <c r="AM15" s="11"/>
      <c r="AN15" s="144">
        <f ca="1">IF(AO13-AO14=0,AN15,AN14+(AN14-AN13)*((AO14-AQ15)/(AO13-AO14)))</f>
        <v>4.828853150959251E-2</v>
      </c>
      <c r="AO15" s="83">
        <f t="shared" ca="1" si="22"/>
        <v>1494711.8423265477</v>
      </c>
      <c r="AP15" s="145">
        <f t="shared" si="25"/>
        <v>0</v>
      </c>
      <c r="AQ15" s="83">
        <f t="shared" ca="1" si="26"/>
        <v>985000</v>
      </c>
    </row>
    <row r="16" spans="1:43" x14ac:dyDescent="0.25">
      <c r="A16" s="67">
        <f t="shared" si="15"/>
        <v>47192</v>
      </c>
      <c r="B16" s="68">
        <f t="shared" si="8"/>
        <v>8.1250000000000003E-2</v>
      </c>
      <c r="C16" s="68">
        <f t="shared" si="16"/>
        <v>8.1250000000000003E-2</v>
      </c>
      <c r="D16" s="68">
        <f t="shared" si="1"/>
        <v>1</v>
      </c>
      <c r="E16" s="66">
        <f t="shared" si="17"/>
        <v>0</v>
      </c>
      <c r="F16" s="66"/>
      <c r="G16" s="66"/>
      <c r="H16" s="66">
        <f t="shared" ca="1" si="18"/>
        <v>75481.25</v>
      </c>
      <c r="I16" s="66">
        <f t="shared" ca="1" si="19"/>
        <v>75481.25</v>
      </c>
      <c r="J16" s="153">
        <f ca="1">MAX(MIN(IF(MONTH($A16)=PRIN_MATURITY,IF(ISNA(VLOOKUP(DATE(YEAR($A16),PRIN_MATURITY,PRIN_MATURITY_DAY_SUB),Summary!$D$12:$CJ$57,COLUMNS(Summary!$D$12:$CJ$12))),0,VLOOKUP(DATE(YEAR($A16),PRIN_MATURITY,PRIN_MATURITY_DAY_SUB),Summary!$D$12:$CJ$57,COLUMNS(Summary!$D$12:$CJ$12))),0),$I16),0)</f>
        <v>0</v>
      </c>
      <c r="K16" s="66">
        <f t="shared" ca="1" si="2"/>
        <v>83282.14795837189</v>
      </c>
      <c r="L16" s="154">
        <f t="shared" ca="1" si="3"/>
        <v>0</v>
      </c>
      <c r="M16" s="66">
        <f t="shared" ca="1" si="9"/>
        <v>179293.19975371825</v>
      </c>
      <c r="N16" s="66">
        <f t="shared" ca="1" si="4"/>
        <v>0</v>
      </c>
      <c r="O16" s="66">
        <f t="shared" ca="1" si="10"/>
        <v>75481.25</v>
      </c>
      <c r="P16" s="70">
        <f t="shared" ca="1" si="11"/>
        <v>75481.25</v>
      </c>
      <c r="Q16" s="66"/>
      <c r="R16" s="85"/>
      <c r="S16" s="66">
        <f t="shared" ca="1" si="5"/>
        <v>75481.25</v>
      </c>
      <c r="T16" s="70">
        <f t="shared" ca="1" si="12"/>
        <v>75481.25</v>
      </c>
      <c r="U16" s="70">
        <f ca="1">$G$97-SUM($G$11:G16)</f>
        <v>1000000</v>
      </c>
      <c r="W16" s="68">
        <f t="shared" si="20"/>
        <v>1</v>
      </c>
      <c r="Z16" s="83">
        <f ca="1">IF(MONTH($A16)=PRIN_MATURITY,IF(ISNA(VLOOKUP(DATE(YEAR($A16),PRIN_MATURITY,PRIN_MATURITY_DAY_SENIOR),Summary!$D$14:$CJ$56,COLUMNS(Summary!$D$13:$CJ$15),FALSE))=TRUE,0,VLOOKUP(DATE(YEAR($A16),PRIN_MATURITY,PRIN_MATURITY_DAY_SENIOR),Summary!$D$13:$CJ$56,COLUMNS(Summary!$D$13:$CJ$15),FALSE)),0)</f>
        <v>0</v>
      </c>
      <c r="AA16" s="84">
        <f ca="1">IF(ISERROR(IF(ISNA(VLOOKUP($A16,Summary!$D$13:$CJ$54,COLUMNS(Summary!$D$13:$CJ$15),FALSE))=TRUE,0,VLOOKUP($A16,Summary!$D$14:$CJ$54,COLUMNS(Summary!$D$13:$CJ$15),FALSE))/T16),0,IF(ISNA(VLOOKUP($A16,Summary!$C$13:$CJ$54,COLUMNS(Summary!$D$13:$CJ$15)))=TRUE,0,VLOOKUP($A16,Summary!$D$13:$CJ$54,COLUMNS(Summary!$D$13:$CJ$15)))/T16)</f>
        <v>0</v>
      </c>
      <c r="AB16" s="72">
        <f t="shared" si="13"/>
        <v>1</v>
      </c>
      <c r="AC16" s="83">
        <f t="shared" ca="1" si="14"/>
        <v>0</v>
      </c>
      <c r="AE16" s="83">
        <f t="shared" si="6"/>
        <v>0</v>
      </c>
      <c r="AF16" s="70">
        <f t="shared" ca="1" si="7"/>
        <v>83282.14795837189</v>
      </c>
      <c r="AG16" s="83"/>
      <c r="AI16" s="144">
        <f t="shared" ref="AI16:AI21" ca="1" si="27">IF(AJ14-AJ15=0,AI16,AI15+(AI15-AI14)*((AJ15-AL16)/(AJ14-AJ15)))</f>
        <v>6.5686440320949072E-2</v>
      </c>
      <c r="AJ16" s="83">
        <f t="shared" ca="1" si="21"/>
        <v>1224276.7472182091</v>
      </c>
      <c r="AK16" s="145">
        <f t="shared" si="23"/>
        <v>0</v>
      </c>
      <c r="AL16" s="83">
        <f t="shared" ca="1" si="24"/>
        <v>1000000</v>
      </c>
      <c r="AM16" s="11"/>
      <c r="AN16" s="144">
        <f t="shared" ref="AN16:AN22" ca="1" si="28">IF(AO14-AO15=0,AN16,AN15+(AN15-AN14)*((AO15-AQ16)/(AO14-AO15)))</f>
        <v>6.6412796924219586E-2</v>
      </c>
      <c r="AO16" s="83">
        <f t="shared" ca="1" si="22"/>
        <v>1214544.5600451347</v>
      </c>
      <c r="AP16" s="145">
        <f t="shared" si="25"/>
        <v>0</v>
      </c>
      <c r="AQ16" s="83">
        <f t="shared" ca="1" si="26"/>
        <v>985000</v>
      </c>
    </row>
    <row r="17" spans="1:43" x14ac:dyDescent="0.25">
      <c r="A17" s="67">
        <f t="shared" si="15"/>
        <v>47557</v>
      </c>
      <c r="B17" s="68">
        <f t="shared" si="8"/>
        <v>8.1250000000000003E-2</v>
      </c>
      <c r="C17" s="68">
        <f t="shared" si="16"/>
        <v>8.1250000000000003E-2</v>
      </c>
      <c r="D17" s="68">
        <f t="shared" si="1"/>
        <v>1</v>
      </c>
      <c r="E17" s="66">
        <f t="shared" si="17"/>
        <v>0</v>
      </c>
      <c r="F17" s="66"/>
      <c r="G17" s="66"/>
      <c r="H17" s="66">
        <f t="shared" ca="1" si="18"/>
        <v>75481.25</v>
      </c>
      <c r="I17" s="66">
        <f t="shared" ca="1" si="19"/>
        <v>75481.25</v>
      </c>
      <c r="J17" s="153">
        <f ca="1">MAX(MIN(IF(MONTH($A17)=PRIN_MATURITY,IF(ISNA(VLOOKUP(DATE(YEAR($A17),PRIN_MATURITY,PRIN_MATURITY_DAY_SUB),Summary!$D$12:$CJ$57,COLUMNS(Summary!$D$12:$CJ$12))),0,VLOOKUP(DATE(YEAR($A17),PRIN_MATURITY,PRIN_MATURITY_DAY_SUB),Summary!$D$12:$CJ$57,COLUMNS(Summary!$D$12:$CJ$12))),0),$I17),0)</f>
        <v>75481.25</v>
      </c>
      <c r="K17" s="66">
        <f t="shared" ca="1" si="2"/>
        <v>14567.572479989612</v>
      </c>
      <c r="L17" s="154">
        <f t="shared" ca="1" si="3"/>
        <v>25090.53971712949</v>
      </c>
      <c r="M17" s="66">
        <f t="shared" ca="1" si="9"/>
        <v>168770.23251657837</v>
      </c>
      <c r="N17" s="66">
        <f t="shared" ca="1" si="4"/>
        <v>100571.78971712949</v>
      </c>
      <c r="O17" s="66">
        <f t="shared" ca="1" si="10"/>
        <v>100571.78971712949</v>
      </c>
      <c r="P17" s="70">
        <f t="shared" ca="1" si="11"/>
        <v>100571.78971712949</v>
      </c>
      <c r="Q17" s="66"/>
      <c r="R17" s="85"/>
      <c r="S17" s="66">
        <f t="shared" ca="1" si="5"/>
        <v>100571.78971712949</v>
      </c>
      <c r="T17" s="70">
        <f t="shared" ca="1" si="12"/>
        <v>100571.78971712949</v>
      </c>
      <c r="U17" s="70">
        <f ca="1">$G$97-SUM($G$11:G17)</f>
        <v>1000000</v>
      </c>
      <c r="W17" s="68">
        <f t="shared" si="20"/>
        <v>1</v>
      </c>
      <c r="Z17" s="83">
        <f ca="1">IF(MONTH($A17)=PRIN_MATURITY,IF(ISNA(VLOOKUP(DATE(YEAR($A17),PRIN_MATURITY,PRIN_MATURITY_DAY_SENIOR),Summary!$D$14:$CJ$56,COLUMNS(Summary!$D$13:$CJ$15),FALSE))=TRUE,0,VLOOKUP(DATE(YEAR($A17),PRIN_MATURITY,PRIN_MATURITY_DAY_SENIOR),Summary!$D$13:$CJ$56,COLUMNS(Summary!$D$13:$CJ$15),FALSE)),0)</f>
        <v>100571.78971712949</v>
      </c>
      <c r="AA17" s="84">
        <f ca="1">IF(ISERROR(IF(ISNA(VLOOKUP($A17,Summary!$D$13:$CJ$54,COLUMNS(Summary!$D$13:$CJ$15),FALSE))=TRUE,0,VLOOKUP($A17,Summary!$D$14:$CJ$54,COLUMNS(Summary!$D$13:$CJ$15),FALSE))/T17),0,IF(ISNA(VLOOKUP($A17,Summary!$C$13:$CJ$54,COLUMNS(Summary!$D$13:$CJ$15)))=TRUE,0,VLOOKUP($A17,Summary!$D$13:$CJ$54,COLUMNS(Summary!$D$13:$CJ$15)))/T17)</f>
        <v>1</v>
      </c>
      <c r="AB17" s="72">
        <f t="shared" si="13"/>
        <v>1</v>
      </c>
      <c r="AC17" s="83">
        <f t="shared" ca="1" si="14"/>
        <v>0</v>
      </c>
      <c r="AE17" s="83">
        <f t="shared" si="6"/>
        <v>0</v>
      </c>
      <c r="AF17" s="70">
        <f t="shared" ca="1" si="7"/>
        <v>39658.112197119102</v>
      </c>
      <c r="AG17" s="83"/>
      <c r="AI17" s="144">
        <f t="shared" ca="1" si="27"/>
        <v>8.0066966761354566E-2</v>
      </c>
      <c r="AJ17" s="83">
        <f t="shared" ca="1" si="21"/>
        <v>1050564.3162425247</v>
      </c>
      <c r="AK17" s="145">
        <f t="shared" si="23"/>
        <v>0</v>
      </c>
      <c r="AL17" s="83">
        <f t="shared" ca="1" si="24"/>
        <v>1000000</v>
      </c>
      <c r="AM17" s="11"/>
      <c r="AN17" s="144">
        <f t="shared" ca="1" si="28"/>
        <v>8.126223436339565E-2</v>
      </c>
      <c r="AO17" s="83">
        <f t="shared" ca="1" si="22"/>
        <v>1037765.8415637448</v>
      </c>
      <c r="AP17" s="145">
        <f t="shared" si="25"/>
        <v>0</v>
      </c>
      <c r="AQ17" s="83">
        <f t="shared" ca="1" si="26"/>
        <v>985000</v>
      </c>
    </row>
    <row r="18" spans="1:43" x14ac:dyDescent="0.25">
      <c r="A18" s="67">
        <f t="shared" si="15"/>
        <v>47922</v>
      </c>
      <c r="B18" s="68">
        <f t="shared" si="8"/>
        <v>8.1250000000000003E-2</v>
      </c>
      <c r="C18" s="68">
        <f t="shared" si="16"/>
        <v>8.1250000000000003E-2</v>
      </c>
      <c r="D18" s="68">
        <f t="shared" si="1"/>
        <v>1</v>
      </c>
      <c r="E18" s="66">
        <f t="shared" si="17"/>
        <v>0</v>
      </c>
      <c r="F18" s="66"/>
      <c r="G18" s="66"/>
      <c r="H18" s="66">
        <f t="shared" ca="1" si="18"/>
        <v>75481.25</v>
      </c>
      <c r="I18" s="66">
        <f t="shared" ca="1" si="19"/>
        <v>75481.25</v>
      </c>
      <c r="J18" s="153">
        <f ca="1">MAX(MIN(IF(MONTH($A18)=PRIN_MATURITY,IF(ISNA(VLOOKUP(DATE(YEAR($A18),PRIN_MATURITY,PRIN_MATURITY_DAY_SUB),Summary!$D$12:$CJ$57,COLUMNS(Summary!$D$12:$CJ$12))),0,VLOOKUP(DATE(YEAR($A18),PRIN_MATURITY,PRIN_MATURITY_DAY_SUB),Summary!$D$12:$CJ$57,COLUMNS(Summary!$D$12:$CJ$12))),0),$I18),0)</f>
        <v>75481.25</v>
      </c>
      <c r="K18" s="66">
        <f t="shared" ca="1" si="2"/>
        <v>13712.581391971995</v>
      </c>
      <c r="L18" s="154">
        <f t="shared" ca="1" si="3"/>
        <v>44965.642651105009</v>
      </c>
      <c r="M18" s="66">
        <f ca="1">M17+K18-L18</f>
        <v>137517.17125744536</v>
      </c>
      <c r="N18" s="66">
        <f t="shared" ca="1" si="4"/>
        <v>120446.89265110501</v>
      </c>
      <c r="O18" s="66">
        <f t="shared" ca="1" si="10"/>
        <v>120446.89265110501</v>
      </c>
      <c r="P18" s="70">
        <f t="shared" ca="1" si="11"/>
        <v>120446.89265110501</v>
      </c>
      <c r="Q18" s="66"/>
      <c r="R18" s="85"/>
      <c r="S18" s="66">
        <f t="shared" ca="1" si="5"/>
        <v>120446.89265110501</v>
      </c>
      <c r="T18" s="70">
        <f t="shared" ca="1" si="12"/>
        <v>120446.89265110501</v>
      </c>
      <c r="U18" s="70">
        <f ca="1">$G$97-SUM($G$11:G18)</f>
        <v>1000000</v>
      </c>
      <c r="W18" s="68">
        <f t="shared" si="20"/>
        <v>1</v>
      </c>
      <c r="Z18" s="83">
        <f ca="1">IF(MONTH($A18)=PRIN_MATURITY,IF(ISNA(VLOOKUP(DATE(YEAR($A18),PRIN_MATURITY,PRIN_MATURITY_DAY_SENIOR),Summary!$D$14:$CJ$56,COLUMNS(Summary!$D$13:$CJ$15),FALSE))=TRUE,0,VLOOKUP(DATE(YEAR($A18),PRIN_MATURITY,PRIN_MATURITY_DAY_SENIOR),Summary!$D$13:$CJ$56,COLUMNS(Summary!$D$13:$CJ$15),FALSE)),0)</f>
        <v>120446.89265110501</v>
      </c>
      <c r="AA18" s="84">
        <f ca="1">IF(ISERROR(IF(ISNA(VLOOKUP($A18,Summary!$D$13:$CJ$54,COLUMNS(Summary!$D$13:$CJ$15),FALSE))=TRUE,0,VLOOKUP($A18,Summary!$D$14:$CJ$54,COLUMNS(Summary!$D$13:$CJ$15),FALSE))/T18),0,IF(ISNA(VLOOKUP($A18,Summary!$C$13:$CJ$54,COLUMNS(Summary!$D$13:$CJ$15)))=TRUE,0,VLOOKUP($A18,Summary!$D$13:$CJ$54,COLUMNS(Summary!$D$13:$CJ$15)))/T18)</f>
        <v>1</v>
      </c>
      <c r="AB18" s="72">
        <f t="shared" si="13"/>
        <v>1</v>
      </c>
      <c r="AC18" s="83">
        <f t="shared" ca="1" si="14"/>
        <v>0</v>
      </c>
      <c r="AE18" s="83">
        <f t="shared" si="6"/>
        <v>0</v>
      </c>
      <c r="AF18" s="70">
        <f t="shared" ca="1" si="7"/>
        <v>58678.224043077003</v>
      </c>
      <c r="AG18" s="83"/>
      <c r="AI18" s="144">
        <f t="shared" ca="1" si="27"/>
        <v>8.4252858827814872E-2</v>
      </c>
      <c r="AJ18" s="83">
        <f t="shared" ca="1" si="21"/>
        <v>1006724.9253320079</v>
      </c>
      <c r="AK18" s="145">
        <f t="shared" si="23"/>
        <v>0</v>
      </c>
      <c r="AL18" s="83">
        <f t="shared" ca="1" si="24"/>
        <v>1000000</v>
      </c>
      <c r="AM18" s="11"/>
      <c r="AN18" s="144">
        <f t="shared" ca="1" si="28"/>
        <v>8.5694572542772088E-2</v>
      </c>
      <c r="AO18" s="83">
        <f t="shared" ca="1" si="22"/>
        <v>992244.98153029988</v>
      </c>
      <c r="AP18" s="145">
        <f t="shared" si="25"/>
        <v>0</v>
      </c>
      <c r="AQ18" s="83">
        <f t="shared" ca="1" si="26"/>
        <v>985000</v>
      </c>
    </row>
    <row r="19" spans="1:43" x14ac:dyDescent="0.25">
      <c r="A19" s="67">
        <f t="shared" si="15"/>
        <v>48288</v>
      </c>
      <c r="B19" s="68">
        <f t="shared" si="8"/>
        <v>8.1250000000000003E-2</v>
      </c>
      <c r="C19" s="68">
        <f t="shared" si="16"/>
        <v>8.1250000000000003E-2</v>
      </c>
      <c r="D19" s="68">
        <f t="shared" si="1"/>
        <v>1</v>
      </c>
      <c r="E19" s="66">
        <f t="shared" si="17"/>
        <v>0</v>
      </c>
      <c r="F19" s="66"/>
      <c r="G19" s="66"/>
      <c r="H19" s="66">
        <f t="shared" ca="1" si="18"/>
        <v>75481.25</v>
      </c>
      <c r="I19" s="66">
        <f t="shared" ca="1" si="19"/>
        <v>75481.25</v>
      </c>
      <c r="J19" s="153">
        <f ca="1">MAX(MIN(IF(MONTH($A19)=PRIN_MATURITY,IF(ISNA(VLOOKUP(DATE(YEAR($A19),PRIN_MATURITY,PRIN_MATURITY_DAY_SUB),Summary!$D$12:$CJ$57,COLUMNS(Summary!$D$12:$CJ$12))),0,VLOOKUP(DATE(YEAR($A19),PRIN_MATURITY,PRIN_MATURITY_DAY_SUB),Summary!$D$12:$CJ$57,COLUMNS(Summary!$D$12:$CJ$12))),0),$I19),0)</f>
        <v>75481.25</v>
      </c>
      <c r="K19" s="66">
        <f t="shared" ca="1" si="2"/>
        <v>11173.27016466744</v>
      </c>
      <c r="L19" s="154">
        <f t="shared" ca="1" si="3"/>
        <v>48673.134226225549</v>
      </c>
      <c r="M19" s="66">
        <f t="shared" ca="1" si="9"/>
        <v>100017.30719588726</v>
      </c>
      <c r="N19" s="66">
        <f t="shared" ca="1" si="4"/>
        <v>124154.38422622555</v>
      </c>
      <c r="O19" s="66">
        <f t="shared" ca="1" si="10"/>
        <v>124154.38422622555</v>
      </c>
      <c r="P19" s="70">
        <f t="shared" ca="1" si="11"/>
        <v>124154.38422622555</v>
      </c>
      <c r="Q19" s="66"/>
      <c r="R19" s="85"/>
      <c r="S19" s="66">
        <f t="shared" ca="1" si="5"/>
        <v>124154.38422622555</v>
      </c>
      <c r="T19" s="70">
        <f t="shared" ca="1" si="12"/>
        <v>124154.38422622555</v>
      </c>
      <c r="U19" s="70">
        <f ca="1">$G$97-SUM($G$11:G19)</f>
        <v>1000000</v>
      </c>
      <c r="W19" s="68">
        <f t="shared" si="20"/>
        <v>1</v>
      </c>
      <c r="Z19" s="83">
        <f ca="1">IF(MONTH($A19)=PRIN_MATURITY,IF(ISNA(VLOOKUP(DATE(YEAR($A19),PRIN_MATURITY,PRIN_MATURITY_DAY_SENIOR),Summary!$D$14:$CJ$56,COLUMNS(Summary!$D$13:$CJ$15),FALSE))=TRUE,0,VLOOKUP(DATE(YEAR($A19),PRIN_MATURITY,PRIN_MATURITY_DAY_SENIOR),Summary!$D$13:$CJ$56,COLUMNS(Summary!$D$13:$CJ$15),FALSE)),0)</f>
        <v>124154.38422622555</v>
      </c>
      <c r="AA19" s="84">
        <f ca="1">IF(ISERROR(IF(ISNA(VLOOKUP($A19,Summary!$D$13:$CJ$54,COLUMNS(Summary!$D$13:$CJ$15),FALSE))=TRUE,0,VLOOKUP($A19,Summary!$D$14:$CJ$54,COLUMNS(Summary!$D$13:$CJ$15),FALSE))/T19),0,IF(ISNA(VLOOKUP($A19,Summary!$C$13:$CJ$54,COLUMNS(Summary!$D$13:$CJ$15)))=TRUE,0,VLOOKUP($A19,Summary!$D$13:$CJ$54,COLUMNS(Summary!$D$13:$CJ$15)))/T19)</f>
        <v>1</v>
      </c>
      <c r="AB19" s="72">
        <f t="shared" si="13"/>
        <v>1</v>
      </c>
      <c r="AC19" s="83">
        <f t="shared" ca="1" si="14"/>
        <v>0</v>
      </c>
      <c r="AE19" s="83">
        <f t="shared" si="6"/>
        <v>0</v>
      </c>
      <c r="AF19" s="70">
        <f t="shared" ca="1" si="7"/>
        <v>59846.404390892989</v>
      </c>
      <c r="AG19" s="83"/>
      <c r="AI19" s="144">
        <f t="shared" ca="1" si="27"/>
        <v>8.4894971115648615E-2</v>
      </c>
      <c r="AJ19" s="83">
        <f t="shared" ca="1" si="21"/>
        <v>1000237.7783360328</v>
      </c>
      <c r="AK19" s="145">
        <f t="shared" si="23"/>
        <v>0</v>
      </c>
      <c r="AL19" s="83">
        <f t="shared" ca="1" si="24"/>
        <v>1000000</v>
      </c>
      <c r="AM19" s="11"/>
      <c r="AN19" s="144">
        <f t="shared" ca="1" si="28"/>
        <v>8.6400011944005539E-2</v>
      </c>
      <c r="AO19" s="83">
        <f t="shared" ca="1" si="22"/>
        <v>985271.09649978217</v>
      </c>
      <c r="AP19" s="145">
        <f t="shared" si="25"/>
        <v>0</v>
      </c>
      <c r="AQ19" s="83">
        <f t="shared" ca="1" si="26"/>
        <v>985000</v>
      </c>
    </row>
    <row r="20" spans="1:43" x14ac:dyDescent="0.25">
      <c r="A20" s="67">
        <f t="shared" si="15"/>
        <v>48653</v>
      </c>
      <c r="B20" s="68">
        <f t="shared" si="8"/>
        <v>8.1250000000000003E-2</v>
      </c>
      <c r="C20" s="68">
        <f t="shared" si="16"/>
        <v>8.1250000000000003E-2</v>
      </c>
      <c r="D20" s="68">
        <f t="shared" si="1"/>
        <v>1</v>
      </c>
      <c r="E20" s="66">
        <f t="shared" si="17"/>
        <v>0</v>
      </c>
      <c r="F20" s="66"/>
      <c r="G20" s="345"/>
      <c r="H20" s="66">
        <f t="shared" ca="1" si="18"/>
        <v>75481.25</v>
      </c>
      <c r="I20" s="66">
        <f t="shared" ca="1" si="19"/>
        <v>75481.25</v>
      </c>
      <c r="J20" s="153">
        <f ca="1">MAX(MIN(IF(MONTH($A20)=PRIN_MATURITY,IF(ISNA(VLOOKUP(DATE(YEAR($A20),PRIN_MATURITY,PRIN_MATURITY_DAY_SUB),Summary!$D$12:$CJ$57,COLUMNS(Summary!$D$12:$CJ$12))),0,VLOOKUP(DATE(YEAR($A20),PRIN_MATURITY,PRIN_MATURITY_DAY_SUB),Summary!$D$12:$CJ$57,COLUMNS(Summary!$D$12:$CJ$12))),0),$I20),0)</f>
        <v>75481.25</v>
      </c>
      <c r="K20" s="66">
        <f t="shared" ca="1" si="2"/>
        <v>8126.4062096658454</v>
      </c>
      <c r="L20" s="154">
        <f t="shared" ca="1" si="3"/>
        <v>47708.838947015407</v>
      </c>
      <c r="M20" s="66">
        <f t="shared" ca="1" si="9"/>
        <v>60434.874458537699</v>
      </c>
      <c r="N20" s="66">
        <f t="shared" ca="1" si="4"/>
        <v>123190.08894701541</v>
      </c>
      <c r="O20" s="66">
        <f t="shared" ca="1" si="10"/>
        <v>123190.08894701541</v>
      </c>
      <c r="P20" s="70">
        <f t="shared" ca="1" si="11"/>
        <v>123190.08894701541</v>
      </c>
      <c r="Q20" s="66"/>
      <c r="R20" s="85"/>
      <c r="S20" s="66">
        <f t="shared" ca="1" si="5"/>
        <v>123190.08894701541</v>
      </c>
      <c r="T20" s="70">
        <f t="shared" ca="1" si="12"/>
        <v>123190.08894701541</v>
      </c>
      <c r="U20" s="70">
        <f ca="1">$G$97-SUM($G$11:G20)</f>
        <v>1000000</v>
      </c>
      <c r="W20" s="68">
        <f t="shared" si="20"/>
        <v>1</v>
      </c>
      <c r="Z20" s="83">
        <f ca="1">IF(MONTH($A20)=PRIN_MATURITY,IF(ISNA(VLOOKUP(DATE(YEAR($A20),PRIN_MATURITY,PRIN_MATURITY_DAY_SENIOR),Summary!$D$14:$CJ$56,COLUMNS(Summary!$D$13:$CJ$15),FALSE))=TRUE,0,VLOOKUP(DATE(YEAR($A20),PRIN_MATURITY,PRIN_MATURITY_DAY_SENIOR),Summary!$D$13:$CJ$56,COLUMNS(Summary!$D$13:$CJ$15),FALSE)),0)</f>
        <v>123190.08894701541</v>
      </c>
      <c r="AA20" s="84">
        <f ca="1">IF(ISERROR(IF(ISNA(VLOOKUP($A20,Summary!$D$13:$CJ$54,COLUMNS(Summary!$D$13:$CJ$15),FALSE))=TRUE,0,VLOOKUP($A20,Summary!$D$14:$CJ$54,COLUMNS(Summary!$D$13:$CJ$15),FALSE))/T20),0,IF(ISNA(VLOOKUP($A20,Summary!$C$13:$CJ$54,COLUMNS(Summary!$D$13:$CJ$15)))=TRUE,0,VLOOKUP($A20,Summary!$D$13:$CJ$54,COLUMNS(Summary!$D$13:$CJ$15)))/T20)</f>
        <v>1</v>
      </c>
      <c r="AB20" s="72">
        <f t="shared" si="13"/>
        <v>1</v>
      </c>
      <c r="AC20" s="83">
        <f t="shared" ca="1" si="14"/>
        <v>0</v>
      </c>
      <c r="AE20" s="83">
        <f t="shared" si="6"/>
        <v>0</v>
      </c>
      <c r="AF20" s="70">
        <f t="shared" ca="1" si="7"/>
        <v>55835.245156681252</v>
      </c>
      <c r="AG20" s="83"/>
      <c r="AI20" s="144">
        <f t="shared" ca="1" si="27"/>
        <v>8.4918506946028594E-2</v>
      </c>
      <c r="AJ20" s="83">
        <f t="shared" ca="1" si="21"/>
        <v>1000001.1665220192</v>
      </c>
      <c r="AK20" s="145">
        <f t="shared" si="23"/>
        <v>0</v>
      </c>
      <c r="AL20" s="83">
        <f t="shared" ca="1" si="24"/>
        <v>1000000</v>
      </c>
      <c r="AM20" s="11"/>
      <c r="AN20" s="144">
        <f t="shared" ca="1" si="28"/>
        <v>8.6427434557318772E-2</v>
      </c>
      <c r="AO20" s="83">
        <f t="shared" ca="1" si="22"/>
        <v>985001.45665369439</v>
      </c>
      <c r="AP20" s="145">
        <f t="shared" si="25"/>
        <v>0</v>
      </c>
      <c r="AQ20" s="83">
        <f t="shared" ca="1" si="26"/>
        <v>985000</v>
      </c>
    </row>
    <row r="21" spans="1:43" x14ac:dyDescent="0.25">
      <c r="A21" s="67">
        <f t="shared" si="15"/>
        <v>49018</v>
      </c>
      <c r="B21" s="68">
        <f t="shared" si="8"/>
        <v>8.1250000000000003E-2</v>
      </c>
      <c r="C21" s="68">
        <f t="shared" si="16"/>
        <v>8.1250000000000003E-2</v>
      </c>
      <c r="D21" s="68">
        <f t="shared" si="1"/>
        <v>1</v>
      </c>
      <c r="E21" s="66">
        <f t="shared" si="17"/>
        <v>0</v>
      </c>
      <c r="F21" s="66"/>
      <c r="G21" s="66"/>
      <c r="H21" s="66">
        <f t="shared" ca="1" si="18"/>
        <v>75481.25</v>
      </c>
      <c r="I21" s="66">
        <f t="shared" ca="1" si="19"/>
        <v>75481.25</v>
      </c>
      <c r="J21" s="153">
        <f ca="1">MAX(MIN(IF(MONTH($A21)=PRIN_MATURITY,IF(ISNA(VLOOKUP(DATE(YEAR($A21),PRIN_MATURITY,PRIN_MATURITY_DAY_SUB),Summary!$D$12:$CJ$57,COLUMNS(Summary!$D$12:$CJ$12))),0,VLOOKUP(DATE(YEAR($A21),PRIN_MATURITY,PRIN_MATURITY_DAY_SUB),Summary!$D$12:$CJ$57,COLUMNS(Summary!$D$12:$CJ$12))),0),$I21),0)</f>
        <v>75481.25</v>
      </c>
      <c r="K21" s="66">
        <f t="shared" ca="1" si="2"/>
        <v>4910.333549756193</v>
      </c>
      <c r="L21" s="154">
        <f t="shared" ca="1" si="3"/>
        <v>47366.621709529427</v>
      </c>
      <c r="M21" s="66">
        <f t="shared" ca="1" si="9"/>
        <v>17978.586298764465</v>
      </c>
      <c r="N21" s="66">
        <f t="shared" ca="1" si="4"/>
        <v>122847.87170952943</v>
      </c>
      <c r="O21" s="66">
        <f t="shared" ca="1" si="10"/>
        <v>122847.87170952943</v>
      </c>
      <c r="P21" s="70">
        <f t="shared" ca="1" si="11"/>
        <v>122847.87170952943</v>
      </c>
      <c r="Q21" s="66"/>
      <c r="R21" s="85"/>
      <c r="S21" s="66">
        <f t="shared" ca="1" si="5"/>
        <v>122847.87170952943</v>
      </c>
      <c r="T21" s="70">
        <f t="shared" ca="1" si="12"/>
        <v>122847.87170952943</v>
      </c>
      <c r="U21" s="70">
        <f ca="1">$G$97-SUM($G$11:G21)</f>
        <v>1000000</v>
      </c>
      <c r="W21" s="68">
        <f t="shared" si="20"/>
        <v>1</v>
      </c>
      <c r="Z21" s="83">
        <f ca="1">IF(MONTH($A21)=PRIN_MATURITY,IF(ISNA(VLOOKUP(DATE(YEAR($A21),PRIN_MATURITY,PRIN_MATURITY_DAY_SENIOR),Summary!$D$14:$CJ$56,COLUMNS(Summary!$D$13:$CJ$15),FALSE))=TRUE,0,VLOOKUP(DATE(YEAR($A21),PRIN_MATURITY,PRIN_MATURITY_DAY_SENIOR),Summary!$D$13:$CJ$56,COLUMNS(Summary!$D$13:$CJ$15),FALSE)),0)</f>
        <v>122847.87170952943</v>
      </c>
      <c r="AA21" s="84">
        <f ca="1">IF(ISERROR(IF(ISNA(VLOOKUP($A21,Summary!$D$13:$CJ$54,COLUMNS(Summary!$D$13:$CJ$15),FALSE))=TRUE,0,VLOOKUP($A21,Summary!$D$14:$CJ$54,COLUMNS(Summary!$D$13:$CJ$15),FALSE))/T21),0,IF(ISNA(VLOOKUP($A21,Summary!$C$13:$CJ$54,COLUMNS(Summary!$D$13:$CJ$15)))=TRUE,0,VLOOKUP($A21,Summary!$D$13:$CJ$54,COLUMNS(Summary!$D$13:$CJ$15)))/T21)</f>
        <v>1</v>
      </c>
      <c r="AB21" s="72">
        <f t="shared" si="13"/>
        <v>1</v>
      </c>
      <c r="AC21" s="83">
        <f t="shared" ca="1" si="14"/>
        <v>0</v>
      </c>
      <c r="AE21" s="83">
        <f t="shared" si="6"/>
        <v>0</v>
      </c>
      <c r="AF21" s="70">
        <f t="shared" ca="1" si="7"/>
        <v>52276.95525928562</v>
      </c>
      <c r="AG21" s="83"/>
      <c r="AI21" s="144">
        <f t="shared" ca="1" si="27"/>
        <v>8.4918622980236322E-2</v>
      </c>
      <c r="AJ21" s="83">
        <f t="shared" ca="1" si="21"/>
        <v>1000000.0002035248</v>
      </c>
      <c r="AK21" s="145">
        <f t="shared" si="23"/>
        <v>0</v>
      </c>
      <c r="AL21" s="83">
        <f t="shared" ca="1" si="24"/>
        <v>1000000</v>
      </c>
      <c r="AM21" s="11"/>
      <c r="AN21" s="144">
        <f t="shared" ca="1" si="28"/>
        <v>8.6427582700301236E-2</v>
      </c>
      <c r="AO21" s="83">
        <f t="shared" ca="1" si="22"/>
        <v>985000.00029473717</v>
      </c>
      <c r="AP21" s="145">
        <f t="shared" si="25"/>
        <v>0</v>
      </c>
      <c r="AQ21" s="83">
        <f t="shared" ca="1" si="26"/>
        <v>985000</v>
      </c>
    </row>
    <row r="22" spans="1:43" x14ac:dyDescent="0.25">
      <c r="A22" s="67">
        <f t="shared" si="15"/>
        <v>49383</v>
      </c>
      <c r="B22" s="68">
        <f t="shared" si="8"/>
        <v>8.1250000000000003E-2</v>
      </c>
      <c r="C22" s="68">
        <f t="shared" si="16"/>
        <v>8.1250000000000003E-2</v>
      </c>
      <c r="D22" s="68">
        <f t="shared" si="1"/>
        <v>1</v>
      </c>
      <c r="E22" s="66">
        <f t="shared" si="17"/>
        <v>0</v>
      </c>
      <c r="F22" s="66"/>
      <c r="G22" s="66"/>
      <c r="H22" s="66">
        <f t="shared" ca="1" si="18"/>
        <v>75481.25</v>
      </c>
      <c r="I22" s="66">
        <f t="shared" ca="1" si="19"/>
        <v>75481.25</v>
      </c>
      <c r="J22" s="153">
        <f ca="1">MAX(MIN(IF(MONTH($A22)=PRIN_MATURITY,IF(ISNA(VLOOKUP(DATE(YEAR($A22),PRIN_MATURITY,PRIN_MATURITY_DAY_SUB),Summary!$D$12:$CJ$57,COLUMNS(Summary!$D$12:$CJ$12))),0,VLOOKUP(DATE(YEAR($A22),PRIN_MATURITY,PRIN_MATURITY_DAY_SUB),Summary!$D$12:$CJ$57,COLUMNS(Summary!$D$12:$CJ$12))),0),$I22),0)</f>
        <v>75481.25</v>
      </c>
      <c r="K22" s="66">
        <f t="shared" ca="1" si="2"/>
        <v>1460.7601367746101</v>
      </c>
      <c r="L22" s="154">
        <f t="shared" ca="1" si="3"/>
        <v>19439.346435539075</v>
      </c>
      <c r="M22" s="66">
        <f t="shared" ca="1" si="9"/>
        <v>0</v>
      </c>
      <c r="N22" s="66">
        <f t="shared" ca="1" si="4"/>
        <v>94920.596435539075</v>
      </c>
      <c r="O22" s="66">
        <f t="shared" ca="1" si="10"/>
        <v>94920.596435539075</v>
      </c>
      <c r="P22" s="70">
        <f t="shared" ca="1" si="11"/>
        <v>94920.596435539075</v>
      </c>
      <c r="Q22" s="66"/>
      <c r="R22" s="85"/>
      <c r="S22" s="66">
        <f t="shared" ca="1" si="5"/>
        <v>94920.596435539075</v>
      </c>
      <c r="T22" s="70">
        <f t="shared" ca="1" si="12"/>
        <v>94920.596435539075</v>
      </c>
      <c r="U22" s="70">
        <f ca="1">$G$97-SUM($G$11:G22)</f>
        <v>1000000</v>
      </c>
      <c r="W22" s="68">
        <f t="shared" si="20"/>
        <v>1</v>
      </c>
      <c r="Z22" s="83">
        <f ca="1">IF(MONTH($A22)=PRIN_MATURITY,IF(ISNA(VLOOKUP(DATE(YEAR($A22),PRIN_MATURITY,PRIN_MATURITY_DAY_SENIOR),Summary!$D$14:$CJ$56,COLUMNS(Summary!$D$13:$CJ$15),FALSE))=TRUE,0,VLOOKUP(DATE(YEAR($A22),PRIN_MATURITY,PRIN_MATURITY_DAY_SENIOR),Summary!$D$13:$CJ$56,COLUMNS(Summary!$D$13:$CJ$15),FALSE)),0)</f>
        <v>123127.84396407555</v>
      </c>
      <c r="AA22" s="84">
        <f ca="1">IF(ISERROR(IF(ISNA(VLOOKUP($A22,Summary!$D$13:$CJ$54,COLUMNS(Summary!$D$13:$CJ$15),FALSE))=TRUE,0,VLOOKUP($A22,Summary!$D$14:$CJ$54,COLUMNS(Summary!$D$13:$CJ$15),FALSE))/T22),0,IF(ISNA(VLOOKUP($A22,Summary!$C$13:$CJ$54,COLUMNS(Summary!$D$13:$CJ$15)))=TRUE,0,VLOOKUP($A22,Summary!$D$13:$CJ$54,COLUMNS(Summary!$D$13:$CJ$15)))/T22)</f>
        <v>1.2971667750496292</v>
      </c>
      <c r="AB22" s="72">
        <f t="shared" si="13"/>
        <v>1</v>
      </c>
      <c r="AC22" s="83">
        <f t="shared" ca="1" si="14"/>
        <v>28207.247528536478</v>
      </c>
      <c r="AE22" s="83">
        <f t="shared" si="6"/>
        <v>0</v>
      </c>
      <c r="AF22" s="70">
        <f t="shared" ca="1" si="7"/>
        <v>20900.106572313685</v>
      </c>
      <c r="AG22" s="83"/>
      <c r="AI22" s="144">
        <f ca="1">IF(AJ20-AJ21=0,AI22,AI21+(AI21-AI20)*((AJ21-AL22)/(AJ20-AJ21)))</f>
        <v>8.4918623000484514E-2</v>
      </c>
      <c r="AJ22" s="83">
        <f t="shared" ca="1" si="21"/>
        <v>999999.99999999942</v>
      </c>
      <c r="AK22" s="145">
        <f t="shared" si="23"/>
        <v>0</v>
      </c>
      <c r="AL22" s="83">
        <f t="shared" ca="1" si="24"/>
        <v>1000000</v>
      </c>
      <c r="AM22" s="11"/>
      <c r="AN22" s="144">
        <f t="shared" ca="1" si="28"/>
        <v>8.6427582730282337E-2</v>
      </c>
      <c r="AO22" s="83">
        <f t="shared" ca="1" si="22"/>
        <v>984999.99999999988</v>
      </c>
      <c r="AP22" s="145">
        <f t="shared" si="25"/>
        <v>0</v>
      </c>
      <c r="AQ22" s="83">
        <f t="shared" ca="1" si="26"/>
        <v>985000</v>
      </c>
    </row>
    <row r="23" spans="1:43" x14ac:dyDescent="0.25">
      <c r="A23" s="67">
        <f t="shared" si="15"/>
        <v>49749</v>
      </c>
      <c r="B23" s="68">
        <f t="shared" si="8"/>
        <v>8.1250000000000003E-2</v>
      </c>
      <c r="C23" s="68">
        <f t="shared" si="16"/>
        <v>8.1250000000000003E-2</v>
      </c>
      <c r="D23" s="68">
        <f t="shared" si="1"/>
        <v>1</v>
      </c>
      <c r="E23" s="66">
        <f t="shared" si="17"/>
        <v>0</v>
      </c>
      <c r="F23" s="66"/>
      <c r="G23" s="66"/>
      <c r="H23" s="66">
        <f t="shared" ca="1" si="18"/>
        <v>75481.25</v>
      </c>
      <c r="I23" s="66">
        <f t="shared" ca="1" si="19"/>
        <v>75481.25</v>
      </c>
      <c r="J23" s="153">
        <f ca="1">MAX(MIN(IF(MONTH($A23)=PRIN_MATURITY,IF(ISNA(VLOOKUP(DATE(YEAR($A23),PRIN_MATURITY,PRIN_MATURITY_DAY_SUB),Summary!$D$12:$CJ$57,COLUMNS(Summary!$D$12:$CJ$12))),0,VLOOKUP(DATE(YEAR($A23),PRIN_MATURITY,PRIN_MATURITY_DAY_SUB),Summary!$D$12:$CJ$57,COLUMNS(Summary!$D$12:$CJ$12))),0),$I23),0)</f>
        <v>75481.25</v>
      </c>
      <c r="K23" s="66">
        <f t="shared" ca="1" si="2"/>
        <v>0</v>
      </c>
      <c r="L23" s="154">
        <f t="shared" ca="1" si="3"/>
        <v>0</v>
      </c>
      <c r="M23" s="66">
        <f t="shared" ca="1" si="9"/>
        <v>0</v>
      </c>
      <c r="N23" s="66">
        <f t="shared" ca="1" si="4"/>
        <v>75481.25</v>
      </c>
      <c r="O23" s="66">
        <f t="shared" ca="1" si="10"/>
        <v>75481.25</v>
      </c>
      <c r="P23" s="70">
        <f t="shared" ca="1" si="11"/>
        <v>75481.25</v>
      </c>
      <c r="Q23" s="66"/>
      <c r="R23" s="85"/>
      <c r="S23" s="66">
        <f t="shared" ca="1" si="5"/>
        <v>75481.25</v>
      </c>
      <c r="T23" s="70">
        <f t="shared" ca="1" si="12"/>
        <v>75481.25</v>
      </c>
      <c r="U23" s="70">
        <f ca="1">$G$97-SUM($G$11:G23)</f>
        <v>1000000</v>
      </c>
      <c r="W23" s="68">
        <f t="shared" si="20"/>
        <v>1</v>
      </c>
      <c r="Z23" s="83">
        <f ca="1">IF(MONTH($A23)=PRIN_MATURITY,IF(ISNA(VLOOKUP(DATE(YEAR($A23),PRIN_MATURITY,PRIN_MATURITY_DAY_SENIOR),Summary!$D$14:$CJ$56,COLUMNS(Summary!$D$13:$CJ$15),FALSE))=TRUE,0,VLOOKUP(DATE(YEAR($A23),PRIN_MATURITY,PRIN_MATURITY_DAY_SENIOR),Summary!$D$13:$CJ$56,COLUMNS(Summary!$D$13:$CJ$15),FALSE)),0)</f>
        <v>129030.11358886189</v>
      </c>
      <c r="AA23" s="84">
        <f ca="1">IF(ISERROR(IF(ISNA(VLOOKUP($A23,Summary!$D$13:$CJ$54,COLUMNS(Summary!$D$13:$CJ$15),FALSE))=TRUE,0,VLOOKUP($A23,Summary!$D$14:$CJ$54,COLUMNS(Summary!$D$13:$CJ$15),FALSE))/T23),0,IF(ISNA(VLOOKUP($A23,Summary!$C$13:$CJ$54,COLUMNS(Summary!$D$13:$CJ$15)))=TRUE,0,VLOOKUP($A23,Summary!$D$13:$CJ$54,COLUMNS(Summary!$D$13:$CJ$15)))/T23)</f>
        <v>1.7094326549820238</v>
      </c>
      <c r="AB23" s="72">
        <f t="shared" si="13"/>
        <v>1</v>
      </c>
      <c r="AC23" s="83">
        <f t="shared" ca="1" si="14"/>
        <v>53548.863588861888</v>
      </c>
      <c r="AE23" s="83">
        <f t="shared" si="6"/>
        <v>0</v>
      </c>
      <c r="AF23" s="70">
        <f t="shared" ca="1" si="7"/>
        <v>0</v>
      </c>
      <c r="AG23" s="83"/>
      <c r="AN23" s="144"/>
      <c r="AO23" s="83"/>
      <c r="AP23" s="145"/>
      <c r="AQ23" s="83"/>
    </row>
    <row r="24" spans="1:43" x14ac:dyDescent="0.25">
      <c r="A24" s="67">
        <f t="shared" si="15"/>
        <v>50114</v>
      </c>
      <c r="B24" s="68">
        <f t="shared" si="8"/>
        <v>8.1250000000000003E-2</v>
      </c>
      <c r="C24" s="68">
        <f t="shared" si="16"/>
        <v>8.1250000000000003E-2</v>
      </c>
      <c r="D24" s="68">
        <f t="shared" si="1"/>
        <v>1</v>
      </c>
      <c r="E24" s="66">
        <f>D24*G24-G24</f>
        <v>0</v>
      </c>
      <c r="F24" s="66"/>
      <c r="G24" s="66"/>
      <c r="H24" s="66">
        <f ca="1">(H25+G24*B24)</f>
        <v>75481.25</v>
      </c>
      <c r="I24" s="66">
        <f t="shared" ca="1" si="19"/>
        <v>75481.25</v>
      </c>
      <c r="J24" s="153">
        <f ca="1">MAX(MIN(IF(MONTH($A24)=PRIN_MATURITY,IF(ISNA(VLOOKUP(DATE(YEAR($A24),PRIN_MATURITY,PRIN_MATURITY_DAY_SUB),Summary!$D$12:$CJ$57,COLUMNS(Summary!$D$12:$CJ$12))),0,VLOOKUP(DATE(YEAR($A24),PRIN_MATURITY,PRIN_MATURITY_DAY_SUB),Summary!$D$12:$CJ$57,COLUMNS(Summary!$D$12:$CJ$12))),0),$I24),0)</f>
        <v>75481.25</v>
      </c>
      <c r="K24" s="66">
        <f t="shared" ca="1" si="2"/>
        <v>0</v>
      </c>
      <c r="L24" s="154">
        <f t="shared" ca="1" si="3"/>
        <v>0</v>
      </c>
      <c r="M24" s="66">
        <f ca="1">M23+K24-L24</f>
        <v>0</v>
      </c>
      <c r="N24" s="66">
        <f ca="1">$G24+$J24+$L24</f>
        <v>75481.25</v>
      </c>
      <c r="O24" s="66">
        <f ca="1">G24+H24+L24</f>
        <v>75481.25</v>
      </c>
      <c r="P24" s="70">
        <f t="shared" ca="1" si="11"/>
        <v>75481.25</v>
      </c>
      <c r="Q24" s="66"/>
      <c r="R24" s="85"/>
      <c r="S24" s="66">
        <f t="shared" ca="1" si="5"/>
        <v>75481.25</v>
      </c>
      <c r="T24" s="70">
        <f t="shared" ca="1" si="12"/>
        <v>75481.25</v>
      </c>
      <c r="U24" s="70">
        <f ca="1">$G$97-SUM($G$11:G24)</f>
        <v>1000000</v>
      </c>
      <c r="W24" s="68">
        <f t="shared" si="20"/>
        <v>1</v>
      </c>
      <c r="Z24" s="83">
        <f ca="1">IF(MONTH($A24)=PRIN_MATURITY,IF(ISNA(VLOOKUP(DATE(YEAR($A24),PRIN_MATURITY,PRIN_MATURITY_DAY_SENIOR),Summary!$D$14:$CJ$56,COLUMNS(Summary!$D$13:$CJ$15),FALSE))=TRUE,0,VLOOKUP(DATE(YEAR($A24),PRIN_MATURITY,PRIN_MATURITY_DAY_SENIOR),Summary!$D$13:$CJ$56,COLUMNS(Summary!$D$13:$CJ$15),FALSE)),0)</f>
        <v>125261.03476054501</v>
      </c>
      <c r="AA24" s="84">
        <f ca="1">IF(ISERROR(IF(ISNA(VLOOKUP($A24,Summary!$D$13:$CJ$54,COLUMNS(Summary!$D$13:$CJ$15),FALSE))=TRUE,0,VLOOKUP($A24,Summary!$D$14:$CJ$54,COLUMNS(Summary!$D$13:$CJ$15),FALSE))/T24),0,IF(ISNA(VLOOKUP($A24,Summary!$C$13:$CJ$54,COLUMNS(Summary!$D$13:$CJ$15)))=TRUE,0,VLOOKUP($A24,Summary!$D$13:$CJ$54,COLUMNS(Summary!$D$13:$CJ$15)))/T24)</f>
        <v>1.659498680275499</v>
      </c>
      <c r="AB24" s="72">
        <f t="shared" si="13"/>
        <v>1</v>
      </c>
      <c r="AC24" s="83">
        <f ca="1">Z24-G24-J24-L24</f>
        <v>49779.784760545008</v>
      </c>
      <c r="AE24" s="83">
        <f>D24*G24*DAYS360(DELIVERY,A24)/360</f>
        <v>0</v>
      </c>
      <c r="AF24" s="70">
        <f ca="1">G24+K24+L24</f>
        <v>0</v>
      </c>
      <c r="AG24" s="83"/>
      <c r="AN24" s="144"/>
      <c r="AO24" s="83"/>
      <c r="AP24" s="145"/>
      <c r="AQ24" s="83"/>
    </row>
    <row r="25" spans="1:43" x14ac:dyDescent="0.25">
      <c r="A25" s="67">
        <f t="shared" si="15"/>
        <v>50479</v>
      </c>
      <c r="B25" s="68">
        <f t="shared" si="8"/>
        <v>8.1250000000000003E-2</v>
      </c>
      <c r="C25" s="68">
        <f t="shared" si="16"/>
        <v>8.1250000000000003E-2</v>
      </c>
      <c r="D25" s="68">
        <f t="shared" si="1"/>
        <v>1</v>
      </c>
      <c r="E25" s="66">
        <f ca="1">D25*G25-G25</f>
        <v>0</v>
      </c>
      <c r="F25" s="66"/>
      <c r="G25" s="66">
        <f ca="1">IF(SUB_SIZING_THRESHOLD&gt;IF(B25=0,0, MAX(0,INT(((($Z25)/$AB25-H26*W25))/(1+B25*W25)/1000)*1000)),0,IF(B25=0,0, MAX(0,INT(((($Z25)/$AB25-H26*W25))/(1+B25*W25)/1000)*1000)))</f>
        <v>51000</v>
      </c>
      <c r="H25" s="66">
        <f ca="1">(H26+G25*B25)</f>
        <v>75481.25</v>
      </c>
      <c r="I25" s="66">
        <f t="shared" ca="1" si="19"/>
        <v>75481.25</v>
      </c>
      <c r="J25" s="153">
        <f ca="1">MAX(MIN(IF(MONTH($A25)=PRIN_MATURITY,IF(ISNA(VLOOKUP(DATE(YEAR($A25),PRIN_MATURITY,PRIN_MATURITY_DAY_SUB),Summary!$D$12:$CJ$57,COLUMNS(Summary!$D$12:$CJ$12))),0,VLOOKUP(DATE(YEAR($A25),PRIN_MATURITY,PRIN_MATURITY_DAY_SUB),Summary!$D$12:$CJ$57,COLUMNS(Summary!$D$12:$CJ$12))),0),$I25),0)</f>
        <v>75481.25</v>
      </c>
      <c r="K25" s="66">
        <f t="shared" ca="1" si="2"/>
        <v>0</v>
      </c>
      <c r="L25" s="154">
        <f t="shared" ca="1" si="3"/>
        <v>0</v>
      </c>
      <c r="M25" s="66">
        <f ca="1">M24+K25-L25</f>
        <v>0</v>
      </c>
      <c r="N25" s="66">
        <f ca="1">$G25+$J25+$L25</f>
        <v>126481.25</v>
      </c>
      <c r="O25" s="66">
        <f ca="1">G25+H25+L25</f>
        <v>126481.25</v>
      </c>
      <c r="P25" s="70">
        <f t="shared" ca="1" si="11"/>
        <v>126481.25</v>
      </c>
      <c r="Q25" s="66"/>
      <c r="R25" s="85"/>
      <c r="S25" s="66">
        <f t="shared" ca="1" si="5"/>
        <v>126481.25</v>
      </c>
      <c r="T25" s="70">
        <f t="shared" ca="1" si="12"/>
        <v>126481.25</v>
      </c>
      <c r="U25" s="70">
        <f ca="1">$G$97-SUM($G$11:G25)</f>
        <v>949000</v>
      </c>
      <c r="W25" s="68">
        <f t="shared" si="20"/>
        <v>1</v>
      </c>
      <c r="Z25" s="83">
        <f ca="1">IF(MONTH($A25)=PRIN_MATURITY,IF(ISNA(VLOOKUP(DATE(YEAR($A25),PRIN_MATURITY,PRIN_MATURITY_DAY_SENIOR),Summary!$D$14:$CJ$56,COLUMNS(Summary!$D$13:$CJ$15),FALSE))=TRUE,0,VLOOKUP(DATE(YEAR($A25),PRIN_MATURITY,PRIN_MATURITY_DAY_SENIOR),Summary!$D$13:$CJ$56,COLUMNS(Summary!$D$13:$CJ$15),FALSE)),0)</f>
        <v>127408.20782160654</v>
      </c>
      <c r="AA25" s="84">
        <f ca="1">IF(ISERROR(IF(ISNA(VLOOKUP($A25,Summary!$D$13:$CJ$54,COLUMNS(Summary!$D$13:$CJ$15),FALSE))=TRUE,0,VLOOKUP($A25,Summary!$D$14:$CJ$54,COLUMNS(Summary!$D$13:$CJ$15),FALSE))/T25),0,IF(ISNA(VLOOKUP($A25,Summary!$C$13:$CJ$54,COLUMNS(Summary!$D$13:$CJ$15)))=TRUE,0,VLOOKUP($A25,Summary!$D$13:$CJ$54,COLUMNS(Summary!$D$13:$CJ$15)))/T25)</f>
        <v>1.0073288161020431</v>
      </c>
      <c r="AB25" s="72">
        <f t="shared" si="13"/>
        <v>1</v>
      </c>
      <c r="AC25" s="83">
        <f ca="1">Z25-G25-J25-L25</f>
        <v>926.95782160654198</v>
      </c>
      <c r="AE25" s="83">
        <f ca="1">D25*G25*DAYS360(DELIVERY,A25)/360</f>
        <v>686941.66666666663</v>
      </c>
      <c r="AF25" s="70">
        <f ca="1">G25+K25+L25</f>
        <v>51000</v>
      </c>
      <c r="AG25" s="83"/>
      <c r="AN25" s="144"/>
      <c r="AO25" s="83"/>
      <c r="AP25" s="145"/>
      <c r="AQ25" s="83"/>
    </row>
    <row r="26" spans="1:43" x14ac:dyDescent="0.25">
      <c r="A26" s="67">
        <f t="shared" si="15"/>
        <v>50844</v>
      </c>
      <c r="B26" s="68">
        <f t="shared" si="8"/>
        <v>8.1250000000000003E-2</v>
      </c>
      <c r="C26" s="68">
        <f t="shared" si="16"/>
        <v>8.1250000000000003E-2</v>
      </c>
      <c r="D26" s="68">
        <f t="shared" si="1"/>
        <v>1</v>
      </c>
      <c r="E26" s="66">
        <f ca="1">D26*G26-G26</f>
        <v>0</v>
      </c>
      <c r="F26" s="66"/>
      <c r="G26" s="66">
        <f ca="1">IF(SUB_SIZING_THRESHOLD&gt;IF(B26=0,0, MAX(0,INT(((($Z26)/$AB26-H27*W26))/(1+B26*W26)/1000)*1000)),0,IF(B26=0,0, MAX(0,INT(((($Z26)/$AB26-H27*W26))/(1+B26*W26)/1000)*1000)))</f>
        <v>58000</v>
      </c>
      <c r="H26" s="66">
        <f ca="1">(H27+G26*B26)</f>
        <v>71337.5</v>
      </c>
      <c r="I26" s="66">
        <f t="shared" ca="1" si="19"/>
        <v>71337.5</v>
      </c>
      <c r="J26" s="153">
        <f ca="1">MAX(MIN(IF(MONTH($A26)=PRIN_MATURITY,IF(ISNA(VLOOKUP(DATE(YEAR($A26),PRIN_MATURITY,PRIN_MATURITY_DAY_SUB),Summary!$D$12:$CJ$57,COLUMNS(Summary!$D$12:$CJ$12))),0,VLOOKUP(DATE(YEAR($A26),PRIN_MATURITY,PRIN_MATURITY_DAY_SUB),Summary!$D$12:$CJ$57,COLUMNS(Summary!$D$12:$CJ$12))),0),$I26),0)</f>
        <v>71337.5</v>
      </c>
      <c r="K26" s="66">
        <f t="shared" ca="1" si="2"/>
        <v>0</v>
      </c>
      <c r="L26" s="154">
        <f t="shared" ca="1" si="3"/>
        <v>0</v>
      </c>
      <c r="M26" s="66">
        <f t="shared" ca="1" si="9"/>
        <v>0</v>
      </c>
      <c r="N26" s="66">
        <f ca="1">$G26+$J26+$L26</f>
        <v>129337.5</v>
      </c>
      <c r="O26" s="66">
        <f ca="1">G26+H26+L26</f>
        <v>129337.5</v>
      </c>
      <c r="P26" s="70">
        <f t="shared" ca="1" si="11"/>
        <v>129337.5</v>
      </c>
      <c r="Q26" s="66"/>
      <c r="R26" s="85"/>
      <c r="S26" s="66">
        <f t="shared" ca="1" si="5"/>
        <v>129337.5</v>
      </c>
      <c r="T26" s="70">
        <f t="shared" ca="1" si="12"/>
        <v>129337.5</v>
      </c>
      <c r="U26" s="70">
        <f ca="1">$G$97-SUM($G$11:G26)</f>
        <v>891000</v>
      </c>
      <c r="W26" s="68">
        <f t="shared" si="20"/>
        <v>1</v>
      </c>
      <c r="Z26" s="83">
        <f ca="1">IF(MONTH($A26)=PRIN_MATURITY,IF(ISNA(VLOOKUP(DATE(YEAR($A26),PRIN_MATURITY,PRIN_MATURITY_DAY_SENIOR),Summary!$D$14:$CJ$56,COLUMNS(Summary!$D$13:$CJ$15),FALSE))=TRUE,0,VLOOKUP(DATE(YEAR($A26),PRIN_MATURITY,PRIN_MATURITY_DAY_SENIOR),Summary!$D$13:$CJ$56,COLUMNS(Summary!$D$13:$CJ$15),FALSE)),0)</f>
        <v>130177.97914449405</v>
      </c>
      <c r="AA26" s="84">
        <f ca="1">IF(ISERROR(IF(ISNA(VLOOKUP($A26,Summary!$D$13:$CJ$54,COLUMNS(Summary!$D$13:$CJ$15),FALSE))=TRUE,0,VLOOKUP($A26,Summary!$D$14:$CJ$54,COLUMNS(Summary!$D$13:$CJ$15),FALSE))/T26),0,IF(ISNA(VLOOKUP($A26,Summary!$C$13:$CJ$54,COLUMNS(Summary!$D$13:$CJ$15)))=TRUE,0,VLOOKUP($A26,Summary!$D$13:$CJ$54,COLUMNS(Summary!$D$13:$CJ$15)))/T26)</f>
        <v>1.0064983407325334</v>
      </c>
      <c r="AB26" s="72">
        <f t="shared" si="13"/>
        <v>1</v>
      </c>
      <c r="AC26" s="83">
        <f ca="1">Z26-G26-J26-L26</f>
        <v>840.47914449404925</v>
      </c>
      <c r="AE26" s="83">
        <f ca="1">D26*G26*DAYS360(DELIVERY,A26)/360</f>
        <v>839227.77777777775</v>
      </c>
      <c r="AF26" s="70">
        <f ca="1">G26+K26+L26</f>
        <v>58000</v>
      </c>
      <c r="AG26" s="83"/>
      <c r="AN26" s="144"/>
      <c r="AO26" s="83"/>
      <c r="AP26" s="145"/>
      <c r="AQ26" s="83"/>
    </row>
    <row r="27" spans="1:43" x14ac:dyDescent="0.25">
      <c r="A27" s="67">
        <f t="shared" si="15"/>
        <v>51210</v>
      </c>
      <c r="B27" s="68">
        <f t="shared" si="8"/>
        <v>8.1250000000000003E-2</v>
      </c>
      <c r="C27" s="68">
        <f t="shared" si="16"/>
        <v>8.1250000000000003E-2</v>
      </c>
      <c r="D27" s="68">
        <f t="shared" si="1"/>
        <v>1</v>
      </c>
      <c r="E27" s="66">
        <f ca="1">D27*G27-G27</f>
        <v>0</v>
      </c>
      <c r="F27" s="66"/>
      <c r="G27" s="66">
        <f ca="1">IF(SUB_SIZING_THRESHOLD&gt;IF(B27=0,0, MAX(0,INT(((($Z27)/$AB27-H28*W27))/(1+B27*W27)/1000)*1000)),0,IF(B27=0,0, MAX(0,INT(((($Z27)/$AB27-H28*W27))/(1+B27*W27)/1000)*1000)))</f>
        <v>61000</v>
      </c>
      <c r="H27" s="66">
        <f ca="1">(H28+G27*B27)</f>
        <v>66625</v>
      </c>
      <c r="I27" s="66">
        <f t="shared" ca="1" si="19"/>
        <v>66625</v>
      </c>
      <c r="J27" s="153">
        <f ca="1">MAX(MIN(IF(MONTH($A27)=PRIN_MATURITY,IF(ISNA(VLOOKUP(DATE(YEAR($A27),PRIN_MATURITY,PRIN_MATURITY_DAY_SUB),Summary!$D$12:$CJ$57,COLUMNS(Summary!$D$12:$CJ$12))),0,VLOOKUP(DATE(YEAR($A27),PRIN_MATURITY,PRIN_MATURITY_DAY_SUB),Summary!$D$12:$CJ$57,COLUMNS(Summary!$D$12:$CJ$12))),0),$I27),0)</f>
        <v>66625</v>
      </c>
      <c r="K27" s="66">
        <f ca="1">IF($K$4="No", 0,I27+(M26*SUB_INTEREST_RATE)-J27)</f>
        <v>0</v>
      </c>
      <c r="L27" s="154">
        <f t="shared" ca="1" si="3"/>
        <v>0</v>
      </c>
      <c r="M27" s="66">
        <f t="shared" ca="1" si="9"/>
        <v>0</v>
      </c>
      <c r="N27" s="66">
        <f ca="1">$G27+$J27+$L27</f>
        <v>127625</v>
      </c>
      <c r="O27" s="66">
        <f ca="1">G27+H27+L27</f>
        <v>127625</v>
      </c>
      <c r="P27" s="70">
        <f t="shared" ca="1" si="11"/>
        <v>127625</v>
      </c>
      <c r="Q27" s="66"/>
      <c r="R27" s="85"/>
      <c r="S27" s="66">
        <f t="shared" ca="1" si="5"/>
        <v>127625</v>
      </c>
      <c r="T27" s="70">
        <f t="shared" ca="1" si="12"/>
        <v>127625</v>
      </c>
      <c r="U27" s="70">
        <f ca="1">$G$97-SUM($G$11:G27)</f>
        <v>830000</v>
      </c>
      <c r="W27" s="68">
        <f t="shared" si="20"/>
        <v>1</v>
      </c>
      <c r="Z27" s="83">
        <f ca="1">IF(MONTH($A27)=PRIN_MATURITY,IF(ISNA(VLOOKUP(DATE(YEAR($A27),PRIN_MATURITY,PRIN_MATURITY_DAY_SENIOR),Summary!$D$14:$CJ$56,COLUMNS(Summary!$D$13:$CJ$15),FALSE))=TRUE,0,VLOOKUP(DATE(YEAR($A27),PRIN_MATURITY,PRIN_MATURITY_DAY_SENIOR),Summary!$D$13:$CJ$56,COLUMNS(Summary!$D$13:$CJ$15),FALSE)),0)</f>
        <v>128570.44099244953</v>
      </c>
      <c r="AA27" s="84">
        <f ca="1">IF(ISERROR(IF(ISNA(VLOOKUP($A27,Summary!$D$13:$CJ$54,COLUMNS(Summary!$D$13:$CJ$15),FALSE))=TRUE,0,VLOOKUP($A27,Summary!$D$14:$CJ$54,COLUMNS(Summary!$D$13:$CJ$15),FALSE))/T27),0,IF(ISNA(VLOOKUP($A27,Summary!$C$13:$CJ$54,COLUMNS(Summary!$D$13:$CJ$15)))=TRUE,0,VLOOKUP($A27,Summary!$D$13:$CJ$54,COLUMNS(Summary!$D$13:$CJ$15)))/T27)</f>
        <v>1.0074079607635613</v>
      </c>
      <c r="AB27" s="72">
        <f t="shared" si="13"/>
        <v>1</v>
      </c>
      <c r="AC27" s="83">
        <f ca="1">Z27-G27-J27-L27</f>
        <v>945.44099244952668</v>
      </c>
      <c r="AE27" s="83">
        <f ca="1">D27*G27*DAYS360(DELIVERY,A27)/360</f>
        <v>943636.11111111112</v>
      </c>
      <c r="AF27" s="70">
        <f ca="1">G27+K27+L27</f>
        <v>61000</v>
      </c>
      <c r="AG27" s="83"/>
    </row>
    <row r="28" spans="1:43" x14ac:dyDescent="0.25">
      <c r="A28" s="67">
        <f t="shared" si="15"/>
        <v>51575</v>
      </c>
      <c r="B28" s="68">
        <f t="shared" si="8"/>
        <v>8.1250000000000003E-2</v>
      </c>
      <c r="C28" s="68">
        <f t="shared" si="16"/>
        <v>8.1250000000000003E-2</v>
      </c>
      <c r="D28" s="68">
        <f t="shared" si="1"/>
        <v>1</v>
      </c>
      <c r="E28" s="66">
        <f t="shared" ca="1" si="17"/>
        <v>0</v>
      </c>
      <c r="F28" s="66"/>
      <c r="G28" s="66">
        <f t="shared" ref="G28:G35" ca="1" si="29">IF(SUB_SIZING_THRESHOLD&gt;IF(B28=0,0, MAX(0,INT(((($Z28)/$AB28-H29*W28))/(1+B28*W28)/1000)*1000)),0,IF(B28=0,0, MAX(0,INT(((($Z28)/$AB28-H29*W28))/(1+B28*W28)/1000)*1000)))</f>
        <v>71000</v>
      </c>
      <c r="H28" s="66">
        <f t="shared" ca="1" si="18"/>
        <v>61668.75</v>
      </c>
      <c r="I28" s="66">
        <f t="shared" ca="1" si="19"/>
        <v>61668.75</v>
      </c>
      <c r="J28" s="153">
        <f ca="1">MAX(MIN(IF(MONTH($A28)=PRIN_MATURITY,IF(ISNA(VLOOKUP(DATE(YEAR($A28),PRIN_MATURITY,PRIN_MATURITY_DAY_SUB),Summary!$D$12:$CJ$57,COLUMNS(Summary!$D$12:$CJ$12))),0,VLOOKUP(DATE(YEAR($A28),PRIN_MATURITY,PRIN_MATURITY_DAY_SUB),Summary!$D$12:$CJ$57,COLUMNS(Summary!$D$12:$CJ$12))),0),$I28),0)</f>
        <v>61668.75</v>
      </c>
      <c r="K28" s="66">
        <f t="shared" ca="1" si="2"/>
        <v>0</v>
      </c>
      <c r="L28" s="154">
        <f t="shared" ca="1" si="3"/>
        <v>0</v>
      </c>
      <c r="M28" s="66">
        <f t="shared" ca="1" si="9"/>
        <v>0</v>
      </c>
      <c r="N28" s="66">
        <f t="shared" ca="1" si="4"/>
        <v>132668.75</v>
      </c>
      <c r="O28" s="66">
        <f t="shared" ca="1" si="10"/>
        <v>132668.75</v>
      </c>
      <c r="P28" s="70">
        <f t="shared" ca="1" si="11"/>
        <v>132668.75</v>
      </c>
      <c r="Q28" s="66"/>
      <c r="R28" s="85"/>
      <c r="S28" s="66">
        <f t="shared" ca="1" si="5"/>
        <v>132668.75</v>
      </c>
      <c r="T28" s="70">
        <f t="shared" ca="1" si="12"/>
        <v>132668.75</v>
      </c>
      <c r="U28" s="70">
        <f ca="1">$G$97-SUM($G$11:G28)</f>
        <v>759000</v>
      </c>
      <c r="W28" s="68">
        <f t="shared" si="20"/>
        <v>1</v>
      </c>
      <c r="Z28" s="83">
        <f ca="1">IF(MONTH($A28)=PRIN_MATURITY,IF(ISNA(VLOOKUP(DATE(YEAR($A28),PRIN_MATURITY,PRIN_MATURITY_DAY_SENIOR),Summary!$D$14:$CJ$56,COLUMNS(Summary!$D$13:$CJ$15),FALSE))=TRUE,0,VLOOKUP(DATE(YEAR($A28),PRIN_MATURITY,PRIN_MATURITY_DAY_SENIOR),Summary!$D$13:$CJ$56,COLUMNS(Summary!$D$13:$CJ$15),FALSE)),0)</f>
        <v>132879.43137696059</v>
      </c>
      <c r="AA28" s="84">
        <f ca="1">IF(ISERROR(IF(ISNA(VLOOKUP($A28,Summary!$D$13:$CJ$54,COLUMNS(Summary!$D$13:$CJ$15),FALSE))=TRUE,0,VLOOKUP($A28,Summary!$D$14:$CJ$54,COLUMNS(Summary!$D$13:$CJ$15),FALSE))/T28),0,IF(ISNA(VLOOKUP($A28,Summary!$C$13:$CJ$54,COLUMNS(Summary!$D$13:$CJ$15)))=TRUE,0,VLOOKUP($A28,Summary!$D$13:$CJ$54,COLUMNS(Summary!$D$13:$CJ$15)))/T28)</f>
        <v>1.0015880256425165</v>
      </c>
      <c r="AB28" s="72">
        <f t="shared" si="13"/>
        <v>1</v>
      </c>
      <c r="AC28" s="83">
        <f t="shared" ca="1" si="14"/>
        <v>210.68137696059421</v>
      </c>
      <c r="AE28" s="83">
        <f t="shared" ca="1" si="6"/>
        <v>1169330.5555555555</v>
      </c>
      <c r="AF28" s="70">
        <f t="shared" ca="1" si="7"/>
        <v>71000</v>
      </c>
      <c r="AG28" s="83"/>
    </row>
    <row r="29" spans="1:43" x14ac:dyDescent="0.25">
      <c r="A29" s="67">
        <f t="shared" si="15"/>
        <v>51940</v>
      </c>
      <c r="B29" s="68">
        <f t="shared" si="8"/>
        <v>8.1250000000000003E-2</v>
      </c>
      <c r="C29" s="68">
        <f t="shared" si="16"/>
        <v>8.1250000000000003E-2</v>
      </c>
      <c r="D29" s="68">
        <f t="shared" si="1"/>
        <v>1</v>
      </c>
      <c r="E29" s="66">
        <f t="shared" ca="1" si="17"/>
        <v>0</v>
      </c>
      <c r="F29" s="66"/>
      <c r="G29" s="66">
        <f t="shared" ca="1" si="29"/>
        <v>71000</v>
      </c>
      <c r="H29" s="66">
        <f ca="1">(H30+G24*B29)</f>
        <v>55900</v>
      </c>
      <c r="I29" s="66">
        <f t="shared" ca="1" si="19"/>
        <v>55900</v>
      </c>
      <c r="J29" s="153">
        <f ca="1">MAX(MIN(IF(MONTH($A29)=PRIN_MATURITY,IF(ISNA(VLOOKUP(DATE(YEAR($A29),PRIN_MATURITY,PRIN_MATURITY_DAY_SUB),Summary!$D$12:$CJ$57,COLUMNS(Summary!$D$12:$CJ$12))),0,VLOOKUP(DATE(YEAR($A29),PRIN_MATURITY,PRIN_MATURITY_DAY_SUB),Summary!$D$12:$CJ$57,COLUMNS(Summary!$D$12:$CJ$12))),0),$I29),0)</f>
        <v>55900</v>
      </c>
      <c r="K29" s="66">
        <f t="shared" ca="1" si="2"/>
        <v>0</v>
      </c>
      <c r="L29" s="154">
        <f t="shared" ca="1" si="3"/>
        <v>0</v>
      </c>
      <c r="M29" s="66">
        <f t="shared" ca="1" si="9"/>
        <v>0</v>
      </c>
      <c r="N29" s="66">
        <f t="shared" ca="1" si="4"/>
        <v>126900</v>
      </c>
      <c r="O29" s="66">
        <f t="shared" ca="1" si="10"/>
        <v>126900</v>
      </c>
      <c r="P29" s="70">
        <f t="shared" ca="1" si="11"/>
        <v>126900</v>
      </c>
      <c r="Q29" s="66"/>
      <c r="R29" s="85"/>
      <c r="S29" s="66">
        <f t="shared" ca="1" si="5"/>
        <v>126900</v>
      </c>
      <c r="T29" s="70">
        <f t="shared" ca="1" si="12"/>
        <v>126900</v>
      </c>
      <c r="U29" s="70">
        <f ca="1">$G$97-SUM($G$11:G29)</f>
        <v>688000</v>
      </c>
      <c r="W29" s="68">
        <f t="shared" si="20"/>
        <v>1</v>
      </c>
      <c r="Z29" s="83">
        <f ca="1">IF(MONTH($A29)=PRIN_MATURITY,IF(ISNA(VLOOKUP(DATE(YEAR($A29),PRIN_MATURITY,PRIN_MATURITY_DAY_SENIOR),Summary!$D$14:$CJ$56,COLUMNS(Summary!$D$13:$CJ$15),FALSE))=TRUE,0,VLOOKUP(DATE(YEAR($A29),PRIN_MATURITY,PRIN_MATURITY_DAY_SENIOR),Summary!$D$13:$CJ$56,COLUMNS(Summary!$D$13:$CJ$15),FALSE)),0)</f>
        <v>132811.28391175473</v>
      </c>
      <c r="AA29" s="84">
        <f ca="1">IF(ISERROR(IF(ISNA(VLOOKUP($A29,Summary!$D$13:$CJ$54,COLUMNS(Summary!$D$13:$CJ$15),FALSE))=TRUE,0,VLOOKUP($A29,Summary!$D$14:$CJ$54,COLUMNS(Summary!$D$13:$CJ$15),FALSE))/T29),0,IF(ISNA(VLOOKUP($A29,Summary!$C$13:$CJ$54,COLUMNS(Summary!$D$13:$CJ$15)))=TRUE,0,VLOOKUP($A29,Summary!$D$13:$CJ$54,COLUMNS(Summary!$D$13:$CJ$15)))/T29)</f>
        <v>1.0465822215268299</v>
      </c>
      <c r="AB29" s="72">
        <f t="shared" si="13"/>
        <v>1</v>
      </c>
      <c r="AC29" s="83">
        <f t="shared" ca="1" si="14"/>
        <v>5911.2839117547264</v>
      </c>
      <c r="AE29" s="83">
        <f t="shared" ca="1" si="6"/>
        <v>1240330.5555555555</v>
      </c>
      <c r="AF29" s="70">
        <f t="shared" ca="1" si="7"/>
        <v>71000</v>
      </c>
      <c r="AG29" s="83"/>
    </row>
    <row r="30" spans="1:43" x14ac:dyDescent="0.25">
      <c r="A30" s="67">
        <f t="shared" si="15"/>
        <v>52305</v>
      </c>
      <c r="B30" s="68">
        <f t="shared" si="8"/>
        <v>8.1250000000000003E-2</v>
      </c>
      <c r="C30" s="68">
        <f t="shared" si="16"/>
        <v>8.1250000000000003E-2</v>
      </c>
      <c r="D30" s="68">
        <f t="shared" si="1"/>
        <v>1</v>
      </c>
      <c r="E30" s="66">
        <f t="shared" ca="1" si="17"/>
        <v>0</v>
      </c>
      <c r="F30" s="66"/>
      <c r="G30" s="66">
        <f t="shared" ca="1" si="29"/>
        <v>77000</v>
      </c>
      <c r="H30" s="66">
        <f t="shared" ca="1" si="18"/>
        <v>55900</v>
      </c>
      <c r="I30" s="66">
        <f t="shared" ca="1" si="19"/>
        <v>55900</v>
      </c>
      <c r="J30" s="153">
        <f ca="1">MAX(MIN(IF(MONTH($A30)=PRIN_MATURITY,IF(ISNA(VLOOKUP(DATE(YEAR($A30),PRIN_MATURITY,PRIN_MATURITY_DAY_SUB),Summary!$D$12:$CJ$57,COLUMNS(Summary!$D$12:$CJ$12))),0,VLOOKUP(DATE(YEAR($A30),PRIN_MATURITY,PRIN_MATURITY_DAY_SUB),Summary!$D$12:$CJ$57,COLUMNS(Summary!$D$12:$CJ$12))),0),$I30),0)</f>
        <v>55900</v>
      </c>
      <c r="K30" s="66">
        <f t="shared" ca="1" si="2"/>
        <v>0</v>
      </c>
      <c r="L30" s="154">
        <f t="shared" ca="1" si="3"/>
        <v>0</v>
      </c>
      <c r="M30" s="66">
        <f t="shared" ca="1" si="9"/>
        <v>0</v>
      </c>
      <c r="N30" s="66">
        <f t="shared" ca="1" si="4"/>
        <v>132900</v>
      </c>
      <c r="O30" s="66">
        <f t="shared" ca="1" si="10"/>
        <v>132900</v>
      </c>
      <c r="P30" s="70">
        <f t="shared" ca="1" si="11"/>
        <v>132900</v>
      </c>
      <c r="Q30" s="66"/>
      <c r="R30" s="85"/>
      <c r="S30" s="66">
        <f t="shared" ca="1" si="5"/>
        <v>132900</v>
      </c>
      <c r="T30" s="70">
        <f t="shared" ca="1" si="12"/>
        <v>132900</v>
      </c>
      <c r="U30" s="70">
        <f ca="1">$G$97-SUM($G$11:G30)</f>
        <v>611000</v>
      </c>
      <c r="W30" s="68">
        <f t="shared" si="20"/>
        <v>1</v>
      </c>
      <c r="Z30" s="83">
        <f ca="1">IF(MONTH($A30)=PRIN_MATURITY,IF(ISNA(VLOOKUP(DATE(YEAR($A30),PRIN_MATURITY,PRIN_MATURITY_DAY_SENIOR),Summary!$D$14:$CJ$56,COLUMNS(Summary!$D$13:$CJ$15),FALSE))=TRUE,0,VLOOKUP(DATE(YEAR($A30),PRIN_MATURITY,PRIN_MATURITY_DAY_SENIOR),Summary!$D$13:$CJ$56,COLUMNS(Summary!$D$13:$CJ$15),FALSE)),0)</f>
        <v>133659.82766326261</v>
      </c>
      <c r="AA30" s="84">
        <f ca="1">IF(ISERROR(IF(ISNA(VLOOKUP($A30,Summary!$D$13:$CJ$54,COLUMNS(Summary!$D$13:$CJ$15),FALSE))=TRUE,0,VLOOKUP($A30,Summary!$D$14:$CJ$54,COLUMNS(Summary!$D$13:$CJ$15),FALSE))/T30),0,IF(ISNA(VLOOKUP($A30,Summary!$C$13:$CJ$54,COLUMNS(Summary!$D$13:$CJ$15)))=TRUE,0,VLOOKUP($A30,Summary!$D$13:$CJ$54,COLUMNS(Summary!$D$13:$CJ$15)))/T30)</f>
        <v>1.0057172886626231</v>
      </c>
      <c r="AB30" s="72">
        <f t="shared" si="13"/>
        <v>1</v>
      </c>
      <c r="AC30" s="83">
        <f t="shared" ca="1" si="14"/>
        <v>759.82766326260753</v>
      </c>
      <c r="AE30" s="83">
        <f t="shared" ca="1" si="6"/>
        <v>1422147.2222222222</v>
      </c>
      <c r="AF30" s="70">
        <f t="shared" ca="1" si="7"/>
        <v>77000</v>
      </c>
      <c r="AG30" s="83"/>
    </row>
    <row r="31" spans="1:43" x14ac:dyDescent="0.25">
      <c r="A31" s="67">
        <f t="shared" si="15"/>
        <v>52671</v>
      </c>
      <c r="B31" s="68">
        <f t="shared" si="8"/>
        <v>8.1250000000000003E-2</v>
      </c>
      <c r="C31" s="68">
        <f t="shared" si="16"/>
        <v>8.1250000000000003E-2</v>
      </c>
      <c r="D31" s="68">
        <f t="shared" si="1"/>
        <v>1</v>
      </c>
      <c r="E31" s="66">
        <f t="shared" ca="1" si="17"/>
        <v>0</v>
      </c>
      <c r="F31" s="66"/>
      <c r="G31" s="66">
        <f t="shared" ca="1" si="29"/>
        <v>85000</v>
      </c>
      <c r="H31" s="66">
        <f t="shared" ca="1" si="18"/>
        <v>49643.75</v>
      </c>
      <c r="I31" s="66">
        <f t="shared" ca="1" si="19"/>
        <v>49643.75</v>
      </c>
      <c r="J31" s="153">
        <f ca="1">MAX(MIN(IF(MONTH($A31)=PRIN_MATURITY,IF(ISNA(VLOOKUP(DATE(YEAR($A31),PRIN_MATURITY,PRIN_MATURITY_DAY_SUB),Summary!$D$12:$CJ$57,COLUMNS(Summary!$D$12:$CJ$12))),0,VLOOKUP(DATE(YEAR($A31),PRIN_MATURITY,PRIN_MATURITY_DAY_SUB),Summary!$D$12:$CJ$57,COLUMNS(Summary!$D$12:$CJ$12))),0),$I31),0)</f>
        <v>49643.75</v>
      </c>
      <c r="K31" s="66">
        <f t="shared" ca="1" si="2"/>
        <v>0</v>
      </c>
      <c r="L31" s="154">
        <f t="shared" ca="1" si="3"/>
        <v>0</v>
      </c>
      <c r="M31" s="66">
        <f ca="1">M30+K31-L31</f>
        <v>0</v>
      </c>
      <c r="N31" s="66">
        <f t="shared" ca="1" si="4"/>
        <v>134643.75</v>
      </c>
      <c r="O31" s="66">
        <f t="shared" ca="1" si="10"/>
        <v>134643.75</v>
      </c>
      <c r="P31" s="70">
        <f t="shared" ca="1" si="11"/>
        <v>134643.75</v>
      </c>
      <c r="Q31" s="66"/>
      <c r="R31" s="85"/>
      <c r="S31" s="66">
        <f t="shared" ca="1" si="5"/>
        <v>134643.75</v>
      </c>
      <c r="T31" s="70">
        <f t="shared" ca="1" si="12"/>
        <v>134643.75</v>
      </c>
      <c r="U31" s="70">
        <f ca="1">$G$97-SUM($G$11:G31)</f>
        <v>526000</v>
      </c>
      <c r="W31" s="68">
        <f t="shared" si="20"/>
        <v>1</v>
      </c>
      <c r="Z31" s="83">
        <f ca="1">IF(MONTH($A31)=PRIN_MATURITY,IF(ISNA(VLOOKUP(DATE(YEAR($A31),PRIN_MATURITY,PRIN_MATURITY_DAY_SENIOR),Summary!$D$14:$CJ$56,COLUMNS(Summary!$D$13:$CJ$15),FALSE))=TRUE,0,VLOOKUP(DATE(YEAR($A31),PRIN_MATURITY,PRIN_MATURITY_DAY_SENIOR),Summary!$D$13:$CJ$56,COLUMNS(Summary!$D$13:$CJ$15),FALSE)),0)</f>
        <v>135425.13699747971</v>
      </c>
      <c r="AA31" s="84">
        <f ca="1">IF(ISERROR(IF(ISNA(VLOOKUP($A31,Summary!$D$13:$CJ$54,COLUMNS(Summary!$D$13:$CJ$15),FALSE))=TRUE,0,VLOOKUP($A31,Summary!$D$14:$CJ$54,COLUMNS(Summary!$D$13:$CJ$15),FALSE))/T31),0,IF(ISNA(VLOOKUP($A31,Summary!$C$13:$CJ$54,COLUMNS(Summary!$D$13:$CJ$15)))=TRUE,0,VLOOKUP($A31,Summary!$D$13:$CJ$54,COLUMNS(Summary!$D$13:$CJ$15)))/T31)</f>
        <v>1.0058033662719563</v>
      </c>
      <c r="AB31" s="72">
        <f t="shared" si="13"/>
        <v>1</v>
      </c>
      <c r="AC31" s="83">
        <f t="shared" ca="1" si="14"/>
        <v>781.38699747971259</v>
      </c>
      <c r="AE31" s="83">
        <f t="shared" ca="1" si="6"/>
        <v>1654902.7777777778</v>
      </c>
      <c r="AF31" s="70">
        <f t="shared" ca="1" si="7"/>
        <v>85000</v>
      </c>
      <c r="AG31" s="83"/>
    </row>
    <row r="32" spans="1:43" x14ac:dyDescent="0.25">
      <c r="A32" s="67">
        <f t="shared" si="15"/>
        <v>53036</v>
      </c>
      <c r="B32" s="68">
        <f t="shared" si="8"/>
        <v>8.1250000000000003E-2</v>
      </c>
      <c r="C32" s="68">
        <f t="shared" si="16"/>
        <v>8.1250000000000003E-2</v>
      </c>
      <c r="D32" s="68">
        <f t="shared" si="1"/>
        <v>1</v>
      </c>
      <c r="E32" s="66">
        <f t="shared" ca="1" si="17"/>
        <v>0</v>
      </c>
      <c r="F32" s="66"/>
      <c r="G32" s="66">
        <f t="shared" ca="1" si="29"/>
        <v>95000</v>
      </c>
      <c r="H32" s="66">
        <f t="shared" ca="1" si="18"/>
        <v>42737.5</v>
      </c>
      <c r="I32" s="66">
        <f t="shared" ca="1" si="19"/>
        <v>42737.5</v>
      </c>
      <c r="J32" s="153">
        <f ca="1">MAX(MIN(IF(MONTH($A32)=PRIN_MATURITY,IF(ISNA(VLOOKUP(DATE(YEAR($A32),PRIN_MATURITY,PRIN_MATURITY_DAY_SUB),Summary!$D$12:$CJ$57,COLUMNS(Summary!$D$12:$CJ$12))),0,VLOOKUP(DATE(YEAR($A32),PRIN_MATURITY,PRIN_MATURITY_DAY_SUB),Summary!$D$12:$CJ$57,COLUMNS(Summary!$D$12:$CJ$12))),0),$I32),0)</f>
        <v>42737.5</v>
      </c>
      <c r="K32" s="66">
        <f t="shared" ca="1" si="2"/>
        <v>0</v>
      </c>
      <c r="L32" s="154">
        <f t="shared" ca="1" si="3"/>
        <v>0</v>
      </c>
      <c r="M32" s="66">
        <f t="shared" ca="1" si="9"/>
        <v>0</v>
      </c>
      <c r="N32" s="66">
        <f t="shared" ca="1" si="4"/>
        <v>137737.5</v>
      </c>
      <c r="O32" s="66">
        <f t="shared" ca="1" si="10"/>
        <v>137737.5</v>
      </c>
      <c r="P32" s="70">
        <f t="shared" ca="1" si="11"/>
        <v>137737.5</v>
      </c>
      <c r="Q32" s="66"/>
      <c r="R32" s="85"/>
      <c r="S32" s="66">
        <f ca="1">O32-Q32</f>
        <v>137737.5</v>
      </c>
      <c r="T32" s="70">
        <f t="shared" ca="1" si="12"/>
        <v>137737.5</v>
      </c>
      <c r="U32" s="70">
        <f ca="1">$G$97-SUM($G$11:G32)</f>
        <v>431000</v>
      </c>
      <c r="W32" s="68">
        <f t="shared" si="20"/>
        <v>1</v>
      </c>
      <c r="Z32" s="83">
        <f ca="1">IF(MONTH($A32)=PRIN_MATURITY,IF(ISNA(VLOOKUP(DATE(YEAR($A32),PRIN_MATURITY,PRIN_MATURITY_DAY_SENIOR),Summary!$D$14:$CJ$56,COLUMNS(Summary!$D$13:$CJ$15),FALSE))=TRUE,0,VLOOKUP(DATE(YEAR($A32),PRIN_MATURITY,PRIN_MATURITY_DAY_SENIOR),Summary!$D$13:$CJ$56,COLUMNS(Summary!$D$13:$CJ$15),FALSE)),0)</f>
        <v>138107.28142313648</v>
      </c>
      <c r="AA32" s="84">
        <f ca="1">IF(ISERROR(IF(ISNA(VLOOKUP($A32,Summary!$D$13:$CJ$54,COLUMNS(Summary!$D$13:$CJ$15),FALSE))=TRUE,0,VLOOKUP($A32,Summary!$D$14:$CJ$54,COLUMNS(Summary!$D$13:$CJ$15),FALSE))/T32),0,IF(ISNA(VLOOKUP($A32,Summary!$C$13:$CJ$54,COLUMNS(Summary!$D$13:$CJ$15)))=TRUE,0,VLOOKUP($A32,Summary!$D$13:$CJ$54,COLUMNS(Summary!$D$13:$CJ$15)))/T32)</f>
        <v>1.002684682262539</v>
      </c>
      <c r="AB32" s="72">
        <f t="shared" si="13"/>
        <v>1</v>
      </c>
      <c r="AC32" s="83">
        <f t="shared" ca="1" si="14"/>
        <v>369.7814231364755</v>
      </c>
      <c r="AE32" s="83">
        <f t="shared" ca="1" si="6"/>
        <v>1944597.2222222222</v>
      </c>
      <c r="AF32" s="70">
        <f t="shared" ca="1" si="7"/>
        <v>95000</v>
      </c>
      <c r="AG32" s="83"/>
    </row>
    <row r="33" spans="1:33" x14ac:dyDescent="0.25">
      <c r="A33" s="67">
        <f t="shared" si="15"/>
        <v>53401</v>
      </c>
      <c r="B33" s="68">
        <f t="shared" si="8"/>
        <v>8.1250000000000003E-2</v>
      </c>
      <c r="C33" s="68">
        <f t="shared" si="16"/>
        <v>8.1250000000000003E-2</v>
      </c>
      <c r="D33" s="68">
        <f t="shared" si="1"/>
        <v>1</v>
      </c>
      <c r="E33" s="66">
        <f t="shared" ca="1" si="17"/>
        <v>0</v>
      </c>
      <c r="F33" s="66"/>
      <c r="G33" s="66">
        <f t="shared" ca="1" si="29"/>
        <v>101000</v>
      </c>
      <c r="H33" s="66">
        <f t="shared" ca="1" si="18"/>
        <v>35018.75</v>
      </c>
      <c r="I33" s="66">
        <f t="shared" ca="1" si="19"/>
        <v>35018.75</v>
      </c>
      <c r="J33" s="153">
        <f ca="1">MAX(MIN(IF(MONTH($A33)=PRIN_MATURITY,IF(ISNA(VLOOKUP(DATE(YEAR($A33),PRIN_MATURITY,PRIN_MATURITY_DAY_SUB),Summary!$D$12:$CJ$57,COLUMNS(Summary!$D$12:$CJ$12))),0,VLOOKUP(DATE(YEAR($A33),PRIN_MATURITY,PRIN_MATURITY_DAY_SUB),Summary!$D$12:$CJ$57,COLUMNS(Summary!$D$12:$CJ$12))),0),$I33),0)</f>
        <v>35018.75</v>
      </c>
      <c r="K33" s="66">
        <f t="shared" ca="1" si="2"/>
        <v>0</v>
      </c>
      <c r="L33" s="154">
        <f t="shared" ca="1" si="3"/>
        <v>0</v>
      </c>
      <c r="M33" s="66">
        <f t="shared" ca="1" si="9"/>
        <v>0</v>
      </c>
      <c r="N33" s="66">
        <f t="shared" ca="1" si="4"/>
        <v>136018.75</v>
      </c>
      <c r="O33" s="66">
        <f t="shared" ca="1" si="10"/>
        <v>136018.75</v>
      </c>
      <c r="P33" s="70">
        <f t="shared" ca="1" si="11"/>
        <v>136018.75</v>
      </c>
      <c r="Q33" s="66"/>
      <c r="R33" s="85"/>
      <c r="S33" s="66">
        <f t="shared" ca="1" si="5"/>
        <v>136018.75</v>
      </c>
      <c r="T33" s="70">
        <f t="shared" ca="1" si="12"/>
        <v>136018.75</v>
      </c>
      <c r="U33" s="70">
        <f ca="1">$G$97-SUM($G$11:G33)</f>
        <v>330000</v>
      </c>
      <c r="W33" s="68">
        <f t="shared" si="20"/>
        <v>1</v>
      </c>
      <c r="Z33" s="83">
        <f ca="1">IF(MONTH($A33)=PRIN_MATURITY,IF(ISNA(VLOOKUP(DATE(YEAR($A33),PRIN_MATURITY,PRIN_MATURITY_DAY_SENIOR),Summary!$D$14:$CJ$56,COLUMNS(Summary!$D$13:$CJ$15),FALSE))=TRUE,0,VLOOKUP(DATE(YEAR($A33),PRIN_MATURITY,PRIN_MATURITY_DAY_SENIOR),Summary!$D$13:$CJ$56,COLUMNS(Summary!$D$13:$CJ$15),FALSE)),0)</f>
        <v>136706.32543110929</v>
      </c>
      <c r="AA33" s="84">
        <f ca="1">IF(ISERROR(IF(ISNA(VLOOKUP($A33,Summary!$D$13:$CJ$54,COLUMNS(Summary!$D$13:$CJ$15),FALSE))=TRUE,0,VLOOKUP($A33,Summary!$D$14:$CJ$54,COLUMNS(Summary!$D$13:$CJ$15),FALSE))/T33),0,IF(ISNA(VLOOKUP($A33,Summary!$C$13:$CJ$54,COLUMNS(Summary!$D$13:$CJ$15)))=TRUE,0,VLOOKUP($A33,Summary!$D$13:$CJ$54,COLUMNS(Summary!$D$13:$CJ$15)))/T33)</f>
        <v>1.0050550047777185</v>
      </c>
      <c r="AB33" s="72">
        <f t="shared" si="13"/>
        <v>1</v>
      </c>
      <c r="AC33" s="83">
        <f t="shared" ca="1" si="14"/>
        <v>687.57543110928964</v>
      </c>
      <c r="AE33" s="83">
        <f t="shared" ca="1" si="6"/>
        <v>2168413.888888889</v>
      </c>
      <c r="AF33" s="70">
        <f t="shared" ca="1" si="7"/>
        <v>101000</v>
      </c>
      <c r="AG33" s="83"/>
    </row>
    <row r="34" spans="1:33" x14ac:dyDescent="0.25">
      <c r="A34" s="67">
        <f t="shared" si="15"/>
        <v>53766</v>
      </c>
      <c r="B34" s="68">
        <f t="shared" si="8"/>
        <v>8.1250000000000003E-2</v>
      </c>
      <c r="C34" s="68">
        <f t="shared" si="16"/>
        <v>8.1250000000000003E-2</v>
      </c>
      <c r="D34" s="68">
        <f t="shared" si="1"/>
        <v>1</v>
      </c>
      <c r="E34" s="66">
        <f t="shared" ca="1" si="17"/>
        <v>0</v>
      </c>
      <c r="F34" s="66"/>
      <c r="G34" s="66">
        <f t="shared" ca="1" si="29"/>
        <v>109000</v>
      </c>
      <c r="H34" s="66">
        <f t="shared" ca="1" si="18"/>
        <v>26812.5</v>
      </c>
      <c r="I34" s="66">
        <f t="shared" ca="1" si="19"/>
        <v>26812.5</v>
      </c>
      <c r="J34" s="153">
        <f ca="1">MAX(MIN(IF(MONTH($A34)=PRIN_MATURITY,IF(ISNA(VLOOKUP(DATE(YEAR($A34),PRIN_MATURITY,PRIN_MATURITY_DAY_SUB),Summary!$D$12:$CJ$57,COLUMNS(Summary!$D$12:$CJ$12))),0,VLOOKUP(DATE(YEAR($A34),PRIN_MATURITY,PRIN_MATURITY_DAY_SUB),Summary!$D$12:$CJ$57,COLUMNS(Summary!$D$12:$CJ$12))),0),$I34),0)</f>
        <v>26812.5</v>
      </c>
      <c r="K34" s="66">
        <f t="shared" ca="1" si="2"/>
        <v>0</v>
      </c>
      <c r="L34" s="154">
        <f t="shared" ca="1" si="3"/>
        <v>0</v>
      </c>
      <c r="M34" s="66">
        <f t="shared" ca="1" si="9"/>
        <v>0</v>
      </c>
      <c r="N34" s="66">
        <f t="shared" ca="1" si="4"/>
        <v>135812.5</v>
      </c>
      <c r="O34" s="66">
        <f t="shared" ca="1" si="10"/>
        <v>135812.5</v>
      </c>
      <c r="P34" s="70">
        <f t="shared" ca="1" si="11"/>
        <v>135812.5</v>
      </c>
      <c r="Q34" s="66"/>
      <c r="R34" s="85"/>
      <c r="S34" s="66">
        <f t="shared" ca="1" si="5"/>
        <v>135812.5</v>
      </c>
      <c r="T34" s="70">
        <f t="shared" ca="1" si="12"/>
        <v>135812.5</v>
      </c>
      <c r="U34" s="70">
        <f ca="1">$G$97-SUM($G$11:G34)</f>
        <v>221000</v>
      </c>
      <c r="W34" s="68">
        <f t="shared" si="20"/>
        <v>1</v>
      </c>
      <c r="Z34" s="83">
        <f ca="1">IF(MONTH($A34)=PRIN_MATURITY,IF(ISNA(VLOOKUP(DATE(YEAR($A34),PRIN_MATURITY,PRIN_MATURITY_DAY_SENIOR),Summary!$D$14:$CJ$56,COLUMNS(Summary!$D$13:$CJ$15),FALSE))=TRUE,0,VLOOKUP(DATE(YEAR($A34),PRIN_MATURITY,PRIN_MATURITY_DAY_SENIOR),Summary!$D$13:$CJ$56,COLUMNS(Summary!$D$13:$CJ$15),FALSE)),0)</f>
        <v>136516.07832998259</v>
      </c>
      <c r="AA34" s="84">
        <f ca="1">IF(ISERROR(IF(ISNA(VLOOKUP($A34,Summary!$D$13:$CJ$54,COLUMNS(Summary!$D$13:$CJ$15),FALSE))=TRUE,0,VLOOKUP($A34,Summary!$D$14:$CJ$54,COLUMNS(Summary!$D$13:$CJ$15),FALSE))/T34),0,IF(ISNA(VLOOKUP($A34,Summary!$C$13:$CJ$54,COLUMNS(Summary!$D$13:$CJ$15)))=TRUE,0,VLOOKUP($A34,Summary!$D$13:$CJ$54,COLUMNS(Summary!$D$13:$CJ$15)))/T34)</f>
        <v>1.0051805123238478</v>
      </c>
      <c r="AB34" s="72">
        <f t="shared" si="13"/>
        <v>1</v>
      </c>
      <c r="AC34" s="83">
        <f t="shared" ca="1" si="14"/>
        <v>703.57832998258527</v>
      </c>
      <c r="AE34" s="83">
        <f t="shared" ca="1" si="6"/>
        <v>2449169.4444444445</v>
      </c>
      <c r="AF34" s="70">
        <f t="shared" ca="1" si="7"/>
        <v>109000</v>
      </c>
      <c r="AG34" s="83"/>
    </row>
    <row r="35" spans="1:33" x14ac:dyDescent="0.25">
      <c r="A35" s="67">
        <f t="shared" si="15"/>
        <v>54132</v>
      </c>
      <c r="B35" s="68">
        <f t="shared" si="8"/>
        <v>8.1250000000000003E-2</v>
      </c>
      <c r="C35" s="68">
        <f t="shared" si="16"/>
        <v>8.1250000000000003E-2</v>
      </c>
      <c r="D35" s="68">
        <f t="shared" si="1"/>
        <v>1</v>
      </c>
      <c r="E35" s="66">
        <f t="shared" ca="1" si="17"/>
        <v>0</v>
      </c>
      <c r="F35" s="66"/>
      <c r="G35" s="66">
        <f t="shared" ca="1" si="29"/>
        <v>124000</v>
      </c>
      <c r="H35" s="66">
        <f t="shared" ca="1" si="18"/>
        <v>17956.25</v>
      </c>
      <c r="I35" s="66">
        <f t="shared" ca="1" si="19"/>
        <v>17956.25</v>
      </c>
      <c r="J35" s="153">
        <f ca="1">MAX(MIN(IF(MONTH($A35)=PRIN_MATURITY,IF(ISNA(VLOOKUP(DATE(YEAR($A35),PRIN_MATURITY,PRIN_MATURITY_DAY_SUB),Summary!$D$12:$CJ$57,COLUMNS(Summary!$D$12:$CJ$12))),0,VLOOKUP(DATE(YEAR($A35),PRIN_MATURITY,PRIN_MATURITY_DAY_SUB),Summary!$D$12:$CJ$57,COLUMNS(Summary!$D$12:$CJ$12))),0),$I35),0)</f>
        <v>17956.25</v>
      </c>
      <c r="K35" s="66">
        <f t="shared" ca="1" si="2"/>
        <v>0</v>
      </c>
      <c r="L35" s="154">
        <f t="shared" ca="1" si="3"/>
        <v>0</v>
      </c>
      <c r="M35" s="66">
        <f t="shared" ca="1" si="9"/>
        <v>0</v>
      </c>
      <c r="N35" s="66">
        <f t="shared" ca="1" si="4"/>
        <v>141956.25</v>
      </c>
      <c r="O35" s="66">
        <f t="shared" ca="1" si="10"/>
        <v>141956.25</v>
      </c>
      <c r="P35" s="70">
        <f t="shared" ca="1" si="11"/>
        <v>141956.25</v>
      </c>
      <c r="Q35" s="66"/>
      <c r="R35" s="85"/>
      <c r="S35" s="66">
        <f t="shared" ca="1" si="5"/>
        <v>141956.25</v>
      </c>
      <c r="T35" s="70">
        <f t="shared" ca="1" si="12"/>
        <v>141956.25</v>
      </c>
      <c r="U35" s="70">
        <f ca="1">$G$97-SUM($G$11:G35)</f>
        <v>97000</v>
      </c>
      <c r="W35" s="68">
        <f t="shared" si="20"/>
        <v>1</v>
      </c>
      <c r="Z35" s="83">
        <f ca="1">IF(MONTH($A35)=PRIN_MATURITY,IF(ISNA(VLOOKUP(DATE(YEAR($A35),PRIN_MATURITY,PRIN_MATURITY_DAY_SENIOR),Summary!$D$14:$CJ$56,COLUMNS(Summary!$D$13:$CJ$15),FALSE))=TRUE,0,VLOOKUP(DATE(YEAR($A35),PRIN_MATURITY,PRIN_MATURITY_DAY_SENIOR),Summary!$D$13:$CJ$56,COLUMNS(Summary!$D$13:$CJ$15),FALSE)),0)</f>
        <v>142536.59407768166</v>
      </c>
      <c r="AA35" s="84">
        <f ca="1">IF(ISERROR(IF(ISNA(VLOOKUP($A35,Summary!$D$13:$CJ$54,COLUMNS(Summary!$D$13:$CJ$15),FALSE))=TRUE,0,VLOOKUP($A35,Summary!$D$14:$CJ$54,COLUMNS(Summary!$D$13:$CJ$15),FALSE))/T35),0,IF(ISNA(VLOOKUP($A35,Summary!$C$13:$CJ$54,COLUMNS(Summary!$D$13:$CJ$15)))=TRUE,0,VLOOKUP($A35,Summary!$D$13:$CJ$54,COLUMNS(Summary!$D$13:$CJ$15)))/T35)</f>
        <v>1.0040881896900042</v>
      </c>
      <c r="AB35" s="72">
        <f t="shared" si="13"/>
        <v>1</v>
      </c>
      <c r="AC35" s="83">
        <f t="shared" ca="1" si="14"/>
        <v>580.34407768165693</v>
      </c>
      <c r="AE35" s="83">
        <f t="shared" ca="1" si="6"/>
        <v>2910211.111111111</v>
      </c>
      <c r="AF35" s="70">
        <f t="shared" ca="1" si="7"/>
        <v>124000</v>
      </c>
      <c r="AG35" s="83"/>
    </row>
    <row r="36" spans="1:33" x14ac:dyDescent="0.25">
      <c r="A36" s="67">
        <f t="shared" si="15"/>
        <v>54497</v>
      </c>
      <c r="B36" s="68">
        <f t="shared" si="8"/>
        <v>8.1250000000000003E-2</v>
      </c>
      <c r="C36" s="68">
        <f t="shared" si="16"/>
        <v>8.1250000000000003E-2</v>
      </c>
      <c r="D36" s="68">
        <f t="shared" si="1"/>
        <v>1</v>
      </c>
      <c r="E36" s="66">
        <f t="shared" si="17"/>
        <v>0</v>
      </c>
      <c r="F36" s="66"/>
      <c r="G36" s="345">
        <v>97000</v>
      </c>
      <c r="H36" s="66">
        <f t="shared" si="18"/>
        <v>7881.25</v>
      </c>
      <c r="I36" s="66">
        <f t="shared" si="19"/>
        <v>7881.25</v>
      </c>
      <c r="J36" s="153">
        <f ca="1">MAX(MIN(IF(MONTH($A36)=PRIN_MATURITY,IF(ISNA(VLOOKUP(DATE(YEAR($A36),PRIN_MATURITY,PRIN_MATURITY_DAY_SUB),Summary!$D$12:$CJ$57,COLUMNS(Summary!$D$12:$CJ$12))),0,VLOOKUP(DATE(YEAR($A36),PRIN_MATURITY,PRIN_MATURITY_DAY_SUB),Summary!$D$12:$CJ$57,COLUMNS(Summary!$D$12:$CJ$12))),0),$I36),0)</f>
        <v>7881.25</v>
      </c>
      <c r="K36" s="66">
        <f t="shared" ca="1" si="2"/>
        <v>0</v>
      </c>
      <c r="L36" s="154">
        <f t="shared" ca="1" si="3"/>
        <v>0</v>
      </c>
      <c r="M36" s="66">
        <f ca="1">M35+K36-L36</f>
        <v>0</v>
      </c>
      <c r="N36" s="66">
        <f t="shared" ca="1" si="4"/>
        <v>104881.25</v>
      </c>
      <c r="O36" s="66">
        <f t="shared" ca="1" si="10"/>
        <v>104881.25</v>
      </c>
      <c r="P36" s="70">
        <f t="shared" ca="1" si="11"/>
        <v>104881.25</v>
      </c>
      <c r="Q36" s="66"/>
      <c r="R36" s="85"/>
      <c r="S36" s="66">
        <f t="shared" ca="1" si="5"/>
        <v>104881.25</v>
      </c>
      <c r="T36" s="70">
        <f t="shared" ca="1" si="12"/>
        <v>104881.25</v>
      </c>
      <c r="U36" s="70">
        <f ca="1">$G$97-SUM($G$11:G36)</f>
        <v>0</v>
      </c>
      <c r="W36" s="68">
        <f t="shared" si="20"/>
        <v>1</v>
      </c>
      <c r="Z36" s="83">
        <f ca="1">IF(MONTH($A36)=PRIN_MATURITY,IF(ISNA(VLOOKUP(DATE(YEAR($A36),PRIN_MATURITY,PRIN_MATURITY_DAY_SENIOR),Summary!$D$14:$CJ$56,COLUMNS(Summary!$D$13:$CJ$15),FALSE))=TRUE,0,VLOOKUP(DATE(YEAR($A36),PRIN_MATURITY,PRIN_MATURITY_DAY_SENIOR),Summary!$D$13:$CJ$56,COLUMNS(Summary!$D$13:$CJ$15),FALSE)),0)</f>
        <v>139474.17110909196</v>
      </c>
      <c r="AA36" s="84">
        <f ca="1">IF(ISERROR(IF(ISNA(VLOOKUP($A36,Summary!$D$13:$CJ$54,COLUMNS(Summary!$D$13:$CJ$15),FALSE))=TRUE,0,VLOOKUP($A36,Summary!$D$14:$CJ$54,COLUMNS(Summary!$D$13:$CJ$15),FALSE))/T36),0,IF(ISNA(VLOOKUP($A36,Summary!$C$13:$CJ$54,COLUMNS(Summary!$D$13:$CJ$15)))=TRUE,0,VLOOKUP($A36,Summary!$D$13:$CJ$54,COLUMNS(Summary!$D$13:$CJ$15)))/T36)</f>
        <v>1.3298294128749606</v>
      </c>
      <c r="AB36" s="72">
        <f t="shared" si="13"/>
        <v>1</v>
      </c>
      <c r="AC36" s="83">
        <f t="shared" ca="1" si="14"/>
        <v>34592.921109091956</v>
      </c>
      <c r="AE36" s="83">
        <f t="shared" si="6"/>
        <v>2373536.111111111</v>
      </c>
      <c r="AF36" s="70">
        <f t="shared" ca="1" si="7"/>
        <v>97000</v>
      </c>
      <c r="AG36" s="83"/>
    </row>
    <row r="37" spans="1:33" x14ac:dyDescent="0.25">
      <c r="A37" s="67">
        <f t="shared" si="15"/>
        <v>54862</v>
      </c>
      <c r="B37" s="68">
        <f t="shared" si="8"/>
        <v>8.1250000000000003E-2</v>
      </c>
      <c r="C37" s="68">
        <f t="shared" si="16"/>
        <v>8.1250000000000003E-2</v>
      </c>
      <c r="D37" s="68">
        <f t="shared" si="1"/>
        <v>1</v>
      </c>
      <c r="E37" s="66">
        <f t="shared" si="17"/>
        <v>0</v>
      </c>
      <c r="F37" s="66"/>
      <c r="G37" s="66"/>
      <c r="H37" s="66">
        <f t="shared" si="18"/>
        <v>0</v>
      </c>
      <c r="I37" s="66">
        <f t="shared" si="19"/>
        <v>0</v>
      </c>
      <c r="J37" s="153">
        <f ca="1">MAX(MIN(IF(MONTH($A37)=PRIN_MATURITY,IF(ISNA(VLOOKUP(DATE(YEAR($A37),PRIN_MATURITY,PRIN_MATURITY_DAY_SUB),Summary!$D$12:$CJ$57,COLUMNS(Summary!$D$12:$CJ$12))),0,VLOOKUP(DATE(YEAR($A37),PRIN_MATURITY,PRIN_MATURITY_DAY_SUB),Summary!$D$12:$CJ$57,COLUMNS(Summary!$D$12:$CJ$12))),0),$I37),0)</f>
        <v>0</v>
      </c>
      <c r="K37" s="66">
        <f t="shared" ca="1" si="2"/>
        <v>0</v>
      </c>
      <c r="L37" s="154">
        <f t="shared" ca="1" si="3"/>
        <v>0</v>
      </c>
      <c r="M37" s="66">
        <f t="shared" ca="1" si="9"/>
        <v>0</v>
      </c>
      <c r="N37" s="66">
        <f t="shared" ca="1" si="4"/>
        <v>0</v>
      </c>
      <c r="O37" s="66">
        <f t="shared" ca="1" si="10"/>
        <v>0</v>
      </c>
      <c r="P37" s="70">
        <f t="shared" ca="1" si="11"/>
        <v>0</v>
      </c>
      <c r="Q37" s="66"/>
      <c r="R37" s="85"/>
      <c r="S37" s="66">
        <f t="shared" ca="1" si="5"/>
        <v>0</v>
      </c>
      <c r="T37" s="70">
        <f t="shared" ca="1" si="12"/>
        <v>0</v>
      </c>
      <c r="U37" s="70">
        <f ca="1">$G$97-SUM($G$11:G37)</f>
        <v>0</v>
      </c>
      <c r="W37" s="68">
        <f t="shared" si="20"/>
        <v>1</v>
      </c>
      <c r="Z37" s="83">
        <f ca="1">IF(MONTH($A37)=PRIN_MATURITY,IF(ISNA(VLOOKUP(DATE(YEAR($A37),PRIN_MATURITY,PRIN_MATURITY_DAY_SENIOR),Summary!$D$14:$CJ$56,COLUMNS(Summary!$D$13:$CJ$15),FALSE))=TRUE,0,VLOOKUP(DATE(YEAR($A37),PRIN_MATURITY,PRIN_MATURITY_DAY_SENIOR),Summary!$D$13:$CJ$56,COLUMNS(Summary!$D$13:$CJ$15),FALSE)),0)</f>
        <v>142916.35215957463</v>
      </c>
      <c r="AA37" s="84">
        <f ca="1">IF(ISERROR(IF(ISNA(VLOOKUP($A37,Summary!$D$13:$CJ$54,COLUMNS(Summary!$D$13:$CJ$15),FALSE))=TRUE,0,VLOOKUP($A37,Summary!$D$14:$CJ$54,COLUMNS(Summary!$D$13:$CJ$15),FALSE))/T37),0,IF(ISNA(VLOOKUP($A37,Summary!$C$13:$CJ$54,COLUMNS(Summary!$D$13:$CJ$15)))=TRUE,0,VLOOKUP($A37,Summary!$D$13:$CJ$54,COLUMNS(Summary!$D$13:$CJ$15)))/T37)</f>
        <v>0</v>
      </c>
      <c r="AB37" s="72">
        <f t="shared" si="13"/>
        <v>1</v>
      </c>
      <c r="AC37" s="83">
        <f t="shared" ca="1" si="14"/>
        <v>142916.35215957463</v>
      </c>
      <c r="AE37" s="83">
        <f t="shared" si="6"/>
        <v>0</v>
      </c>
      <c r="AF37" s="70">
        <f t="shared" ca="1" si="7"/>
        <v>0</v>
      </c>
      <c r="AG37" s="83"/>
    </row>
    <row r="38" spans="1:33" x14ac:dyDescent="0.25">
      <c r="A38" s="67">
        <f t="shared" si="15"/>
        <v>55227</v>
      </c>
      <c r="B38" s="68">
        <f t="shared" si="8"/>
        <v>8.1250000000000003E-2</v>
      </c>
      <c r="C38" s="68">
        <f t="shared" si="16"/>
        <v>8.1250000000000003E-2</v>
      </c>
      <c r="D38" s="68">
        <f t="shared" si="1"/>
        <v>1</v>
      </c>
      <c r="E38" s="66">
        <f t="shared" si="17"/>
        <v>0</v>
      </c>
      <c r="F38" s="66"/>
      <c r="G38" s="66"/>
      <c r="H38" s="66">
        <f t="shared" si="18"/>
        <v>0</v>
      </c>
      <c r="I38" s="66">
        <f t="shared" si="19"/>
        <v>0</v>
      </c>
      <c r="J38" s="153">
        <f ca="1">MAX(MIN(IF(MONTH($A38)=PRIN_MATURITY,IF(ISNA(VLOOKUP(DATE(YEAR($A38),PRIN_MATURITY,PRIN_MATURITY_DAY_SUB),Summary!$D$12:$CJ$57,COLUMNS(Summary!$D$12:$CJ$12))),0,VLOOKUP(DATE(YEAR($A38),PRIN_MATURITY,PRIN_MATURITY_DAY_SUB),Summary!$D$12:$CJ$57,COLUMNS(Summary!$D$12:$CJ$12))),0),$I38),0)</f>
        <v>0</v>
      </c>
      <c r="K38" s="66">
        <f t="shared" ca="1" si="2"/>
        <v>0</v>
      </c>
      <c r="L38" s="154">
        <f t="shared" ca="1" si="3"/>
        <v>0</v>
      </c>
      <c r="M38" s="66">
        <f t="shared" ca="1" si="9"/>
        <v>0</v>
      </c>
      <c r="N38" s="66">
        <f t="shared" ca="1" si="4"/>
        <v>0</v>
      </c>
      <c r="O38" s="66">
        <f t="shared" ca="1" si="10"/>
        <v>0</v>
      </c>
      <c r="P38" s="70">
        <f t="shared" ca="1" si="11"/>
        <v>0</v>
      </c>
      <c r="Q38" s="66"/>
      <c r="R38" s="85"/>
      <c r="S38" s="66">
        <f t="shared" ca="1" si="5"/>
        <v>0</v>
      </c>
      <c r="T38" s="70">
        <f t="shared" ca="1" si="12"/>
        <v>0</v>
      </c>
      <c r="U38" s="70">
        <f ca="1">$G$97-SUM($G$11:G38)</f>
        <v>0</v>
      </c>
      <c r="W38" s="68">
        <f t="shared" si="20"/>
        <v>1</v>
      </c>
      <c r="Z38" s="83">
        <f ca="1">IF(MONTH($A38)=PRIN_MATURITY,IF(ISNA(VLOOKUP(DATE(YEAR($A38),PRIN_MATURITY,PRIN_MATURITY_DAY_SENIOR),Summary!$D$14:$CJ$56,COLUMNS(Summary!$D$13:$CJ$15),FALSE))=TRUE,0,VLOOKUP(DATE(YEAR($A38),PRIN_MATURITY,PRIN_MATURITY_DAY_SENIOR),Summary!$D$13:$CJ$56,COLUMNS(Summary!$D$13:$CJ$15),FALSE)),0)</f>
        <v>142569.42408429564</v>
      </c>
      <c r="AA38" s="84">
        <f ca="1">IF(ISERROR(IF(ISNA(VLOOKUP($A38,Summary!$D$13:$CJ$54,COLUMNS(Summary!$D$13:$CJ$15),FALSE))=TRUE,0,VLOOKUP($A38,Summary!$D$14:$CJ$54,COLUMNS(Summary!$D$13:$CJ$15),FALSE))/T38),0,IF(ISNA(VLOOKUP($A38,Summary!$C$13:$CJ$54,COLUMNS(Summary!$D$13:$CJ$15)))=TRUE,0,VLOOKUP($A38,Summary!$D$13:$CJ$54,COLUMNS(Summary!$D$13:$CJ$15)))/T38)</f>
        <v>0</v>
      </c>
      <c r="AB38" s="72">
        <f t="shared" si="13"/>
        <v>1</v>
      </c>
      <c r="AC38" s="83">
        <f t="shared" ca="1" si="14"/>
        <v>142569.42408429564</v>
      </c>
      <c r="AE38" s="83">
        <f t="shared" si="6"/>
        <v>0</v>
      </c>
      <c r="AF38" s="70">
        <f t="shared" ca="1" si="7"/>
        <v>0</v>
      </c>
      <c r="AG38" s="83"/>
    </row>
    <row r="39" spans="1:33" x14ac:dyDescent="0.25">
      <c r="A39" s="67">
        <f t="shared" si="15"/>
        <v>55593</v>
      </c>
      <c r="B39" s="68">
        <f t="shared" si="8"/>
        <v>8.1250000000000003E-2</v>
      </c>
      <c r="C39" s="68">
        <f t="shared" si="16"/>
        <v>8.1250000000000003E-2</v>
      </c>
      <c r="D39" s="68">
        <f t="shared" si="1"/>
        <v>1</v>
      </c>
      <c r="E39" s="66">
        <f t="shared" si="17"/>
        <v>0</v>
      </c>
      <c r="F39" s="66"/>
      <c r="G39" s="66"/>
      <c r="H39" s="66">
        <f t="shared" si="18"/>
        <v>0</v>
      </c>
      <c r="I39" s="66">
        <f t="shared" si="19"/>
        <v>0</v>
      </c>
      <c r="J39" s="153">
        <f ca="1">MAX(MIN(IF(MONTH($A39)=PRIN_MATURITY,IF(ISNA(VLOOKUP(DATE(YEAR($A39),PRIN_MATURITY,PRIN_MATURITY_DAY_SUB),Summary!$D$12:$CJ$57,COLUMNS(Summary!$D$12:$CJ$12))),0,VLOOKUP(DATE(YEAR($A39),PRIN_MATURITY,PRIN_MATURITY_DAY_SUB),Summary!$D$12:$CJ$57,COLUMNS(Summary!$D$12:$CJ$12))),0),$I39),0)</f>
        <v>0</v>
      </c>
      <c r="K39" s="66">
        <f t="shared" ca="1" si="2"/>
        <v>0</v>
      </c>
      <c r="L39" s="154">
        <f t="shared" ca="1" si="3"/>
        <v>0</v>
      </c>
      <c r="M39" s="66">
        <f t="shared" ca="1" si="9"/>
        <v>0</v>
      </c>
      <c r="N39" s="66">
        <f t="shared" ca="1" si="4"/>
        <v>0</v>
      </c>
      <c r="O39" s="66">
        <f t="shared" ca="1" si="10"/>
        <v>0</v>
      </c>
      <c r="P39" s="70">
        <f t="shared" ca="1" si="11"/>
        <v>0</v>
      </c>
      <c r="Q39" s="66"/>
      <c r="R39" s="85"/>
      <c r="S39" s="66">
        <f t="shared" ca="1" si="5"/>
        <v>0</v>
      </c>
      <c r="T39" s="70">
        <f t="shared" ca="1" si="12"/>
        <v>0</v>
      </c>
      <c r="U39" s="70">
        <f ca="1">$G$97-SUM($G$11:G39)</f>
        <v>0</v>
      </c>
      <c r="W39" s="68">
        <f t="shared" si="20"/>
        <v>1</v>
      </c>
      <c r="Z39" s="83">
        <f ca="1">IF(MONTH($A39)=PRIN_MATURITY,IF(ISNA(VLOOKUP(DATE(YEAR($A39),PRIN_MATURITY,PRIN_MATURITY_DAY_SENIOR),Summary!$D$14:$CJ$56,COLUMNS(Summary!$D$13:$CJ$15),FALSE))=TRUE,0,VLOOKUP(DATE(YEAR($A39),PRIN_MATURITY,PRIN_MATURITY_DAY_SENIOR),Summary!$D$13:$CJ$56,COLUMNS(Summary!$D$13:$CJ$15),FALSE)),0)</f>
        <v>143727.16767327266</v>
      </c>
      <c r="AA39" s="84">
        <f ca="1">IF(ISERROR(IF(ISNA(VLOOKUP($A39,Summary!$D$13:$CJ$54,COLUMNS(Summary!$D$13:$CJ$15),FALSE))=TRUE,0,VLOOKUP($A39,Summary!$D$14:$CJ$54,COLUMNS(Summary!$D$13:$CJ$15),FALSE))/T39),0,IF(ISNA(VLOOKUP($A39,Summary!$C$13:$CJ$54,COLUMNS(Summary!$D$13:$CJ$15)))=TRUE,0,VLOOKUP($A39,Summary!$D$13:$CJ$54,COLUMNS(Summary!$D$13:$CJ$15)))/T39)</f>
        <v>0</v>
      </c>
      <c r="AB39" s="72">
        <f t="shared" si="13"/>
        <v>1</v>
      </c>
      <c r="AC39" s="83">
        <f t="shared" ca="1" si="14"/>
        <v>143727.16767327266</v>
      </c>
      <c r="AE39" s="83">
        <f t="shared" si="6"/>
        <v>0</v>
      </c>
      <c r="AF39" s="70">
        <f t="shared" ca="1" si="7"/>
        <v>0</v>
      </c>
      <c r="AG39" s="83"/>
    </row>
    <row r="40" spans="1:33" x14ac:dyDescent="0.25">
      <c r="A40" s="67">
        <f t="shared" si="15"/>
        <v>55958</v>
      </c>
      <c r="B40" s="68">
        <f t="shared" si="8"/>
        <v>8.1250000000000003E-2</v>
      </c>
      <c r="C40" s="68">
        <f t="shared" si="16"/>
        <v>8.1250000000000003E-2</v>
      </c>
      <c r="D40" s="68">
        <f t="shared" si="1"/>
        <v>1</v>
      </c>
      <c r="E40" s="66">
        <f t="shared" si="17"/>
        <v>0</v>
      </c>
      <c r="F40" s="66"/>
      <c r="G40" s="66"/>
      <c r="H40" s="66">
        <f t="shared" si="18"/>
        <v>0</v>
      </c>
      <c r="I40" s="66">
        <f t="shared" si="19"/>
        <v>0</v>
      </c>
      <c r="J40" s="153">
        <f ca="1">MAX(MIN(IF(MONTH($A40)=PRIN_MATURITY,IF(ISNA(VLOOKUP(DATE(YEAR($A40),PRIN_MATURITY,PRIN_MATURITY_DAY_SUB),Summary!$D$12:$CJ$57,COLUMNS(Summary!$D$12:$CJ$12))),0,VLOOKUP(DATE(YEAR($A40),PRIN_MATURITY,PRIN_MATURITY_DAY_SUB),Summary!$D$12:$CJ$57,COLUMNS(Summary!$D$12:$CJ$12))),0),$I40),0)</f>
        <v>0</v>
      </c>
      <c r="K40" s="66">
        <f t="shared" ca="1" si="2"/>
        <v>0</v>
      </c>
      <c r="L40" s="154">
        <f t="shared" ca="1" si="3"/>
        <v>0</v>
      </c>
      <c r="M40" s="66">
        <f t="shared" ca="1" si="9"/>
        <v>0</v>
      </c>
      <c r="N40" s="66">
        <f t="shared" ca="1" si="4"/>
        <v>0</v>
      </c>
      <c r="O40" s="66">
        <f t="shared" ca="1" si="10"/>
        <v>0</v>
      </c>
      <c r="P40" s="70">
        <f t="shared" ca="1" si="11"/>
        <v>0</v>
      </c>
      <c r="Q40" s="66"/>
      <c r="R40" s="85"/>
      <c r="S40" s="66">
        <f t="shared" ca="1" si="5"/>
        <v>0</v>
      </c>
      <c r="T40" s="70">
        <f t="shared" ca="1" si="12"/>
        <v>0</v>
      </c>
      <c r="U40" s="70">
        <f ca="1">$G$97-SUM($G$11:G40)</f>
        <v>0</v>
      </c>
      <c r="W40" s="68">
        <f t="shared" si="20"/>
        <v>1</v>
      </c>
      <c r="Z40" s="83">
        <f ca="1">IF(MONTH($A40)=PRIN_MATURITY,IF(ISNA(VLOOKUP(DATE(YEAR($A40),PRIN_MATURITY,PRIN_MATURITY_DAY_SENIOR),Summary!$D$14:$CJ$56,COLUMNS(Summary!$D$13:$CJ$15),FALSE))=TRUE,0,VLOOKUP(DATE(YEAR($A40),PRIN_MATURITY,PRIN_MATURITY_DAY_SENIOR),Summary!$D$13:$CJ$56,COLUMNS(Summary!$D$13:$CJ$15),FALSE)),0)</f>
        <v>146389.60746204772</v>
      </c>
      <c r="AA40" s="84">
        <f ca="1">IF(ISERROR(IF(ISNA(VLOOKUP($A40,Summary!$D$13:$CJ$54,COLUMNS(Summary!$D$13:$CJ$15),FALSE))=TRUE,0,VLOOKUP($A40,Summary!$D$14:$CJ$54,COLUMNS(Summary!$D$13:$CJ$15),FALSE))/T40),0,IF(ISNA(VLOOKUP($A40,Summary!$C$13:$CJ$54,COLUMNS(Summary!$D$13:$CJ$15)))=TRUE,0,VLOOKUP($A40,Summary!$D$13:$CJ$54,COLUMNS(Summary!$D$13:$CJ$15)))/T40)</f>
        <v>0</v>
      </c>
      <c r="AB40" s="72">
        <f t="shared" si="13"/>
        <v>1</v>
      </c>
      <c r="AC40" s="83">
        <f t="shared" ca="1" si="14"/>
        <v>146389.60746204772</v>
      </c>
      <c r="AE40" s="83">
        <f t="shared" si="6"/>
        <v>0</v>
      </c>
      <c r="AF40" s="70">
        <f t="shared" ca="1" si="7"/>
        <v>0</v>
      </c>
      <c r="AG40" s="83"/>
    </row>
    <row r="41" spans="1:33" x14ac:dyDescent="0.25">
      <c r="A41" s="67">
        <f t="shared" si="15"/>
        <v>56323</v>
      </c>
      <c r="B41" s="68">
        <f t="shared" si="8"/>
        <v>8.1250000000000003E-2</v>
      </c>
      <c r="C41" s="68">
        <f t="shared" si="16"/>
        <v>8.1250000000000003E-2</v>
      </c>
      <c r="D41" s="68">
        <f t="shared" si="1"/>
        <v>1</v>
      </c>
      <c r="E41" s="66">
        <f t="shared" si="17"/>
        <v>0</v>
      </c>
      <c r="F41" s="66"/>
      <c r="G41" s="66"/>
      <c r="H41" s="66">
        <f t="shared" si="18"/>
        <v>0</v>
      </c>
      <c r="I41" s="66">
        <f t="shared" si="19"/>
        <v>0</v>
      </c>
      <c r="J41" s="153">
        <f ca="1">MAX(MIN(IF(MONTH($A41)=PRIN_MATURITY,IF(ISNA(VLOOKUP(DATE(YEAR($A41),PRIN_MATURITY,PRIN_MATURITY_DAY_SUB),Summary!$D$12:$CJ$57,COLUMNS(Summary!$D$12:$CJ$12))),0,VLOOKUP(DATE(YEAR($A41),PRIN_MATURITY,PRIN_MATURITY_DAY_SUB),Summary!$D$12:$CJ$57,COLUMNS(Summary!$D$12:$CJ$12))),0),$I41),0)</f>
        <v>0</v>
      </c>
      <c r="K41" s="66">
        <f t="shared" ca="1" si="2"/>
        <v>0</v>
      </c>
      <c r="L41" s="154">
        <f t="shared" ca="1" si="3"/>
        <v>0</v>
      </c>
      <c r="M41" s="66">
        <f t="shared" ca="1" si="9"/>
        <v>0</v>
      </c>
      <c r="N41" s="66">
        <f t="shared" ca="1" si="4"/>
        <v>0</v>
      </c>
      <c r="O41" s="66">
        <f t="shared" ca="1" si="10"/>
        <v>0</v>
      </c>
      <c r="P41" s="70">
        <f t="shared" ca="1" si="11"/>
        <v>0</v>
      </c>
      <c r="Q41" s="66"/>
      <c r="R41" s="85"/>
      <c r="S41" s="66">
        <f t="shared" ca="1" si="5"/>
        <v>0</v>
      </c>
      <c r="T41" s="70">
        <f t="shared" ca="1" si="12"/>
        <v>0</v>
      </c>
      <c r="U41" s="70">
        <f ca="1">$G$97-SUM($G$11:G41)</f>
        <v>0</v>
      </c>
      <c r="W41" s="68">
        <f t="shared" si="20"/>
        <v>1</v>
      </c>
      <c r="Z41" s="83">
        <f ca="1">IF(MONTH($A41)=PRIN_MATURITY,IF(ISNA(VLOOKUP(DATE(YEAR($A41),PRIN_MATURITY,PRIN_MATURITY_DAY_SENIOR),Summary!$D$14:$CJ$56,COLUMNS(Summary!$D$13:$CJ$15),FALSE))=TRUE,0,VLOOKUP(DATE(YEAR($A41),PRIN_MATURITY,PRIN_MATURITY_DAY_SENIOR),Summary!$D$13:$CJ$56,COLUMNS(Summary!$D$13:$CJ$15),FALSE)),0)</f>
        <v>145612.15071613796</v>
      </c>
      <c r="AA41" s="84">
        <f ca="1">IF(ISERROR(IF(ISNA(VLOOKUP($A41,Summary!$D$13:$CJ$54,COLUMNS(Summary!$D$13:$CJ$15),FALSE))=TRUE,0,VLOOKUP($A41,Summary!$D$14:$CJ$54,COLUMNS(Summary!$D$13:$CJ$15),FALSE))/T41),0,IF(ISNA(VLOOKUP($A41,Summary!$C$13:$CJ$54,COLUMNS(Summary!$D$13:$CJ$15)))=TRUE,0,VLOOKUP($A41,Summary!$D$13:$CJ$54,COLUMNS(Summary!$D$13:$CJ$15)))/T41)</f>
        <v>0</v>
      </c>
      <c r="AB41" s="72">
        <f t="shared" si="13"/>
        <v>1</v>
      </c>
      <c r="AC41" s="83">
        <f t="shared" ca="1" si="14"/>
        <v>145612.15071613796</v>
      </c>
      <c r="AE41" s="83">
        <f t="shared" si="6"/>
        <v>0</v>
      </c>
      <c r="AF41" s="70">
        <f t="shared" ca="1" si="7"/>
        <v>0</v>
      </c>
      <c r="AG41" s="83"/>
    </row>
    <row r="42" spans="1:33" hidden="1" outlineLevel="1" x14ac:dyDescent="0.25">
      <c r="A42" s="67">
        <f t="shared" si="15"/>
        <v>56688</v>
      </c>
      <c r="B42" s="68">
        <f t="shared" si="8"/>
        <v>8.1250000000000003E-2</v>
      </c>
      <c r="C42" s="68">
        <f t="shared" si="16"/>
        <v>8.1250000000000003E-2</v>
      </c>
      <c r="D42" s="68">
        <f t="shared" si="1"/>
        <v>1</v>
      </c>
      <c r="E42" s="66">
        <f t="shared" si="17"/>
        <v>0</v>
      </c>
      <c r="F42" s="66"/>
      <c r="G42" s="66"/>
      <c r="H42" s="66">
        <f t="shared" si="18"/>
        <v>0</v>
      </c>
      <c r="I42" s="66">
        <f t="shared" si="19"/>
        <v>0</v>
      </c>
      <c r="J42" s="153">
        <f ca="1">MAX(MIN(IF(MONTH($A42)=PRIN_MATURITY,IF(ISNA(VLOOKUP(DATE(YEAR($A42),PRIN_MATURITY,PRIN_MATURITY_DAY_SUB),Summary!$D$12:$CJ$57,COLUMNS(Summary!$D$12:$CJ$12))),0,VLOOKUP(DATE(YEAR($A42),PRIN_MATURITY,PRIN_MATURITY_DAY_SUB),Summary!$D$12:$CJ$57,COLUMNS(Summary!$D$12:$CJ$12))),0),$I42),0)</f>
        <v>0</v>
      </c>
      <c r="K42" s="66">
        <f t="shared" ca="1" si="2"/>
        <v>0</v>
      </c>
      <c r="L42" s="154">
        <f t="shared" ca="1" si="3"/>
        <v>0</v>
      </c>
      <c r="M42" s="66">
        <f t="shared" ca="1" si="9"/>
        <v>0</v>
      </c>
      <c r="N42" s="66">
        <f t="shared" ca="1" si="4"/>
        <v>0</v>
      </c>
      <c r="O42" s="66">
        <f t="shared" ca="1" si="10"/>
        <v>0</v>
      </c>
      <c r="P42" s="70">
        <f t="shared" ca="1" si="11"/>
        <v>0</v>
      </c>
      <c r="Q42" s="66"/>
      <c r="R42" s="85"/>
      <c r="S42" s="66">
        <f t="shared" ca="1" si="5"/>
        <v>0</v>
      </c>
      <c r="T42" s="70">
        <f t="shared" ca="1" si="12"/>
        <v>0</v>
      </c>
      <c r="U42" s="70">
        <f ca="1">$G$97-SUM($G$11:G42)</f>
        <v>0</v>
      </c>
      <c r="W42" s="68">
        <f t="shared" si="20"/>
        <v>1</v>
      </c>
      <c r="Z42" s="83">
        <f ca="1">IF(MONTH($A42)=PRIN_MATURITY,IF(ISNA(VLOOKUP(DATE(YEAR($A42),PRIN_MATURITY,PRIN_MATURITY_DAY_SENIOR),Summary!$D$14:$CJ$56,COLUMNS(Summary!$D$13:$CJ$15),FALSE))=TRUE,0,VLOOKUP(DATE(YEAR($A42),PRIN_MATURITY,PRIN_MATURITY_DAY_SENIOR),Summary!$D$13:$CJ$56,COLUMNS(Summary!$D$13:$CJ$15),FALSE)),0)</f>
        <v>629915.75661202008</v>
      </c>
      <c r="AA42" s="84">
        <f ca="1">IF(ISERROR(IF(ISNA(VLOOKUP($A42,Summary!$D$13:$CJ$54,COLUMNS(Summary!$D$13:$CJ$15),FALSE))=TRUE,0,VLOOKUP($A42,Summary!$D$14:$CJ$54,COLUMNS(Summary!$D$13:$CJ$15),FALSE))/T42),0,IF(ISNA(VLOOKUP($A42,Summary!$C$13:$CJ$54,COLUMNS(Summary!$D$13:$CJ$15)))=TRUE,0,VLOOKUP($A42,Summary!$D$13:$CJ$54,COLUMNS(Summary!$D$13:$CJ$15)))/T42)</f>
        <v>0</v>
      </c>
      <c r="AB42" s="72">
        <f t="shared" si="13"/>
        <v>1</v>
      </c>
      <c r="AC42" s="83">
        <f t="shared" ca="1" si="14"/>
        <v>629915.75661202008</v>
      </c>
      <c r="AE42" s="83">
        <f t="shared" si="6"/>
        <v>0</v>
      </c>
      <c r="AF42" s="70">
        <f t="shared" ca="1" si="7"/>
        <v>0</v>
      </c>
      <c r="AG42" s="83"/>
    </row>
    <row r="43" spans="1:33" hidden="1" outlineLevel="1" x14ac:dyDescent="0.25">
      <c r="A43" s="67">
        <f t="shared" si="15"/>
        <v>0</v>
      </c>
      <c r="B43" s="68">
        <f t="shared" si="8"/>
        <v>0</v>
      </c>
      <c r="C43" s="68">
        <f t="shared" si="16"/>
        <v>0</v>
      </c>
      <c r="D43" s="68">
        <f t="shared" si="1"/>
        <v>0</v>
      </c>
      <c r="E43" s="66">
        <f t="shared" si="17"/>
        <v>0</v>
      </c>
      <c r="F43" s="66"/>
      <c r="G43" s="66">
        <f t="shared" ref="G43:G95" si="30">IF(SUB_SIZING_THRESHOLD&gt;IF(B43=0,0, MAX(0,INT(((($Z43)/$AB43-H44*W43))/(1+B43*W43)/1000)*1000)),0,IF(B43=0,0, MAX(0,INT(((($Z43)/$AB43-H44*W43))/(1+B43*W43)/1000)*1000)))</f>
        <v>0</v>
      </c>
      <c r="H43" s="66">
        <f t="shared" si="18"/>
        <v>0</v>
      </c>
      <c r="I43" s="66">
        <f t="shared" si="19"/>
        <v>0</v>
      </c>
      <c r="J43" s="153">
        <f>MAX(MIN(IF(MONTH($A43)=PRIN_MATURITY,IF(ISNA(VLOOKUP(DATE(YEAR($A43),PRIN_MATURITY,PRIN_MATURITY_DAY_SUB),Summary!$D$12:$CJ$57,COLUMNS(Summary!$D$12:$CJ$12))),0,VLOOKUP(DATE(YEAR($A43),PRIN_MATURITY,PRIN_MATURITY_DAY_SUB),Summary!$D$12:$CJ$57,COLUMNS(Summary!$D$12:$CJ$12))),0),$I43),0)</f>
        <v>0</v>
      </c>
      <c r="K43" s="66">
        <f t="shared" ref="K43:K74" ca="1" si="31">IF($K$4="No", 0,I43+(M42*SUB_INTEREST_RATE)-J43)</f>
        <v>0</v>
      </c>
      <c r="L43" s="154">
        <f t="shared" ca="1" si="3"/>
        <v>0</v>
      </c>
      <c r="M43" s="66">
        <f ca="1">M42+K43-L43</f>
        <v>0</v>
      </c>
      <c r="N43" s="66">
        <f t="shared" ca="1" si="4"/>
        <v>0</v>
      </c>
      <c r="O43" s="66">
        <f t="shared" ca="1" si="10"/>
        <v>0</v>
      </c>
      <c r="P43" s="70">
        <f t="shared" ca="1" si="11"/>
        <v>0</v>
      </c>
      <c r="Q43" s="66"/>
      <c r="R43" s="85"/>
      <c r="S43" s="66">
        <f t="shared" ca="1" si="5"/>
        <v>0</v>
      </c>
      <c r="T43" s="70">
        <f t="shared" ca="1" si="12"/>
        <v>0</v>
      </c>
      <c r="U43" s="70">
        <f ca="1">$G$97-SUM($G$11:G43)</f>
        <v>0</v>
      </c>
      <c r="W43" s="68">
        <f t="shared" si="20"/>
        <v>0</v>
      </c>
      <c r="Z43" s="83">
        <f>IF(MONTH($A43)=PRIN_MATURITY,IF(ISNA(VLOOKUP(DATE(YEAR($A43),PRIN_MATURITY,PRIN_MATURITY_DAY_SENIOR),Summary!$D$14:$CJ$56,COLUMNS(Summary!$D$13:$CJ$15),FALSE))=TRUE,0,VLOOKUP(DATE(YEAR($A43),PRIN_MATURITY,PRIN_MATURITY_DAY_SENIOR),Summary!$D$13:$CJ$56,COLUMNS(Summary!$D$13:$CJ$15),FALSE)),0)</f>
        <v>0</v>
      </c>
      <c r="AA43" s="84">
        <f ca="1">IF(ISERROR(IF(ISNA(VLOOKUP($A43,Summary!$D$13:$CJ$54,COLUMNS(Summary!$D$13:$CJ$15),FALSE))=TRUE,0,VLOOKUP($A43,Summary!$D$14:$CJ$54,COLUMNS(Summary!$D$13:$CJ$15),FALSE))/T43),0,IF(ISNA(VLOOKUP($A43,Summary!$C$13:$CJ$54,COLUMNS(Summary!$D$13:$CJ$15)))=TRUE,0,VLOOKUP($A43,Summary!$D$13:$CJ$54,COLUMNS(Summary!$D$13:$CJ$15)))/T43)</f>
        <v>0</v>
      </c>
      <c r="AB43" s="72" t="str">
        <f t="shared" si="13"/>
        <v/>
      </c>
      <c r="AC43" s="83">
        <f t="shared" ca="1" si="14"/>
        <v>0</v>
      </c>
      <c r="AE43" s="83">
        <f t="shared" si="6"/>
        <v>0</v>
      </c>
      <c r="AF43" s="70">
        <f t="shared" ca="1" si="7"/>
        <v>0</v>
      </c>
      <c r="AG43" s="83"/>
    </row>
    <row r="44" spans="1:33" hidden="1" outlineLevel="1" x14ac:dyDescent="0.25">
      <c r="A44" s="67">
        <f t="shared" si="15"/>
        <v>0</v>
      </c>
      <c r="B44" s="68">
        <f t="shared" si="8"/>
        <v>0</v>
      </c>
      <c r="C44" s="68">
        <f t="shared" si="16"/>
        <v>0</v>
      </c>
      <c r="D44" s="68">
        <f t="shared" si="1"/>
        <v>0</v>
      </c>
      <c r="E44" s="66">
        <f t="shared" si="17"/>
        <v>0</v>
      </c>
      <c r="F44" s="66"/>
      <c r="G44" s="66">
        <f t="shared" si="30"/>
        <v>0</v>
      </c>
      <c r="H44" s="66">
        <f t="shared" si="18"/>
        <v>0</v>
      </c>
      <c r="I44" s="66">
        <f t="shared" si="19"/>
        <v>0</v>
      </c>
      <c r="J44" s="153">
        <f>MAX(MIN(IF(MONTH($A44)=PRIN_MATURITY,IF(ISNA(VLOOKUP(DATE(YEAR($A44),PRIN_MATURITY,PRIN_MATURITY_DAY_SUB),Summary!$D$12:$CJ$57,COLUMNS(Summary!$D$12:$CJ$12))),0,VLOOKUP(DATE(YEAR($A44),PRIN_MATURITY,PRIN_MATURITY_DAY_SUB),Summary!$D$12:$CJ$57,COLUMNS(Summary!$D$12:$CJ$12))),0),$I44),0)</f>
        <v>0</v>
      </c>
      <c r="K44" s="66">
        <f t="shared" ca="1" si="31"/>
        <v>0</v>
      </c>
      <c r="L44" s="154">
        <f t="shared" ca="1" si="3"/>
        <v>0</v>
      </c>
      <c r="M44" s="66">
        <f ca="1">M43+K44-L44</f>
        <v>0</v>
      </c>
      <c r="N44" s="66">
        <f t="shared" ca="1" si="4"/>
        <v>0</v>
      </c>
      <c r="O44" s="66">
        <f t="shared" ca="1" si="10"/>
        <v>0</v>
      </c>
      <c r="P44" s="70">
        <f t="shared" ca="1" si="11"/>
        <v>0</v>
      </c>
      <c r="Q44" s="66"/>
      <c r="R44" s="85"/>
      <c r="S44" s="66">
        <f t="shared" ca="1" si="5"/>
        <v>0</v>
      </c>
      <c r="T44" s="70">
        <f t="shared" ca="1" si="12"/>
        <v>0</v>
      </c>
      <c r="U44" s="70">
        <f ca="1">$G$97-SUM($G$11:G44)</f>
        <v>0</v>
      </c>
      <c r="W44" s="68">
        <f t="shared" si="20"/>
        <v>0</v>
      </c>
      <c r="Z44" s="83">
        <f>IF(MONTH($A44)=PRIN_MATURITY,IF(ISNA(VLOOKUP(DATE(YEAR($A44),PRIN_MATURITY,PRIN_MATURITY_DAY_SENIOR),Summary!$D$14:$CJ$56,COLUMNS(Summary!$D$13:$CJ$15),FALSE))=TRUE,0,VLOOKUP(DATE(YEAR($A44),PRIN_MATURITY,PRIN_MATURITY_DAY_SENIOR),Summary!$D$13:$CJ$56,COLUMNS(Summary!$D$13:$CJ$15),FALSE)),0)</f>
        <v>0</v>
      </c>
      <c r="AA44" s="84">
        <f ca="1">IF(ISERROR(IF(ISNA(VLOOKUP($A44,Summary!$D$13:$CJ$54,COLUMNS(Summary!$D$13:$CJ$15),FALSE))=TRUE,0,VLOOKUP($A44,Summary!$D$14:$CJ$54,COLUMNS(Summary!$D$13:$CJ$15),FALSE))/T44),0,IF(ISNA(VLOOKUP($A44,Summary!$C$13:$CJ$54,COLUMNS(Summary!$D$13:$CJ$15)))=TRUE,0,VLOOKUP($A44,Summary!$D$13:$CJ$54,COLUMNS(Summary!$D$13:$CJ$15)))/T44)</f>
        <v>0</v>
      </c>
      <c r="AB44" s="72" t="str">
        <f t="shared" si="13"/>
        <v/>
      </c>
      <c r="AC44" s="83">
        <f t="shared" ca="1" si="14"/>
        <v>0</v>
      </c>
      <c r="AE44" s="83">
        <f t="shared" si="6"/>
        <v>0</v>
      </c>
      <c r="AF44" s="70">
        <f t="shared" ca="1" si="7"/>
        <v>0</v>
      </c>
      <c r="AG44" s="83"/>
    </row>
    <row r="45" spans="1:33" hidden="1" outlineLevel="1" x14ac:dyDescent="0.25">
      <c r="A45" s="67">
        <f t="shared" ref="A45:A76" si="32">IF(IF(ISERROR(EDATE(A44,12)),0,EDATE(A44,12))&gt;EDATE(MAX($A$11,DATE(YEAR($A$11),PRIN_MATURITY,PRIN_MATURITY_DAY_SUB)),12*FINAL_MAT_SUB_YRS),0,IF(ISERROR(EDATE(A44,12)),0,IF(A44=0,0,EDATE(A44,12))))</f>
        <v>0</v>
      </c>
      <c r="B45" s="68">
        <f t="shared" si="8"/>
        <v>0</v>
      </c>
      <c r="C45" s="68">
        <f t="shared" si="16"/>
        <v>0</v>
      </c>
      <c r="D45" s="68">
        <f t="shared" si="1"/>
        <v>0</v>
      </c>
      <c r="E45" s="66">
        <f t="shared" si="17"/>
        <v>0</v>
      </c>
      <c r="F45" s="66"/>
      <c r="G45" s="66">
        <f t="shared" si="30"/>
        <v>0</v>
      </c>
      <c r="H45" s="66">
        <f t="shared" si="18"/>
        <v>0</v>
      </c>
      <c r="I45" s="66">
        <f t="shared" si="19"/>
        <v>0</v>
      </c>
      <c r="J45" s="153">
        <f>MAX(MIN(IF(MONTH($A45)=PRIN_MATURITY,IF(ISNA(VLOOKUP(DATE(YEAR($A45),PRIN_MATURITY,PRIN_MATURITY_DAY_SUB),Summary!$D$12:$CJ$57,COLUMNS(Summary!$D$12:$CJ$12))),0,VLOOKUP(DATE(YEAR($A45),PRIN_MATURITY,PRIN_MATURITY_DAY_SUB),Summary!$D$12:$CJ$57,COLUMNS(Summary!$D$12:$CJ$12))),0),$I45),0)</f>
        <v>0</v>
      </c>
      <c r="K45" s="66">
        <f t="shared" ca="1" si="31"/>
        <v>0</v>
      </c>
      <c r="L45" s="154">
        <f t="shared" ca="1" si="3"/>
        <v>0</v>
      </c>
      <c r="M45" s="66">
        <f t="shared" ref="M45:M50" ca="1" si="33">M44+K45-L45</f>
        <v>0</v>
      </c>
      <c r="N45" s="66">
        <f t="shared" ca="1" si="4"/>
        <v>0</v>
      </c>
      <c r="O45" s="66">
        <f t="shared" ca="1" si="10"/>
        <v>0</v>
      </c>
      <c r="P45" s="70">
        <f t="shared" ca="1" si="11"/>
        <v>0</v>
      </c>
      <c r="Q45" s="66"/>
      <c r="R45" s="85"/>
      <c r="S45" s="66">
        <f t="shared" ca="1" si="5"/>
        <v>0</v>
      </c>
      <c r="T45" s="70">
        <f t="shared" ca="1" si="12"/>
        <v>0</v>
      </c>
      <c r="U45" s="70">
        <f ca="1">$G$97-SUM($G$11:G45)</f>
        <v>0</v>
      </c>
      <c r="W45" s="68">
        <f t="shared" si="20"/>
        <v>0</v>
      </c>
      <c r="Z45" s="83">
        <f>IF(MONTH($A45)=PRIN_MATURITY,IF(ISNA(VLOOKUP(DATE(YEAR($A45),PRIN_MATURITY,PRIN_MATURITY_DAY_SENIOR),Summary!$D$14:$CJ$56,COLUMNS(Summary!$D$13:$CJ$15),FALSE))=TRUE,0,VLOOKUP(DATE(YEAR($A45),PRIN_MATURITY,PRIN_MATURITY_DAY_SENIOR),Summary!$D$13:$CJ$56,COLUMNS(Summary!$D$13:$CJ$15),FALSE)),0)</f>
        <v>0</v>
      </c>
      <c r="AA45" s="84">
        <f ca="1">IF(ISERROR(IF(ISNA(VLOOKUP($A45,Summary!$D$13:$CJ$54,COLUMNS(Summary!$D$13:$CJ$15),FALSE))=TRUE,0,VLOOKUP($A45,Summary!$D$14:$CJ$54,COLUMNS(Summary!$D$13:$CJ$15),FALSE))/T45),0,IF(ISNA(VLOOKUP($A45,Summary!$C$13:$CJ$54,COLUMNS(Summary!$D$13:$CJ$15)))=TRUE,0,VLOOKUP($A45,Summary!$D$13:$CJ$54,COLUMNS(Summary!$D$13:$CJ$15)))/T45)</f>
        <v>0</v>
      </c>
      <c r="AB45" s="72" t="str">
        <f t="shared" si="13"/>
        <v/>
      </c>
      <c r="AC45" s="83">
        <f t="shared" ca="1" si="14"/>
        <v>0</v>
      </c>
      <c r="AE45" s="83">
        <f t="shared" si="6"/>
        <v>0</v>
      </c>
      <c r="AF45" s="70">
        <f t="shared" ca="1" si="7"/>
        <v>0</v>
      </c>
      <c r="AG45" s="83"/>
    </row>
    <row r="46" spans="1:33" hidden="1" outlineLevel="1" x14ac:dyDescent="0.25">
      <c r="A46" s="67">
        <f t="shared" si="32"/>
        <v>0</v>
      </c>
      <c r="B46" s="68">
        <f t="shared" si="8"/>
        <v>0</v>
      </c>
      <c r="C46" s="68">
        <f t="shared" si="16"/>
        <v>0</v>
      </c>
      <c r="D46" s="68">
        <f t="shared" si="1"/>
        <v>0</v>
      </c>
      <c r="E46" s="66">
        <f t="shared" si="17"/>
        <v>0</v>
      </c>
      <c r="F46" s="66"/>
      <c r="G46" s="66">
        <f t="shared" si="30"/>
        <v>0</v>
      </c>
      <c r="H46" s="66">
        <f t="shared" si="18"/>
        <v>0</v>
      </c>
      <c r="I46" s="66">
        <f t="shared" si="19"/>
        <v>0</v>
      </c>
      <c r="J46" s="153">
        <f>MAX(MIN(IF(MONTH($A46)=PRIN_MATURITY,IF(ISNA(VLOOKUP(DATE(YEAR($A46),PRIN_MATURITY,PRIN_MATURITY_DAY_SUB),Summary!$D$12:$CJ$57,COLUMNS(Summary!$D$12:$CJ$12))),0,VLOOKUP(DATE(YEAR($A46),PRIN_MATURITY,PRIN_MATURITY_DAY_SUB),Summary!$D$12:$CJ$57,COLUMNS(Summary!$D$12:$CJ$12))),0),$I46),0)</f>
        <v>0</v>
      </c>
      <c r="K46" s="66">
        <f t="shared" ca="1" si="31"/>
        <v>0</v>
      </c>
      <c r="L46" s="154">
        <f t="shared" ca="1" si="3"/>
        <v>0</v>
      </c>
      <c r="M46" s="66">
        <f t="shared" ca="1" si="33"/>
        <v>0</v>
      </c>
      <c r="N46" s="66">
        <f t="shared" ca="1" si="4"/>
        <v>0</v>
      </c>
      <c r="O46" s="66">
        <f t="shared" ca="1" si="10"/>
        <v>0</v>
      </c>
      <c r="P46" s="70">
        <f t="shared" ca="1" si="11"/>
        <v>0</v>
      </c>
      <c r="Q46" s="66"/>
      <c r="R46" s="85"/>
      <c r="S46" s="66">
        <f t="shared" ca="1" si="5"/>
        <v>0</v>
      </c>
      <c r="T46" s="70">
        <f t="shared" ca="1" si="12"/>
        <v>0</v>
      </c>
      <c r="U46" s="70">
        <f ca="1">$G$97-SUM($G$11:G46)</f>
        <v>0</v>
      </c>
      <c r="W46" s="68">
        <f t="shared" si="20"/>
        <v>0</v>
      </c>
      <c r="Z46" s="83">
        <f>IF(MONTH($A46)=PRIN_MATURITY,IF(ISNA(VLOOKUP(DATE(YEAR($A46),PRIN_MATURITY,PRIN_MATURITY_DAY_SENIOR),Summary!$D$14:$CJ$56,COLUMNS(Summary!$D$13:$CJ$15),FALSE))=TRUE,0,VLOOKUP(DATE(YEAR($A46),PRIN_MATURITY,PRIN_MATURITY_DAY_SENIOR),Summary!$D$13:$CJ$56,COLUMNS(Summary!$D$13:$CJ$15),FALSE)),0)</f>
        <v>0</v>
      </c>
      <c r="AA46" s="84">
        <f ca="1">IF(ISERROR(IF(ISNA(VLOOKUP($A46,Summary!$D$13:$CJ$54,COLUMNS(Summary!$D$13:$CJ$15),FALSE))=TRUE,0,VLOOKUP($A46,Summary!$D$14:$CJ$54,COLUMNS(Summary!$D$13:$CJ$15),FALSE))/T46),0,IF(ISNA(VLOOKUP($A46,Summary!$C$13:$CJ$54,COLUMNS(Summary!$D$13:$CJ$15)))=TRUE,0,VLOOKUP($A46,Summary!$D$13:$CJ$54,COLUMNS(Summary!$D$13:$CJ$15)))/T46)</f>
        <v>0</v>
      </c>
      <c r="AB46" s="72" t="str">
        <f t="shared" si="13"/>
        <v/>
      </c>
      <c r="AC46" s="83">
        <f t="shared" ca="1" si="14"/>
        <v>0</v>
      </c>
      <c r="AE46" s="83">
        <f t="shared" si="6"/>
        <v>0</v>
      </c>
      <c r="AF46" s="70">
        <f t="shared" ca="1" si="7"/>
        <v>0</v>
      </c>
      <c r="AG46" s="83"/>
    </row>
    <row r="47" spans="1:33" hidden="1" outlineLevel="1" x14ac:dyDescent="0.25">
      <c r="A47" s="67">
        <f t="shared" si="32"/>
        <v>0</v>
      </c>
      <c r="B47" s="68">
        <f t="shared" si="8"/>
        <v>0</v>
      </c>
      <c r="C47" s="68">
        <f t="shared" si="16"/>
        <v>0</v>
      </c>
      <c r="D47" s="68">
        <f t="shared" si="1"/>
        <v>0</v>
      </c>
      <c r="E47" s="66">
        <f t="shared" si="17"/>
        <v>0</v>
      </c>
      <c r="F47" s="66"/>
      <c r="G47" s="66">
        <f t="shared" si="30"/>
        <v>0</v>
      </c>
      <c r="H47" s="66">
        <f t="shared" si="18"/>
        <v>0</v>
      </c>
      <c r="I47" s="66">
        <f t="shared" si="19"/>
        <v>0</v>
      </c>
      <c r="J47" s="153">
        <f>MAX(MIN(IF(MONTH($A47)=PRIN_MATURITY,IF(ISNA(VLOOKUP(DATE(YEAR($A47),PRIN_MATURITY,PRIN_MATURITY_DAY_SUB),Summary!$D$12:$CJ$57,COLUMNS(Summary!$D$12:$CJ$12))),0,VLOOKUP(DATE(YEAR($A47),PRIN_MATURITY,PRIN_MATURITY_DAY_SUB),Summary!$D$12:$CJ$57,COLUMNS(Summary!$D$12:$CJ$12))),0),$I47),0)</f>
        <v>0</v>
      </c>
      <c r="K47" s="66">
        <f t="shared" ca="1" si="31"/>
        <v>0</v>
      </c>
      <c r="L47" s="154">
        <f t="shared" ca="1" si="3"/>
        <v>0</v>
      </c>
      <c r="M47" s="66">
        <f t="shared" ca="1" si="33"/>
        <v>0</v>
      </c>
      <c r="N47" s="66">
        <f t="shared" ca="1" si="4"/>
        <v>0</v>
      </c>
      <c r="O47" s="66">
        <f t="shared" ca="1" si="10"/>
        <v>0</v>
      </c>
      <c r="P47" s="70">
        <f t="shared" ca="1" si="11"/>
        <v>0</v>
      </c>
      <c r="Q47" s="66"/>
      <c r="R47" s="85"/>
      <c r="S47" s="66">
        <f t="shared" ca="1" si="5"/>
        <v>0</v>
      </c>
      <c r="T47" s="70">
        <f t="shared" ca="1" si="12"/>
        <v>0</v>
      </c>
      <c r="U47" s="70">
        <f ca="1">$G$97-SUM($G$11:G47)</f>
        <v>0</v>
      </c>
      <c r="W47" s="68">
        <f t="shared" si="20"/>
        <v>0</v>
      </c>
      <c r="Z47" s="83">
        <f>IF(MONTH($A47)=PRIN_MATURITY,IF(ISNA(VLOOKUP(DATE(YEAR($A47),PRIN_MATURITY,PRIN_MATURITY_DAY_SENIOR),Summary!$D$14:$CJ$56,COLUMNS(Summary!$D$13:$CJ$15),FALSE))=TRUE,0,VLOOKUP(DATE(YEAR($A47),PRIN_MATURITY,PRIN_MATURITY_DAY_SENIOR),Summary!$D$13:$CJ$56,COLUMNS(Summary!$D$13:$CJ$15),FALSE)),0)</f>
        <v>0</v>
      </c>
      <c r="AA47" s="84">
        <f ca="1">IF(ISERROR(IF(ISNA(VLOOKUP($A47,Summary!$D$13:$CJ$54,COLUMNS(Summary!$D$13:$CJ$15),FALSE))=TRUE,0,VLOOKUP($A47,Summary!$D$14:$CJ$54,COLUMNS(Summary!$D$13:$CJ$15),FALSE))/T47),0,IF(ISNA(VLOOKUP($A47,Summary!$C$13:$CJ$54,COLUMNS(Summary!$D$13:$CJ$15)))=TRUE,0,VLOOKUP($A47,Summary!$D$13:$CJ$54,COLUMNS(Summary!$D$13:$CJ$15)))/T47)</f>
        <v>0</v>
      </c>
      <c r="AB47" s="72" t="str">
        <f t="shared" si="13"/>
        <v/>
      </c>
      <c r="AC47" s="83">
        <f t="shared" ca="1" si="14"/>
        <v>0</v>
      </c>
      <c r="AE47" s="83">
        <f t="shared" si="6"/>
        <v>0</v>
      </c>
      <c r="AF47" s="70">
        <f t="shared" ca="1" si="7"/>
        <v>0</v>
      </c>
      <c r="AG47" s="83"/>
    </row>
    <row r="48" spans="1:33" hidden="1" outlineLevel="1" x14ac:dyDescent="0.25">
      <c r="A48" s="67">
        <f t="shared" si="32"/>
        <v>0</v>
      </c>
      <c r="B48" s="68">
        <f t="shared" si="8"/>
        <v>0</v>
      </c>
      <c r="C48" s="68">
        <f t="shared" si="16"/>
        <v>0</v>
      </c>
      <c r="D48" s="68">
        <f t="shared" si="1"/>
        <v>0</v>
      </c>
      <c r="E48" s="66">
        <f t="shared" si="17"/>
        <v>0</v>
      </c>
      <c r="F48" s="66"/>
      <c r="G48" s="66">
        <f t="shared" si="30"/>
        <v>0</v>
      </c>
      <c r="H48" s="66">
        <f t="shared" si="18"/>
        <v>0</v>
      </c>
      <c r="I48" s="66">
        <f t="shared" si="19"/>
        <v>0</v>
      </c>
      <c r="J48" s="153">
        <f>MAX(MIN(IF(MONTH($A48)=PRIN_MATURITY,IF(ISNA(VLOOKUP(DATE(YEAR($A48),PRIN_MATURITY,PRIN_MATURITY_DAY_SUB),Summary!$D$12:$CJ$57,COLUMNS(Summary!$D$12:$CJ$12))),0,VLOOKUP(DATE(YEAR($A48),PRIN_MATURITY,PRIN_MATURITY_DAY_SUB),Summary!$D$12:$CJ$57,COLUMNS(Summary!$D$12:$CJ$12))),0),$I48),0)</f>
        <v>0</v>
      </c>
      <c r="K48" s="66">
        <f t="shared" ca="1" si="31"/>
        <v>0</v>
      </c>
      <c r="L48" s="154">
        <f t="shared" ca="1" si="3"/>
        <v>0</v>
      </c>
      <c r="M48" s="66">
        <f t="shared" ca="1" si="33"/>
        <v>0</v>
      </c>
      <c r="N48" s="66">
        <f t="shared" ca="1" si="4"/>
        <v>0</v>
      </c>
      <c r="O48" s="66">
        <f t="shared" ca="1" si="10"/>
        <v>0</v>
      </c>
      <c r="P48" s="70">
        <f t="shared" ca="1" si="11"/>
        <v>0</v>
      </c>
      <c r="Q48" s="66"/>
      <c r="R48" s="85"/>
      <c r="S48" s="66">
        <f t="shared" ca="1" si="5"/>
        <v>0</v>
      </c>
      <c r="T48" s="70">
        <f t="shared" ca="1" si="12"/>
        <v>0</v>
      </c>
      <c r="U48" s="70">
        <f ca="1">$G$97-SUM($G$11:G48)</f>
        <v>0</v>
      </c>
      <c r="W48" s="68">
        <f t="shared" si="20"/>
        <v>0</v>
      </c>
      <c r="Z48" s="83">
        <f>IF(MONTH($A48)=PRIN_MATURITY,IF(ISNA(VLOOKUP(DATE(YEAR($A48),PRIN_MATURITY,PRIN_MATURITY_DAY_SENIOR),Summary!$D$14:$CJ$56,COLUMNS(Summary!$D$13:$CJ$15),FALSE))=TRUE,0,VLOOKUP(DATE(YEAR($A48),PRIN_MATURITY,PRIN_MATURITY_DAY_SENIOR),Summary!$D$13:$CJ$56,COLUMNS(Summary!$D$13:$CJ$15),FALSE)),0)</f>
        <v>0</v>
      </c>
      <c r="AA48" s="84">
        <f ca="1">IF(ISERROR(IF(ISNA(VLOOKUP($A48,Summary!$D$13:$CJ$54,COLUMNS(Summary!$D$13:$CJ$15),FALSE))=TRUE,0,VLOOKUP($A48,Summary!$D$14:$CJ$54,COLUMNS(Summary!$D$13:$CJ$15),FALSE))/T48),0,IF(ISNA(VLOOKUP($A48,Summary!$C$13:$CJ$54,COLUMNS(Summary!$D$13:$CJ$15)))=TRUE,0,VLOOKUP($A48,Summary!$D$13:$CJ$54,COLUMNS(Summary!$D$13:$CJ$15)))/T48)</f>
        <v>0</v>
      </c>
      <c r="AB48" s="72" t="str">
        <f t="shared" si="13"/>
        <v/>
      </c>
      <c r="AC48" s="83">
        <f t="shared" ca="1" si="14"/>
        <v>0</v>
      </c>
      <c r="AE48" s="83">
        <f t="shared" si="6"/>
        <v>0</v>
      </c>
      <c r="AF48" s="70">
        <f t="shared" ca="1" si="7"/>
        <v>0</v>
      </c>
      <c r="AG48" s="83"/>
    </row>
    <row r="49" spans="1:33" hidden="1" outlineLevel="1" x14ac:dyDescent="0.25">
      <c r="A49" s="67">
        <f t="shared" si="32"/>
        <v>0</v>
      </c>
      <c r="B49" s="68">
        <f t="shared" si="8"/>
        <v>0</v>
      </c>
      <c r="C49" s="68">
        <f t="shared" si="16"/>
        <v>0</v>
      </c>
      <c r="D49" s="68">
        <f t="shared" si="1"/>
        <v>0</v>
      </c>
      <c r="E49" s="66">
        <f t="shared" si="17"/>
        <v>0</v>
      </c>
      <c r="F49" s="66"/>
      <c r="G49" s="66">
        <f t="shared" si="30"/>
        <v>0</v>
      </c>
      <c r="H49" s="66">
        <f t="shared" si="18"/>
        <v>0</v>
      </c>
      <c r="I49" s="66">
        <f t="shared" si="19"/>
        <v>0</v>
      </c>
      <c r="J49" s="153">
        <f>MAX(MIN(IF(MONTH($A49)=PRIN_MATURITY,IF(ISNA(VLOOKUP(DATE(YEAR($A49),PRIN_MATURITY,PRIN_MATURITY_DAY_SUB),Summary!$D$12:$CJ$57,COLUMNS(Summary!$D$12:$CJ$12))),0,VLOOKUP(DATE(YEAR($A49),PRIN_MATURITY,PRIN_MATURITY_DAY_SUB),Summary!$D$12:$CJ$57,COLUMNS(Summary!$D$12:$CJ$12))),0),$I49),0)</f>
        <v>0</v>
      </c>
      <c r="K49" s="66">
        <f t="shared" ca="1" si="31"/>
        <v>0</v>
      </c>
      <c r="L49" s="154">
        <f t="shared" ca="1" si="3"/>
        <v>0</v>
      </c>
      <c r="M49" s="66">
        <f t="shared" ca="1" si="33"/>
        <v>0</v>
      </c>
      <c r="N49" s="66">
        <f t="shared" ca="1" si="4"/>
        <v>0</v>
      </c>
      <c r="O49" s="66">
        <f t="shared" ca="1" si="10"/>
        <v>0</v>
      </c>
      <c r="P49" s="70">
        <f t="shared" ca="1" si="11"/>
        <v>0</v>
      </c>
      <c r="Q49" s="66"/>
      <c r="R49" s="85"/>
      <c r="S49" s="66">
        <f t="shared" ca="1" si="5"/>
        <v>0</v>
      </c>
      <c r="T49" s="70">
        <f t="shared" ca="1" si="12"/>
        <v>0</v>
      </c>
      <c r="U49" s="70">
        <f ca="1">$G$97-SUM($G$11:G49)</f>
        <v>0</v>
      </c>
      <c r="W49" s="68">
        <f t="shared" si="20"/>
        <v>0</v>
      </c>
      <c r="Z49" s="83">
        <f>IF(MONTH($A49)=PRIN_MATURITY,IF(ISNA(VLOOKUP(DATE(YEAR($A49),PRIN_MATURITY,PRIN_MATURITY_DAY_SENIOR),Summary!$D$14:$CJ$56,COLUMNS(Summary!$D$13:$CJ$15),FALSE))=TRUE,0,VLOOKUP(DATE(YEAR($A49),PRIN_MATURITY,PRIN_MATURITY_DAY_SENIOR),Summary!$D$13:$CJ$56,COLUMNS(Summary!$D$13:$CJ$15),FALSE)),0)</f>
        <v>0</v>
      </c>
      <c r="AA49" s="84">
        <f ca="1">IF(ISERROR(IF(ISNA(VLOOKUP($A49,Summary!$D$13:$CJ$54,COLUMNS(Summary!$D$13:$CJ$15),FALSE))=TRUE,0,VLOOKUP($A49,Summary!$D$14:$CJ$54,COLUMNS(Summary!$D$13:$CJ$15),FALSE))/T49),0,IF(ISNA(VLOOKUP($A49,Summary!$C$13:$CJ$54,COLUMNS(Summary!$D$13:$CJ$15)))=TRUE,0,VLOOKUP($A49,Summary!$D$13:$CJ$54,COLUMNS(Summary!$D$13:$CJ$15)))/T49)</f>
        <v>0</v>
      </c>
      <c r="AB49" s="72" t="str">
        <f t="shared" si="13"/>
        <v/>
      </c>
      <c r="AC49" s="83">
        <f t="shared" ca="1" si="14"/>
        <v>0</v>
      </c>
      <c r="AE49" s="83">
        <f t="shared" si="6"/>
        <v>0</v>
      </c>
      <c r="AF49" s="70">
        <f t="shared" ca="1" si="7"/>
        <v>0</v>
      </c>
      <c r="AG49" s="83"/>
    </row>
    <row r="50" spans="1:33" hidden="1" outlineLevel="1" x14ac:dyDescent="0.25">
      <c r="A50" s="67">
        <f t="shared" si="32"/>
        <v>0</v>
      </c>
      <c r="B50" s="68">
        <f t="shared" si="8"/>
        <v>0</v>
      </c>
      <c r="C50" s="68">
        <f t="shared" si="16"/>
        <v>0</v>
      </c>
      <c r="D50" s="68">
        <f t="shared" si="1"/>
        <v>0</v>
      </c>
      <c r="E50" s="66">
        <f t="shared" si="17"/>
        <v>0</v>
      </c>
      <c r="F50" s="66"/>
      <c r="G50" s="66">
        <f t="shared" si="30"/>
        <v>0</v>
      </c>
      <c r="H50" s="66">
        <f t="shared" si="18"/>
        <v>0</v>
      </c>
      <c r="I50" s="66">
        <f t="shared" si="19"/>
        <v>0</v>
      </c>
      <c r="J50" s="153">
        <f>MAX(MIN(IF(MONTH($A50)=PRIN_MATURITY,IF(ISNA(VLOOKUP(DATE(YEAR($A50),PRIN_MATURITY,PRIN_MATURITY_DAY_SUB),Summary!$D$12:$CJ$57,COLUMNS(Summary!$D$12:$CJ$12))),0,VLOOKUP(DATE(YEAR($A50),PRIN_MATURITY,PRIN_MATURITY_DAY_SUB),Summary!$D$12:$CJ$57,COLUMNS(Summary!$D$12:$CJ$12))),0),$I50),0)</f>
        <v>0</v>
      </c>
      <c r="K50" s="66">
        <f t="shared" ca="1" si="31"/>
        <v>0</v>
      </c>
      <c r="L50" s="154">
        <f t="shared" ca="1" si="3"/>
        <v>0</v>
      </c>
      <c r="M50" s="66">
        <f t="shared" ca="1" si="33"/>
        <v>0</v>
      </c>
      <c r="N50" s="66">
        <f t="shared" ca="1" si="4"/>
        <v>0</v>
      </c>
      <c r="O50" s="66">
        <f t="shared" ca="1" si="10"/>
        <v>0</v>
      </c>
      <c r="P50" s="70">
        <f t="shared" ca="1" si="11"/>
        <v>0</v>
      </c>
      <c r="Q50" s="66"/>
      <c r="R50" s="85"/>
      <c r="S50" s="66">
        <f t="shared" ca="1" si="5"/>
        <v>0</v>
      </c>
      <c r="T50" s="70">
        <f t="shared" ca="1" si="12"/>
        <v>0</v>
      </c>
      <c r="U50" s="70">
        <f ca="1">$G$97-SUM($G$11:G50)</f>
        <v>0</v>
      </c>
      <c r="W50" s="68">
        <f t="shared" si="20"/>
        <v>0</v>
      </c>
      <c r="Z50" s="83">
        <f>IF(MONTH($A50)=PRIN_MATURITY,IF(ISNA(VLOOKUP(DATE(YEAR($A50),PRIN_MATURITY,PRIN_MATURITY_DAY_SENIOR),Summary!$D$14:$CJ$56,COLUMNS(Summary!$D$13:$CJ$15),FALSE))=TRUE,0,VLOOKUP(DATE(YEAR($A50),PRIN_MATURITY,PRIN_MATURITY_DAY_SENIOR),Summary!$D$13:$CJ$56,COLUMNS(Summary!$D$13:$CJ$15),FALSE)),0)</f>
        <v>0</v>
      </c>
      <c r="AA50" s="84">
        <f ca="1">IF(ISERROR(IF(ISNA(VLOOKUP($A50,Summary!$D$13:$CJ$54,COLUMNS(Summary!$D$13:$CJ$15),FALSE))=TRUE,0,VLOOKUP($A50,Summary!$D$14:$CJ$54,COLUMNS(Summary!$D$13:$CJ$15),FALSE))/T50),0,IF(ISNA(VLOOKUP($A50,Summary!$C$13:$CJ$54,COLUMNS(Summary!$D$13:$CJ$15)))=TRUE,0,VLOOKUP($A50,Summary!$D$13:$CJ$54,COLUMNS(Summary!$D$13:$CJ$15)))/T50)</f>
        <v>0</v>
      </c>
      <c r="AB50" s="72" t="str">
        <f t="shared" si="13"/>
        <v/>
      </c>
      <c r="AC50" s="83">
        <f t="shared" ca="1" si="14"/>
        <v>0</v>
      </c>
      <c r="AE50" s="83">
        <f t="shared" si="6"/>
        <v>0</v>
      </c>
      <c r="AF50" s="70">
        <f t="shared" ca="1" si="7"/>
        <v>0</v>
      </c>
      <c r="AG50" s="83"/>
    </row>
    <row r="51" spans="1:33" hidden="1" outlineLevel="1" x14ac:dyDescent="0.25">
      <c r="A51" s="67">
        <f t="shared" si="32"/>
        <v>0</v>
      </c>
      <c r="B51" s="68">
        <f t="shared" si="8"/>
        <v>0</v>
      </c>
      <c r="C51" s="68">
        <f t="shared" si="16"/>
        <v>0</v>
      </c>
      <c r="D51" s="68">
        <f t="shared" si="1"/>
        <v>0</v>
      </c>
      <c r="E51" s="66">
        <f t="shared" si="17"/>
        <v>0</v>
      </c>
      <c r="F51" s="66"/>
      <c r="G51" s="66">
        <f t="shared" si="30"/>
        <v>0</v>
      </c>
      <c r="H51" s="66">
        <f t="shared" si="18"/>
        <v>0</v>
      </c>
      <c r="I51" s="66">
        <f t="shared" si="19"/>
        <v>0</v>
      </c>
      <c r="J51" s="153">
        <f>MAX(MIN(IF(MONTH($A51)=PRIN_MATURITY,IF(ISNA(VLOOKUP(DATE(YEAR($A51),PRIN_MATURITY,PRIN_MATURITY_DAY_SUB),Summary!$D$12:$CJ$57,COLUMNS(Summary!$D$12:$CJ$12))),0,VLOOKUP(DATE(YEAR($A51),PRIN_MATURITY,PRIN_MATURITY_DAY_SUB),Summary!$D$12:$CJ$57,COLUMNS(Summary!$D$12:$CJ$12))),0),$I51),0)</f>
        <v>0</v>
      </c>
      <c r="K51" s="66">
        <f t="shared" ca="1" si="31"/>
        <v>0</v>
      </c>
      <c r="L51" s="154">
        <f t="shared" ca="1" si="3"/>
        <v>0</v>
      </c>
      <c r="M51" s="66">
        <f ca="1">M50+K51-L51</f>
        <v>0</v>
      </c>
      <c r="N51" s="66">
        <f t="shared" ca="1" si="4"/>
        <v>0</v>
      </c>
      <c r="O51" s="66">
        <f t="shared" ca="1" si="10"/>
        <v>0</v>
      </c>
      <c r="P51" s="70">
        <f t="shared" ca="1" si="11"/>
        <v>0</v>
      </c>
      <c r="Q51" s="66"/>
      <c r="R51" s="85"/>
      <c r="S51" s="66">
        <f t="shared" ca="1" si="5"/>
        <v>0</v>
      </c>
      <c r="T51" s="70">
        <f t="shared" ca="1" si="12"/>
        <v>0</v>
      </c>
      <c r="U51" s="70">
        <f ca="1">$G$97-SUM($G$11:G51)</f>
        <v>0</v>
      </c>
      <c r="W51" s="68">
        <f t="shared" si="20"/>
        <v>0</v>
      </c>
      <c r="Z51" s="83">
        <f>IF(MONTH($A51)=PRIN_MATURITY,IF(ISNA(VLOOKUP(DATE(YEAR($A51),PRIN_MATURITY,PRIN_MATURITY_DAY_SENIOR),Summary!$D$14:$CJ$56,COLUMNS(Summary!$D$13:$CJ$15),FALSE))=TRUE,0,VLOOKUP(DATE(YEAR($A51),PRIN_MATURITY,PRIN_MATURITY_DAY_SENIOR),Summary!$D$13:$CJ$56,COLUMNS(Summary!$D$13:$CJ$15),FALSE)),0)</f>
        <v>0</v>
      </c>
      <c r="AA51" s="84">
        <f ca="1">IF(ISERROR(IF(ISNA(VLOOKUP($A51,Summary!$D$13:$CJ$54,COLUMNS(Summary!$D$13:$CJ$15),FALSE))=TRUE,0,VLOOKUP($A51,Summary!$D$14:$CJ$54,COLUMNS(Summary!$D$13:$CJ$15),FALSE))/T51),0,IF(ISNA(VLOOKUP($A51,Summary!$C$13:$CJ$54,COLUMNS(Summary!$D$13:$CJ$15)))=TRUE,0,VLOOKUP($A51,Summary!$D$13:$CJ$54,COLUMNS(Summary!$D$13:$CJ$15)))/T51)</f>
        <v>0</v>
      </c>
      <c r="AB51" s="72" t="str">
        <f t="shared" si="13"/>
        <v/>
      </c>
      <c r="AC51" s="83">
        <f t="shared" ca="1" si="14"/>
        <v>0</v>
      </c>
      <c r="AE51" s="83">
        <f t="shared" si="6"/>
        <v>0</v>
      </c>
      <c r="AF51" s="70">
        <f t="shared" ca="1" si="7"/>
        <v>0</v>
      </c>
      <c r="AG51" s="83"/>
    </row>
    <row r="52" spans="1:33" hidden="1" outlineLevel="1" x14ac:dyDescent="0.25">
      <c r="A52" s="67">
        <f t="shared" si="32"/>
        <v>0</v>
      </c>
      <c r="B52" s="68">
        <f t="shared" si="8"/>
        <v>0</v>
      </c>
      <c r="C52" s="68">
        <f t="shared" si="16"/>
        <v>0</v>
      </c>
      <c r="D52" s="68">
        <f t="shared" si="1"/>
        <v>0</v>
      </c>
      <c r="E52" s="66">
        <f t="shared" si="17"/>
        <v>0</v>
      </c>
      <c r="F52" s="66"/>
      <c r="G52" s="66">
        <f t="shared" si="30"/>
        <v>0</v>
      </c>
      <c r="H52" s="66">
        <f t="shared" si="18"/>
        <v>0</v>
      </c>
      <c r="I52" s="66">
        <f t="shared" si="19"/>
        <v>0</v>
      </c>
      <c r="J52" s="153">
        <f>MAX(MIN(IF(MONTH($A52)=PRIN_MATURITY,IF(ISNA(VLOOKUP(DATE(YEAR($A52),PRIN_MATURITY,PRIN_MATURITY_DAY_SUB),Summary!$D$12:$CJ$57,COLUMNS(Summary!$D$12:$CJ$12))),0,VLOOKUP(DATE(YEAR($A52),PRIN_MATURITY,PRIN_MATURITY_DAY_SUB),Summary!$D$12:$CJ$57,COLUMNS(Summary!$D$12:$CJ$12))),0),$I52),0)</f>
        <v>0</v>
      </c>
      <c r="K52" s="66">
        <f t="shared" ca="1" si="31"/>
        <v>0</v>
      </c>
      <c r="L52" s="154">
        <f t="shared" ca="1" si="3"/>
        <v>0</v>
      </c>
      <c r="M52" s="66">
        <f ca="1">M51+K52-L52</f>
        <v>0</v>
      </c>
      <c r="N52" s="66">
        <f t="shared" ca="1" si="4"/>
        <v>0</v>
      </c>
      <c r="O52" s="66">
        <f t="shared" ca="1" si="10"/>
        <v>0</v>
      </c>
      <c r="P52" s="70">
        <f t="shared" ca="1" si="11"/>
        <v>0</v>
      </c>
      <c r="Q52" s="66"/>
      <c r="R52" s="85"/>
      <c r="S52" s="66">
        <f t="shared" ca="1" si="5"/>
        <v>0</v>
      </c>
      <c r="T52" s="70">
        <f t="shared" ca="1" si="12"/>
        <v>0</v>
      </c>
      <c r="U52" s="70">
        <f ca="1">$G$97-SUM($G$11:G52)</f>
        <v>0</v>
      </c>
      <c r="W52" s="68">
        <f t="shared" si="20"/>
        <v>0</v>
      </c>
      <c r="Z52" s="83">
        <f>IF(MONTH($A52)=PRIN_MATURITY,IF(ISNA(VLOOKUP(DATE(YEAR($A52),PRIN_MATURITY,PRIN_MATURITY_DAY_SENIOR),Summary!$D$14:$CJ$56,COLUMNS(Summary!$D$13:$CJ$15),FALSE))=TRUE,0,VLOOKUP(DATE(YEAR($A52),PRIN_MATURITY,PRIN_MATURITY_DAY_SENIOR),Summary!$D$13:$CJ$56,COLUMNS(Summary!$D$13:$CJ$15),FALSE)),0)</f>
        <v>0</v>
      </c>
      <c r="AA52" s="84">
        <f ca="1">IF(ISERROR(IF(ISNA(VLOOKUP($A52,Summary!$D$13:$CJ$54,COLUMNS(Summary!$D$13:$CJ$15),FALSE))=TRUE,0,VLOOKUP($A52,Summary!$D$14:$CJ$54,COLUMNS(Summary!$D$13:$CJ$15),FALSE))/T52),0,IF(ISNA(VLOOKUP($A52,Summary!$C$13:$CJ$54,COLUMNS(Summary!$D$13:$CJ$15)))=TRUE,0,VLOOKUP($A52,Summary!$D$13:$CJ$54,COLUMNS(Summary!$D$13:$CJ$15)))/T52)</f>
        <v>0</v>
      </c>
      <c r="AB52" s="72" t="str">
        <f t="shared" si="13"/>
        <v/>
      </c>
      <c r="AC52" s="83">
        <f t="shared" ca="1" si="14"/>
        <v>0</v>
      </c>
      <c r="AE52" s="83">
        <f t="shared" si="6"/>
        <v>0</v>
      </c>
      <c r="AF52" s="70">
        <f t="shared" ca="1" si="7"/>
        <v>0</v>
      </c>
      <c r="AG52" s="83"/>
    </row>
    <row r="53" spans="1:33" hidden="1" outlineLevel="1" x14ac:dyDescent="0.25">
      <c r="A53" s="67">
        <f t="shared" si="32"/>
        <v>0</v>
      </c>
      <c r="B53" s="68">
        <f t="shared" si="8"/>
        <v>0</v>
      </c>
      <c r="C53" s="68">
        <f t="shared" si="16"/>
        <v>0</v>
      </c>
      <c r="D53" s="68">
        <f t="shared" si="1"/>
        <v>0</v>
      </c>
      <c r="E53" s="66">
        <f t="shared" si="17"/>
        <v>0</v>
      </c>
      <c r="F53" s="66"/>
      <c r="G53" s="66">
        <f t="shared" si="30"/>
        <v>0</v>
      </c>
      <c r="H53" s="66">
        <f t="shared" si="18"/>
        <v>0</v>
      </c>
      <c r="I53" s="66">
        <f t="shared" si="19"/>
        <v>0</v>
      </c>
      <c r="J53" s="153">
        <f>MAX(MIN(IF(MONTH($A53)=PRIN_MATURITY,IF(ISNA(VLOOKUP(DATE(YEAR($A53),PRIN_MATURITY,PRIN_MATURITY_DAY_SUB),Summary!$D$12:$CJ$57,COLUMNS(Summary!$D$12:$CJ$12))),0,VLOOKUP(DATE(YEAR($A53),PRIN_MATURITY,PRIN_MATURITY_DAY_SUB),Summary!$D$12:$CJ$57,COLUMNS(Summary!$D$12:$CJ$12))),0),$I53),0)</f>
        <v>0</v>
      </c>
      <c r="K53" s="66">
        <f t="shared" ca="1" si="31"/>
        <v>0</v>
      </c>
      <c r="L53" s="154">
        <f t="shared" ca="1" si="3"/>
        <v>0</v>
      </c>
      <c r="M53" s="66">
        <f t="shared" ref="M53:M95" ca="1" si="34">M52+K53-L53</f>
        <v>0</v>
      </c>
      <c r="N53" s="66">
        <f t="shared" ca="1" si="4"/>
        <v>0</v>
      </c>
      <c r="O53" s="66">
        <f t="shared" ca="1" si="10"/>
        <v>0</v>
      </c>
      <c r="P53" s="70">
        <f t="shared" ca="1" si="11"/>
        <v>0</v>
      </c>
      <c r="Q53" s="66"/>
      <c r="R53" s="85"/>
      <c r="S53" s="66">
        <f t="shared" ca="1" si="5"/>
        <v>0</v>
      </c>
      <c r="T53" s="70">
        <f t="shared" ca="1" si="12"/>
        <v>0</v>
      </c>
      <c r="U53" s="70">
        <f ca="1">$G$97-SUM($G$11:G53)</f>
        <v>0</v>
      </c>
      <c r="W53" s="68">
        <f t="shared" si="20"/>
        <v>0</v>
      </c>
      <c r="Z53" s="83">
        <f>IF(MONTH($A53)=PRIN_MATURITY,IF(ISNA(VLOOKUP(DATE(YEAR($A53),PRIN_MATURITY,PRIN_MATURITY_DAY_SENIOR),Summary!$D$14:$CJ$56,COLUMNS(Summary!$D$13:$CJ$15),FALSE))=TRUE,0,VLOOKUP(DATE(YEAR($A53),PRIN_MATURITY,PRIN_MATURITY_DAY_SENIOR),Summary!$D$13:$CJ$56,COLUMNS(Summary!$D$13:$CJ$15),FALSE)),0)</f>
        <v>0</v>
      </c>
      <c r="AA53" s="84">
        <f ca="1">IF(ISERROR(IF(ISNA(VLOOKUP($A53,Summary!$D$13:$CJ$54,COLUMNS(Summary!$D$13:$CJ$15),FALSE))=TRUE,0,VLOOKUP($A53,Summary!$D$14:$CJ$54,COLUMNS(Summary!$D$13:$CJ$15),FALSE))/T53),0,IF(ISNA(VLOOKUP($A53,Summary!$C$13:$CJ$54,COLUMNS(Summary!$D$13:$CJ$15)))=TRUE,0,VLOOKUP($A53,Summary!$D$13:$CJ$54,COLUMNS(Summary!$D$13:$CJ$15)))/T53)</f>
        <v>0</v>
      </c>
      <c r="AB53" s="72" t="str">
        <f t="shared" si="13"/>
        <v/>
      </c>
      <c r="AC53" s="83">
        <f t="shared" ca="1" si="14"/>
        <v>0</v>
      </c>
      <c r="AE53" s="83">
        <f t="shared" si="6"/>
        <v>0</v>
      </c>
      <c r="AF53" s="70">
        <f t="shared" ca="1" si="7"/>
        <v>0</v>
      </c>
      <c r="AG53" s="83"/>
    </row>
    <row r="54" spans="1:33" hidden="1" outlineLevel="1" x14ac:dyDescent="0.25">
      <c r="A54" s="67">
        <f t="shared" si="32"/>
        <v>0</v>
      </c>
      <c r="B54" s="68">
        <f t="shared" si="8"/>
        <v>0</v>
      </c>
      <c r="C54" s="68">
        <f t="shared" si="16"/>
        <v>0</v>
      </c>
      <c r="D54" s="68">
        <f t="shared" si="1"/>
        <v>0</v>
      </c>
      <c r="E54" s="66">
        <f t="shared" si="17"/>
        <v>0</v>
      </c>
      <c r="F54" s="66"/>
      <c r="G54" s="66">
        <f t="shared" si="30"/>
        <v>0</v>
      </c>
      <c r="H54" s="66">
        <f t="shared" si="18"/>
        <v>0</v>
      </c>
      <c r="I54" s="66">
        <f t="shared" si="19"/>
        <v>0</v>
      </c>
      <c r="J54" s="153">
        <f>MAX(MIN(IF(MONTH($A54)=PRIN_MATURITY,IF(ISNA(VLOOKUP(DATE(YEAR($A54),PRIN_MATURITY,PRIN_MATURITY_DAY_SUB),Summary!$D$12:$CJ$57,COLUMNS(Summary!$D$12:$CJ$12))),0,VLOOKUP(DATE(YEAR($A54),PRIN_MATURITY,PRIN_MATURITY_DAY_SUB),Summary!$D$12:$CJ$57,COLUMNS(Summary!$D$12:$CJ$12))),0),$I54),0)</f>
        <v>0</v>
      </c>
      <c r="K54" s="66">
        <f t="shared" ca="1" si="31"/>
        <v>0</v>
      </c>
      <c r="L54" s="154">
        <f t="shared" ca="1" si="3"/>
        <v>0</v>
      </c>
      <c r="M54" s="66">
        <f t="shared" ca="1" si="34"/>
        <v>0</v>
      </c>
      <c r="N54" s="66">
        <f t="shared" ca="1" si="4"/>
        <v>0</v>
      </c>
      <c r="O54" s="66">
        <f t="shared" ca="1" si="10"/>
        <v>0</v>
      </c>
      <c r="P54" s="70">
        <f t="shared" ca="1" si="11"/>
        <v>0</v>
      </c>
      <c r="Q54" s="66"/>
      <c r="R54" s="85"/>
      <c r="S54" s="66">
        <f t="shared" ca="1" si="5"/>
        <v>0</v>
      </c>
      <c r="T54" s="70">
        <f t="shared" ca="1" si="12"/>
        <v>0</v>
      </c>
      <c r="U54" s="70">
        <f ca="1">$G$97-SUM($G$11:G54)</f>
        <v>0</v>
      </c>
      <c r="W54" s="68">
        <f t="shared" si="20"/>
        <v>0</v>
      </c>
      <c r="Z54" s="83">
        <f>IF(MONTH($A54)=PRIN_MATURITY,IF(ISNA(VLOOKUP(DATE(YEAR($A54),PRIN_MATURITY,PRIN_MATURITY_DAY_SENIOR),Summary!$D$14:$CJ$56,COLUMNS(Summary!$D$13:$CJ$15),FALSE))=TRUE,0,VLOOKUP(DATE(YEAR($A54),PRIN_MATURITY,PRIN_MATURITY_DAY_SENIOR),Summary!$D$13:$CJ$56,COLUMNS(Summary!$D$13:$CJ$15),FALSE)),0)</f>
        <v>0</v>
      </c>
      <c r="AA54" s="84">
        <f ca="1">IF(ISERROR(IF(ISNA(VLOOKUP($A54,Summary!$D$13:$CJ$54,COLUMNS(Summary!$D$13:$CJ$15),FALSE))=TRUE,0,VLOOKUP($A54,Summary!$D$14:$CJ$54,COLUMNS(Summary!$D$13:$CJ$15),FALSE))/T54),0,IF(ISNA(VLOOKUP($A54,Summary!$C$13:$CJ$54,COLUMNS(Summary!$D$13:$CJ$15)))=TRUE,0,VLOOKUP($A54,Summary!$D$13:$CJ$54,COLUMNS(Summary!$D$13:$CJ$15)))/T54)</f>
        <v>0</v>
      </c>
      <c r="AB54" s="72" t="str">
        <f t="shared" si="13"/>
        <v/>
      </c>
      <c r="AC54" s="83">
        <f t="shared" ca="1" si="14"/>
        <v>0</v>
      </c>
      <c r="AE54" s="83">
        <f t="shared" si="6"/>
        <v>0</v>
      </c>
      <c r="AF54" s="70">
        <f t="shared" ca="1" si="7"/>
        <v>0</v>
      </c>
      <c r="AG54" s="83"/>
    </row>
    <row r="55" spans="1:33" hidden="1" outlineLevel="1" x14ac:dyDescent="0.25">
      <c r="A55" s="67">
        <f t="shared" si="32"/>
        <v>0</v>
      </c>
      <c r="B55" s="68">
        <f t="shared" si="8"/>
        <v>0</v>
      </c>
      <c r="C55" s="68">
        <f t="shared" si="16"/>
        <v>0</v>
      </c>
      <c r="D55" s="68">
        <f t="shared" si="1"/>
        <v>0</v>
      </c>
      <c r="E55" s="66">
        <f t="shared" si="17"/>
        <v>0</v>
      </c>
      <c r="F55" s="66"/>
      <c r="G55" s="66">
        <f t="shared" si="30"/>
        <v>0</v>
      </c>
      <c r="H55" s="66">
        <f t="shared" si="18"/>
        <v>0</v>
      </c>
      <c r="I55" s="66">
        <f t="shared" si="19"/>
        <v>0</v>
      </c>
      <c r="J55" s="153">
        <f>MAX(MIN(IF(MONTH($A55)=PRIN_MATURITY,IF(ISNA(VLOOKUP(DATE(YEAR($A55),PRIN_MATURITY,PRIN_MATURITY_DAY_SUB),Summary!$D$12:$CJ$57,COLUMNS(Summary!$D$12:$CJ$12))),0,VLOOKUP(DATE(YEAR($A55),PRIN_MATURITY,PRIN_MATURITY_DAY_SUB),Summary!$D$12:$CJ$57,COLUMNS(Summary!$D$12:$CJ$12))),0),$I55),0)</f>
        <v>0</v>
      </c>
      <c r="K55" s="66">
        <f t="shared" ca="1" si="31"/>
        <v>0</v>
      </c>
      <c r="L55" s="154">
        <f t="shared" ca="1" si="3"/>
        <v>0</v>
      </c>
      <c r="M55" s="66">
        <f t="shared" ca="1" si="34"/>
        <v>0</v>
      </c>
      <c r="N55" s="66">
        <f t="shared" ca="1" si="4"/>
        <v>0</v>
      </c>
      <c r="O55" s="66">
        <f t="shared" ca="1" si="10"/>
        <v>0</v>
      </c>
      <c r="P55" s="70">
        <f t="shared" ca="1" si="11"/>
        <v>0</v>
      </c>
      <c r="Q55" s="66"/>
      <c r="R55" s="85"/>
      <c r="S55" s="66">
        <f t="shared" ca="1" si="5"/>
        <v>0</v>
      </c>
      <c r="T55" s="70">
        <f t="shared" ca="1" si="12"/>
        <v>0</v>
      </c>
      <c r="U55" s="70">
        <f ca="1">$G$97-SUM($G$11:G55)</f>
        <v>0</v>
      </c>
      <c r="W55" s="68">
        <f t="shared" si="20"/>
        <v>0</v>
      </c>
      <c r="Z55" s="83">
        <f>IF(MONTH($A55)=PRIN_MATURITY,IF(ISNA(VLOOKUP(DATE(YEAR($A55),PRIN_MATURITY,PRIN_MATURITY_DAY_SENIOR),Summary!$D$14:$CJ$56,COLUMNS(Summary!$D$13:$CJ$15),FALSE))=TRUE,0,VLOOKUP(DATE(YEAR($A55),PRIN_MATURITY,PRIN_MATURITY_DAY_SENIOR),Summary!$D$13:$CJ$56,COLUMNS(Summary!$D$13:$CJ$15),FALSE)),0)</f>
        <v>0</v>
      </c>
      <c r="AA55" s="84">
        <f ca="1">IF(ISERROR(IF(ISNA(VLOOKUP($A55,Summary!$D$13:$CJ$54,COLUMNS(Summary!$D$13:$CJ$15),FALSE))=TRUE,0,VLOOKUP($A55,Summary!$D$14:$CJ$54,COLUMNS(Summary!$D$13:$CJ$15),FALSE))/T55),0,IF(ISNA(VLOOKUP($A55,Summary!$C$13:$CJ$54,COLUMNS(Summary!$D$13:$CJ$15)))=TRUE,0,VLOOKUP($A55,Summary!$D$13:$CJ$54,COLUMNS(Summary!$D$13:$CJ$15)))/T55)</f>
        <v>0</v>
      </c>
      <c r="AB55" s="72" t="str">
        <f t="shared" si="13"/>
        <v/>
      </c>
      <c r="AC55" s="83">
        <f t="shared" ca="1" si="14"/>
        <v>0</v>
      </c>
      <c r="AE55" s="83">
        <f t="shared" si="6"/>
        <v>0</v>
      </c>
      <c r="AF55" s="70">
        <f t="shared" ca="1" si="7"/>
        <v>0</v>
      </c>
      <c r="AG55" s="83"/>
    </row>
    <row r="56" spans="1:33" hidden="1" outlineLevel="1" x14ac:dyDescent="0.25">
      <c r="A56" s="67">
        <f t="shared" si="32"/>
        <v>0</v>
      </c>
      <c r="B56" s="68">
        <f t="shared" si="8"/>
        <v>0</v>
      </c>
      <c r="C56" s="68">
        <f t="shared" si="16"/>
        <v>0</v>
      </c>
      <c r="D56" s="68">
        <f t="shared" si="1"/>
        <v>0</v>
      </c>
      <c r="E56" s="66">
        <f t="shared" si="17"/>
        <v>0</v>
      </c>
      <c r="F56" s="66"/>
      <c r="G56" s="66">
        <f t="shared" si="30"/>
        <v>0</v>
      </c>
      <c r="H56" s="66">
        <f t="shared" si="18"/>
        <v>0</v>
      </c>
      <c r="I56" s="66">
        <f t="shared" si="19"/>
        <v>0</v>
      </c>
      <c r="J56" s="153">
        <f>MAX(MIN(IF(MONTH($A56)=PRIN_MATURITY,IF(ISNA(VLOOKUP(DATE(YEAR($A56),PRIN_MATURITY,PRIN_MATURITY_DAY_SUB),Summary!$D$12:$CJ$57,COLUMNS(Summary!$D$12:$CJ$12))),0,VLOOKUP(DATE(YEAR($A56),PRIN_MATURITY,PRIN_MATURITY_DAY_SUB),Summary!$D$12:$CJ$57,COLUMNS(Summary!$D$12:$CJ$12))),0),$I56),0)</f>
        <v>0</v>
      </c>
      <c r="K56" s="66">
        <f t="shared" ca="1" si="31"/>
        <v>0</v>
      </c>
      <c r="L56" s="154">
        <f t="shared" ca="1" si="3"/>
        <v>0</v>
      </c>
      <c r="M56" s="66">
        <f t="shared" ca="1" si="34"/>
        <v>0</v>
      </c>
      <c r="N56" s="66">
        <f t="shared" ca="1" si="4"/>
        <v>0</v>
      </c>
      <c r="O56" s="66">
        <f t="shared" ca="1" si="10"/>
        <v>0</v>
      </c>
      <c r="P56" s="70">
        <f t="shared" ca="1" si="11"/>
        <v>0</v>
      </c>
      <c r="Q56" s="66"/>
      <c r="R56" s="85"/>
      <c r="S56" s="66">
        <f t="shared" ca="1" si="5"/>
        <v>0</v>
      </c>
      <c r="T56" s="70">
        <f t="shared" ca="1" si="12"/>
        <v>0</v>
      </c>
      <c r="U56" s="70">
        <f ca="1">$G$97-SUM($G$11:G56)</f>
        <v>0</v>
      </c>
      <c r="W56" s="68">
        <f t="shared" si="20"/>
        <v>0</v>
      </c>
      <c r="Z56" s="83">
        <f>IF(MONTH($A56)=PRIN_MATURITY,IF(ISNA(VLOOKUP(DATE(YEAR($A56),PRIN_MATURITY,PRIN_MATURITY_DAY_SENIOR),Summary!$D$14:$CJ$56,COLUMNS(Summary!$D$13:$CJ$15),FALSE))=TRUE,0,VLOOKUP(DATE(YEAR($A56),PRIN_MATURITY,PRIN_MATURITY_DAY_SENIOR),Summary!$D$13:$CJ$56,COLUMNS(Summary!$D$13:$CJ$15),FALSE)),0)</f>
        <v>0</v>
      </c>
      <c r="AA56" s="84">
        <f ca="1">IF(ISERROR(IF(ISNA(VLOOKUP($A56,Summary!$D$13:$CJ$54,COLUMNS(Summary!$D$13:$CJ$15),FALSE))=TRUE,0,VLOOKUP($A56,Summary!$D$14:$CJ$54,COLUMNS(Summary!$D$13:$CJ$15),FALSE))/T56),0,IF(ISNA(VLOOKUP($A56,Summary!$C$13:$CJ$54,COLUMNS(Summary!$D$13:$CJ$15)))=TRUE,0,VLOOKUP($A56,Summary!$D$13:$CJ$54,COLUMNS(Summary!$D$13:$CJ$15)))/T56)</f>
        <v>0</v>
      </c>
      <c r="AB56" s="72" t="str">
        <f t="shared" si="13"/>
        <v/>
      </c>
      <c r="AC56" s="83">
        <f t="shared" ca="1" si="14"/>
        <v>0</v>
      </c>
      <c r="AE56" s="83">
        <f t="shared" si="6"/>
        <v>0</v>
      </c>
      <c r="AF56" s="70">
        <f t="shared" ca="1" si="7"/>
        <v>0</v>
      </c>
      <c r="AG56" s="83"/>
    </row>
    <row r="57" spans="1:33" hidden="1" outlineLevel="1" x14ac:dyDescent="0.25">
      <c r="A57" s="67">
        <f t="shared" si="32"/>
        <v>0</v>
      </c>
      <c r="B57" s="68">
        <f t="shared" si="8"/>
        <v>0</v>
      </c>
      <c r="C57" s="68">
        <f t="shared" si="16"/>
        <v>0</v>
      </c>
      <c r="D57" s="68">
        <f t="shared" si="1"/>
        <v>0</v>
      </c>
      <c r="E57" s="66">
        <f t="shared" si="17"/>
        <v>0</v>
      </c>
      <c r="F57" s="66"/>
      <c r="G57" s="66">
        <f t="shared" si="30"/>
        <v>0</v>
      </c>
      <c r="H57" s="66">
        <f t="shared" si="18"/>
        <v>0</v>
      </c>
      <c r="I57" s="66">
        <f t="shared" si="19"/>
        <v>0</v>
      </c>
      <c r="J57" s="153">
        <f>MAX(MIN(IF(MONTH($A57)=PRIN_MATURITY,IF(ISNA(VLOOKUP(DATE(YEAR($A57),PRIN_MATURITY,PRIN_MATURITY_DAY_SUB),Summary!$D$12:$CJ$57,COLUMNS(Summary!$D$12:$CJ$12))),0,VLOOKUP(DATE(YEAR($A57),PRIN_MATURITY,PRIN_MATURITY_DAY_SUB),Summary!$D$12:$CJ$57,COLUMNS(Summary!$D$12:$CJ$12))),0),$I57),0)</f>
        <v>0</v>
      </c>
      <c r="K57" s="66">
        <f t="shared" ca="1" si="31"/>
        <v>0</v>
      </c>
      <c r="L57" s="154">
        <f t="shared" ca="1" si="3"/>
        <v>0</v>
      </c>
      <c r="M57" s="66">
        <f t="shared" ca="1" si="34"/>
        <v>0</v>
      </c>
      <c r="N57" s="66">
        <f t="shared" ca="1" si="4"/>
        <v>0</v>
      </c>
      <c r="O57" s="66">
        <f t="shared" ca="1" si="10"/>
        <v>0</v>
      </c>
      <c r="P57" s="70">
        <f t="shared" ca="1" si="11"/>
        <v>0</v>
      </c>
      <c r="Q57" s="66"/>
      <c r="R57" s="85"/>
      <c r="S57" s="66">
        <f t="shared" ca="1" si="5"/>
        <v>0</v>
      </c>
      <c r="T57" s="70">
        <f t="shared" ca="1" si="12"/>
        <v>0</v>
      </c>
      <c r="U57" s="70">
        <f ca="1">$G$97-SUM($G$11:G57)</f>
        <v>0</v>
      </c>
      <c r="W57" s="68">
        <f t="shared" si="20"/>
        <v>0</v>
      </c>
      <c r="Z57" s="83">
        <f>IF(MONTH($A57)=PRIN_MATURITY,IF(ISNA(VLOOKUP(DATE(YEAR($A57),PRIN_MATURITY,PRIN_MATURITY_DAY_SENIOR),Summary!$D$14:$CJ$56,COLUMNS(Summary!$D$13:$CJ$15),FALSE))=TRUE,0,VLOOKUP(DATE(YEAR($A57),PRIN_MATURITY,PRIN_MATURITY_DAY_SENIOR),Summary!$D$13:$CJ$56,COLUMNS(Summary!$D$13:$CJ$15),FALSE)),0)</f>
        <v>0</v>
      </c>
      <c r="AA57" s="84">
        <f ca="1">IF(ISERROR(IF(ISNA(VLOOKUP($A57,Summary!$D$13:$CJ$54,COLUMNS(Summary!$D$13:$CJ$15),FALSE))=TRUE,0,VLOOKUP($A57,Summary!$D$14:$CJ$54,COLUMNS(Summary!$D$13:$CJ$15),FALSE))/T57),0,IF(ISNA(VLOOKUP($A57,Summary!$C$13:$CJ$54,COLUMNS(Summary!$D$13:$CJ$15)))=TRUE,0,VLOOKUP($A57,Summary!$D$13:$CJ$54,COLUMNS(Summary!$D$13:$CJ$15)))/T57)</f>
        <v>0</v>
      </c>
      <c r="AB57" s="72" t="str">
        <f t="shared" si="13"/>
        <v/>
      </c>
      <c r="AC57" s="83">
        <f t="shared" ca="1" si="14"/>
        <v>0</v>
      </c>
      <c r="AE57" s="83">
        <f t="shared" si="6"/>
        <v>0</v>
      </c>
      <c r="AF57" s="70">
        <f t="shared" ca="1" si="7"/>
        <v>0</v>
      </c>
      <c r="AG57" s="83"/>
    </row>
    <row r="58" spans="1:33" hidden="1" outlineLevel="1" x14ac:dyDescent="0.25">
      <c r="A58" s="67">
        <f t="shared" si="32"/>
        <v>0</v>
      </c>
      <c r="B58" s="68">
        <f t="shared" si="8"/>
        <v>0</v>
      </c>
      <c r="C58" s="68">
        <f t="shared" si="16"/>
        <v>0</v>
      </c>
      <c r="D58" s="68">
        <f t="shared" si="1"/>
        <v>0</v>
      </c>
      <c r="E58" s="66">
        <f t="shared" si="17"/>
        <v>0</v>
      </c>
      <c r="F58" s="66"/>
      <c r="G58" s="66">
        <f t="shared" si="30"/>
        <v>0</v>
      </c>
      <c r="H58" s="66">
        <f t="shared" si="18"/>
        <v>0</v>
      </c>
      <c r="I58" s="66">
        <f t="shared" si="19"/>
        <v>0</v>
      </c>
      <c r="J58" s="153">
        <f>MAX(MIN(IF(MONTH($A58)=PRIN_MATURITY,IF(ISNA(VLOOKUP(DATE(YEAR($A58),PRIN_MATURITY,PRIN_MATURITY_DAY_SUB),Summary!$D$12:$CJ$57,COLUMNS(Summary!$D$12:$CJ$12))),0,VLOOKUP(DATE(YEAR($A58),PRIN_MATURITY,PRIN_MATURITY_DAY_SUB),Summary!$D$12:$CJ$57,COLUMNS(Summary!$D$12:$CJ$12))),0),$I58),0)</f>
        <v>0</v>
      </c>
      <c r="K58" s="66">
        <f t="shared" ca="1" si="31"/>
        <v>0</v>
      </c>
      <c r="L58" s="154">
        <f t="shared" ca="1" si="3"/>
        <v>0</v>
      </c>
      <c r="M58" s="66">
        <f t="shared" ca="1" si="34"/>
        <v>0</v>
      </c>
      <c r="N58" s="66">
        <f t="shared" ca="1" si="4"/>
        <v>0</v>
      </c>
      <c r="O58" s="66">
        <f t="shared" ca="1" si="10"/>
        <v>0</v>
      </c>
      <c r="P58" s="70">
        <f t="shared" ca="1" si="11"/>
        <v>0</v>
      </c>
      <c r="Q58" s="66"/>
      <c r="R58" s="85"/>
      <c r="S58" s="66">
        <f t="shared" ca="1" si="5"/>
        <v>0</v>
      </c>
      <c r="T58" s="70">
        <f t="shared" ca="1" si="12"/>
        <v>0</v>
      </c>
      <c r="U58" s="70">
        <f ca="1">$G$97-SUM($G$11:G58)</f>
        <v>0</v>
      </c>
      <c r="W58" s="68">
        <f t="shared" si="20"/>
        <v>0</v>
      </c>
      <c r="Z58" s="83">
        <f>IF(MONTH($A58)=PRIN_MATURITY,IF(ISNA(VLOOKUP(DATE(YEAR($A58),PRIN_MATURITY,PRIN_MATURITY_DAY_SENIOR),Summary!$D$14:$CJ$56,COLUMNS(Summary!$D$13:$CJ$15),FALSE))=TRUE,0,VLOOKUP(DATE(YEAR($A58),PRIN_MATURITY,PRIN_MATURITY_DAY_SENIOR),Summary!$D$13:$CJ$56,COLUMNS(Summary!$D$13:$CJ$15),FALSE)),0)</f>
        <v>0</v>
      </c>
      <c r="AA58" s="84">
        <f ca="1">IF(ISERROR(IF(ISNA(VLOOKUP($A58,Summary!$D$13:$CJ$54,COLUMNS(Summary!$D$13:$CJ$15),FALSE))=TRUE,0,VLOOKUP($A58,Summary!$D$14:$CJ$54,COLUMNS(Summary!$D$13:$CJ$15),FALSE))/T58),0,IF(ISNA(VLOOKUP($A58,Summary!$C$13:$CJ$54,COLUMNS(Summary!$D$13:$CJ$15)))=TRUE,0,VLOOKUP($A58,Summary!$D$13:$CJ$54,COLUMNS(Summary!$D$13:$CJ$15)))/T58)</f>
        <v>0</v>
      </c>
      <c r="AB58" s="72" t="str">
        <f t="shared" si="13"/>
        <v/>
      </c>
      <c r="AC58" s="83">
        <f t="shared" ca="1" si="14"/>
        <v>0</v>
      </c>
      <c r="AE58" s="83">
        <f t="shared" si="6"/>
        <v>0</v>
      </c>
      <c r="AF58" s="70">
        <f t="shared" ca="1" si="7"/>
        <v>0</v>
      </c>
      <c r="AG58" s="83"/>
    </row>
    <row r="59" spans="1:33" hidden="1" outlineLevel="1" x14ac:dyDescent="0.25">
      <c r="A59" s="67">
        <f t="shared" si="32"/>
        <v>0</v>
      </c>
      <c r="B59" s="68">
        <f t="shared" si="8"/>
        <v>0</v>
      </c>
      <c r="C59" s="68">
        <f t="shared" si="16"/>
        <v>0</v>
      </c>
      <c r="D59" s="68">
        <f t="shared" si="1"/>
        <v>0</v>
      </c>
      <c r="E59" s="66">
        <f t="shared" si="17"/>
        <v>0</v>
      </c>
      <c r="F59" s="66"/>
      <c r="G59" s="66">
        <f t="shared" si="30"/>
        <v>0</v>
      </c>
      <c r="H59" s="66">
        <f t="shared" si="18"/>
        <v>0</v>
      </c>
      <c r="I59" s="66">
        <f t="shared" si="19"/>
        <v>0</v>
      </c>
      <c r="J59" s="153">
        <f>MAX(MIN(IF(MONTH($A59)=PRIN_MATURITY,IF(ISNA(VLOOKUP(DATE(YEAR($A59),PRIN_MATURITY,PRIN_MATURITY_DAY_SUB),Summary!$D$12:$CJ$57,COLUMNS(Summary!$D$12:$CJ$12))),0,VLOOKUP(DATE(YEAR($A59),PRIN_MATURITY,PRIN_MATURITY_DAY_SUB),Summary!$D$12:$CJ$57,COLUMNS(Summary!$D$12:$CJ$12))),0),$I59),0)</f>
        <v>0</v>
      </c>
      <c r="K59" s="66">
        <f t="shared" ca="1" si="31"/>
        <v>0</v>
      </c>
      <c r="L59" s="154">
        <f t="shared" ca="1" si="3"/>
        <v>0</v>
      </c>
      <c r="M59" s="66">
        <f t="shared" ca="1" si="34"/>
        <v>0</v>
      </c>
      <c r="N59" s="66">
        <f t="shared" ca="1" si="4"/>
        <v>0</v>
      </c>
      <c r="O59" s="66">
        <f t="shared" ca="1" si="10"/>
        <v>0</v>
      </c>
      <c r="P59" s="70">
        <f t="shared" ca="1" si="11"/>
        <v>0</v>
      </c>
      <c r="Q59" s="66"/>
      <c r="R59" s="85"/>
      <c r="S59" s="66">
        <f t="shared" ca="1" si="5"/>
        <v>0</v>
      </c>
      <c r="T59" s="70">
        <f t="shared" ca="1" si="12"/>
        <v>0</v>
      </c>
      <c r="U59" s="70">
        <f ca="1">$G$97-SUM($G$11:G59)</f>
        <v>0</v>
      </c>
      <c r="W59" s="68">
        <f t="shared" si="20"/>
        <v>0</v>
      </c>
      <c r="Z59" s="83">
        <f>IF(MONTH($A59)=PRIN_MATURITY,IF(ISNA(VLOOKUP(DATE(YEAR($A59),PRIN_MATURITY,PRIN_MATURITY_DAY_SENIOR),Summary!$D$14:$CJ$56,COLUMNS(Summary!$D$13:$CJ$15),FALSE))=TRUE,0,VLOOKUP(DATE(YEAR($A59),PRIN_MATURITY,PRIN_MATURITY_DAY_SENIOR),Summary!$D$13:$CJ$56,COLUMNS(Summary!$D$13:$CJ$15),FALSE)),0)</f>
        <v>0</v>
      </c>
      <c r="AA59" s="84">
        <f ca="1">IF(ISERROR(IF(ISNA(VLOOKUP($A59,Summary!$D$13:$CJ$54,COLUMNS(Summary!$D$13:$CJ$15),FALSE))=TRUE,0,VLOOKUP($A59,Summary!$D$14:$CJ$54,COLUMNS(Summary!$D$13:$CJ$15),FALSE))/T59),0,IF(ISNA(VLOOKUP($A59,Summary!$C$13:$CJ$54,COLUMNS(Summary!$D$13:$CJ$15)))=TRUE,0,VLOOKUP($A59,Summary!$D$13:$CJ$54,COLUMNS(Summary!$D$13:$CJ$15)))/T59)</f>
        <v>0</v>
      </c>
      <c r="AB59" s="72" t="str">
        <f t="shared" si="13"/>
        <v/>
      </c>
      <c r="AC59" s="83">
        <f t="shared" ca="1" si="14"/>
        <v>0</v>
      </c>
      <c r="AE59" s="83">
        <f t="shared" si="6"/>
        <v>0</v>
      </c>
      <c r="AF59" s="70">
        <f t="shared" ca="1" si="7"/>
        <v>0</v>
      </c>
      <c r="AG59" s="83"/>
    </row>
    <row r="60" spans="1:33" hidden="1" outlineLevel="1" x14ac:dyDescent="0.25">
      <c r="A60" s="67">
        <f t="shared" si="32"/>
        <v>0</v>
      </c>
      <c r="B60" s="68">
        <f t="shared" si="8"/>
        <v>0</v>
      </c>
      <c r="C60" s="68">
        <f t="shared" si="16"/>
        <v>0</v>
      </c>
      <c r="D60" s="68">
        <f t="shared" si="1"/>
        <v>0</v>
      </c>
      <c r="E60" s="66">
        <f t="shared" si="17"/>
        <v>0</v>
      </c>
      <c r="F60" s="66"/>
      <c r="G60" s="66">
        <f t="shared" si="30"/>
        <v>0</v>
      </c>
      <c r="H60" s="66">
        <f t="shared" si="18"/>
        <v>0</v>
      </c>
      <c r="I60" s="66">
        <f t="shared" si="19"/>
        <v>0</v>
      </c>
      <c r="J60" s="153">
        <f>MAX(MIN(IF(MONTH($A60)=PRIN_MATURITY,IF(ISNA(VLOOKUP(DATE(YEAR($A60),PRIN_MATURITY,PRIN_MATURITY_DAY_SUB),Summary!$D$12:$CJ$57,COLUMNS(Summary!$D$12:$CJ$12))),0,VLOOKUP(DATE(YEAR($A60),PRIN_MATURITY,PRIN_MATURITY_DAY_SUB),Summary!$D$12:$CJ$57,COLUMNS(Summary!$D$12:$CJ$12))),0),$I60),0)</f>
        <v>0</v>
      </c>
      <c r="K60" s="66">
        <f t="shared" ca="1" si="31"/>
        <v>0</v>
      </c>
      <c r="L60" s="154">
        <f t="shared" ca="1" si="3"/>
        <v>0</v>
      </c>
      <c r="M60" s="66">
        <f t="shared" ca="1" si="34"/>
        <v>0</v>
      </c>
      <c r="N60" s="66">
        <f t="shared" ca="1" si="4"/>
        <v>0</v>
      </c>
      <c r="O60" s="66">
        <f t="shared" ca="1" si="10"/>
        <v>0</v>
      </c>
      <c r="P60" s="70">
        <f t="shared" ca="1" si="11"/>
        <v>0</v>
      </c>
      <c r="Q60" s="66"/>
      <c r="R60" s="85"/>
      <c r="S60" s="66">
        <f t="shared" ca="1" si="5"/>
        <v>0</v>
      </c>
      <c r="T60" s="70">
        <f t="shared" ca="1" si="12"/>
        <v>0</v>
      </c>
      <c r="U60" s="70">
        <f ca="1">$G$97-SUM($G$11:G60)</f>
        <v>0</v>
      </c>
      <c r="W60" s="68">
        <f t="shared" si="20"/>
        <v>0</v>
      </c>
      <c r="Z60" s="83">
        <f>IF(MONTH($A60)=PRIN_MATURITY,IF(ISNA(VLOOKUP(DATE(YEAR($A60),PRIN_MATURITY,PRIN_MATURITY_DAY_SENIOR),Summary!$D$14:$CJ$56,COLUMNS(Summary!$D$13:$CJ$15),FALSE))=TRUE,0,VLOOKUP(DATE(YEAR($A60),PRIN_MATURITY,PRIN_MATURITY_DAY_SENIOR),Summary!$D$13:$CJ$56,COLUMNS(Summary!$D$13:$CJ$15),FALSE)),0)</f>
        <v>0</v>
      </c>
      <c r="AA60" s="84">
        <f ca="1">IF(ISERROR(IF(ISNA(VLOOKUP($A60,Summary!$D$13:$CJ$54,COLUMNS(Summary!$D$13:$CJ$15),FALSE))=TRUE,0,VLOOKUP($A60,Summary!$D$14:$CJ$54,COLUMNS(Summary!$D$13:$CJ$15),FALSE))/T60),0,IF(ISNA(VLOOKUP($A60,Summary!$C$13:$CJ$54,COLUMNS(Summary!$D$13:$CJ$15)))=TRUE,0,VLOOKUP($A60,Summary!$D$13:$CJ$54,COLUMNS(Summary!$D$13:$CJ$15)))/T60)</f>
        <v>0</v>
      </c>
      <c r="AB60" s="72" t="str">
        <f t="shared" si="13"/>
        <v/>
      </c>
      <c r="AC60" s="83">
        <f t="shared" ca="1" si="14"/>
        <v>0</v>
      </c>
      <c r="AE60" s="83">
        <f t="shared" si="6"/>
        <v>0</v>
      </c>
      <c r="AF60" s="70">
        <f t="shared" ca="1" si="7"/>
        <v>0</v>
      </c>
      <c r="AG60" s="83"/>
    </row>
    <row r="61" spans="1:33" hidden="1" outlineLevel="1" x14ac:dyDescent="0.25">
      <c r="A61" s="67">
        <f t="shared" si="32"/>
        <v>0</v>
      </c>
      <c r="B61" s="68">
        <f t="shared" si="8"/>
        <v>0</v>
      </c>
      <c r="C61" s="68">
        <f t="shared" si="16"/>
        <v>0</v>
      </c>
      <c r="D61" s="68">
        <f t="shared" si="1"/>
        <v>0</v>
      </c>
      <c r="E61" s="66">
        <f t="shared" si="17"/>
        <v>0</v>
      </c>
      <c r="F61" s="66"/>
      <c r="G61" s="66">
        <f t="shared" si="30"/>
        <v>0</v>
      </c>
      <c r="H61" s="66">
        <f t="shared" si="18"/>
        <v>0</v>
      </c>
      <c r="I61" s="66">
        <f t="shared" si="19"/>
        <v>0</v>
      </c>
      <c r="J61" s="153">
        <f>MAX(MIN(IF(MONTH($A61)=PRIN_MATURITY,IF(ISNA(VLOOKUP(DATE(YEAR($A61),PRIN_MATURITY,PRIN_MATURITY_DAY_SUB),Summary!$D$12:$CJ$57,COLUMNS(Summary!$D$12:$CJ$12))),0,VLOOKUP(DATE(YEAR($A61),PRIN_MATURITY,PRIN_MATURITY_DAY_SUB),Summary!$D$12:$CJ$57,COLUMNS(Summary!$D$12:$CJ$12))),0),$I61),0)</f>
        <v>0</v>
      </c>
      <c r="K61" s="66">
        <f t="shared" ca="1" si="31"/>
        <v>0</v>
      </c>
      <c r="L61" s="154">
        <f t="shared" ca="1" si="3"/>
        <v>0</v>
      </c>
      <c r="M61" s="66">
        <f t="shared" ca="1" si="34"/>
        <v>0</v>
      </c>
      <c r="N61" s="66">
        <f t="shared" ca="1" si="4"/>
        <v>0</v>
      </c>
      <c r="O61" s="66">
        <f t="shared" ca="1" si="10"/>
        <v>0</v>
      </c>
      <c r="P61" s="70">
        <f t="shared" ca="1" si="11"/>
        <v>0</v>
      </c>
      <c r="Q61" s="66"/>
      <c r="R61" s="85"/>
      <c r="S61" s="66">
        <f t="shared" ca="1" si="5"/>
        <v>0</v>
      </c>
      <c r="T61" s="70">
        <f t="shared" ca="1" si="12"/>
        <v>0</v>
      </c>
      <c r="U61" s="70">
        <f ca="1">$G$97-SUM($G$11:G61)</f>
        <v>0</v>
      </c>
      <c r="W61" s="68">
        <f t="shared" si="20"/>
        <v>0</v>
      </c>
      <c r="Z61" s="83">
        <f>IF(MONTH($A61)=PRIN_MATURITY,IF(ISNA(VLOOKUP(DATE(YEAR($A61),PRIN_MATURITY,PRIN_MATURITY_DAY_SENIOR),Summary!$D$14:$CJ$56,COLUMNS(Summary!$D$13:$CJ$15),FALSE))=TRUE,0,VLOOKUP(DATE(YEAR($A61),PRIN_MATURITY,PRIN_MATURITY_DAY_SENIOR),Summary!$D$13:$CJ$56,COLUMNS(Summary!$D$13:$CJ$15),FALSE)),0)</f>
        <v>0</v>
      </c>
      <c r="AA61" s="84">
        <f ca="1">IF(ISERROR(IF(ISNA(VLOOKUP($A61,Summary!$D$13:$CJ$54,COLUMNS(Summary!$D$13:$CJ$15),FALSE))=TRUE,0,VLOOKUP($A61,Summary!$D$14:$CJ$54,COLUMNS(Summary!$D$13:$CJ$15),FALSE))/T61),0,IF(ISNA(VLOOKUP($A61,Summary!$C$13:$CJ$54,COLUMNS(Summary!$D$13:$CJ$15)))=TRUE,0,VLOOKUP($A61,Summary!$D$13:$CJ$54,COLUMNS(Summary!$D$13:$CJ$15)))/T61)</f>
        <v>0</v>
      </c>
      <c r="AB61" s="72" t="str">
        <f t="shared" si="13"/>
        <v/>
      </c>
      <c r="AC61" s="83">
        <f t="shared" ca="1" si="14"/>
        <v>0</v>
      </c>
      <c r="AE61" s="83">
        <f t="shared" si="6"/>
        <v>0</v>
      </c>
      <c r="AF61" s="70">
        <f t="shared" ca="1" si="7"/>
        <v>0</v>
      </c>
      <c r="AG61" s="83"/>
    </row>
    <row r="62" spans="1:33" hidden="1" outlineLevel="1" x14ac:dyDescent="0.25">
      <c r="A62" s="67">
        <f t="shared" si="32"/>
        <v>0</v>
      </c>
      <c r="B62" s="68">
        <f t="shared" si="8"/>
        <v>0</v>
      </c>
      <c r="C62" s="68">
        <f t="shared" si="16"/>
        <v>0</v>
      </c>
      <c r="D62" s="68">
        <f t="shared" si="1"/>
        <v>0</v>
      </c>
      <c r="E62" s="66">
        <f t="shared" si="17"/>
        <v>0</v>
      </c>
      <c r="F62" s="66"/>
      <c r="G62" s="66">
        <f t="shared" si="30"/>
        <v>0</v>
      </c>
      <c r="H62" s="66">
        <f t="shared" si="18"/>
        <v>0</v>
      </c>
      <c r="I62" s="66">
        <f t="shared" si="19"/>
        <v>0</v>
      </c>
      <c r="J62" s="153">
        <f>MAX(MIN(IF(MONTH($A62)=PRIN_MATURITY,IF(ISNA(VLOOKUP(DATE(YEAR($A62),PRIN_MATURITY,PRIN_MATURITY_DAY_SUB),Summary!$D$12:$CJ$57,COLUMNS(Summary!$D$12:$CJ$12))),0,VLOOKUP(DATE(YEAR($A62),PRIN_MATURITY,PRIN_MATURITY_DAY_SUB),Summary!$D$12:$CJ$57,COLUMNS(Summary!$D$12:$CJ$12))),0),$I62),0)</f>
        <v>0</v>
      </c>
      <c r="K62" s="66">
        <f t="shared" ca="1" si="31"/>
        <v>0</v>
      </c>
      <c r="L62" s="154">
        <f t="shared" ca="1" si="3"/>
        <v>0</v>
      </c>
      <c r="M62" s="66">
        <f t="shared" ca="1" si="34"/>
        <v>0</v>
      </c>
      <c r="N62" s="66">
        <f t="shared" ca="1" si="4"/>
        <v>0</v>
      </c>
      <c r="O62" s="66">
        <f t="shared" ca="1" si="10"/>
        <v>0</v>
      </c>
      <c r="P62" s="70">
        <f t="shared" ca="1" si="11"/>
        <v>0</v>
      </c>
      <c r="Q62" s="66"/>
      <c r="R62" s="85"/>
      <c r="S62" s="66">
        <f t="shared" ca="1" si="5"/>
        <v>0</v>
      </c>
      <c r="T62" s="70">
        <f t="shared" ca="1" si="12"/>
        <v>0</v>
      </c>
      <c r="U62" s="70">
        <f ca="1">$G$97-SUM($G$11:G62)</f>
        <v>0</v>
      </c>
      <c r="W62" s="68">
        <f t="shared" si="20"/>
        <v>0</v>
      </c>
      <c r="Z62" s="83">
        <f>IF(MONTH($A62)=PRIN_MATURITY,IF(ISNA(VLOOKUP(DATE(YEAR($A62),PRIN_MATURITY,PRIN_MATURITY_DAY_SENIOR),Summary!$D$14:$CJ$56,COLUMNS(Summary!$D$13:$CJ$15),FALSE))=TRUE,0,VLOOKUP(DATE(YEAR($A62),PRIN_MATURITY,PRIN_MATURITY_DAY_SENIOR),Summary!$D$13:$CJ$56,COLUMNS(Summary!$D$13:$CJ$15),FALSE)),0)</f>
        <v>0</v>
      </c>
      <c r="AA62" s="84">
        <f ca="1">IF(ISERROR(IF(ISNA(VLOOKUP($A62,Summary!$D$13:$CJ$54,COLUMNS(Summary!$D$13:$CJ$15),FALSE))=TRUE,0,VLOOKUP($A62,Summary!$D$14:$CJ$54,COLUMNS(Summary!$D$13:$CJ$15),FALSE))/T62),0,IF(ISNA(VLOOKUP($A62,Summary!$C$13:$CJ$54,COLUMNS(Summary!$D$13:$CJ$15)))=TRUE,0,VLOOKUP($A62,Summary!$D$13:$CJ$54,COLUMNS(Summary!$D$13:$CJ$15)))/T62)</f>
        <v>0</v>
      </c>
      <c r="AB62" s="72" t="str">
        <f t="shared" si="13"/>
        <v/>
      </c>
      <c r="AC62" s="83">
        <f t="shared" ca="1" si="14"/>
        <v>0</v>
      </c>
      <c r="AE62" s="83">
        <f t="shared" si="6"/>
        <v>0</v>
      </c>
      <c r="AF62" s="70">
        <f t="shared" ca="1" si="7"/>
        <v>0</v>
      </c>
      <c r="AG62" s="83"/>
    </row>
    <row r="63" spans="1:33" hidden="1" outlineLevel="1" x14ac:dyDescent="0.25">
      <c r="A63" s="67">
        <f t="shared" si="32"/>
        <v>0</v>
      </c>
      <c r="B63" s="68">
        <f t="shared" si="8"/>
        <v>0</v>
      </c>
      <c r="C63" s="68">
        <f t="shared" si="16"/>
        <v>0</v>
      </c>
      <c r="D63" s="68">
        <f t="shared" si="1"/>
        <v>0</v>
      </c>
      <c r="E63" s="66">
        <f t="shared" si="17"/>
        <v>0</v>
      </c>
      <c r="F63" s="66"/>
      <c r="G63" s="66">
        <f t="shared" si="30"/>
        <v>0</v>
      </c>
      <c r="H63" s="66">
        <f t="shared" si="18"/>
        <v>0</v>
      </c>
      <c r="I63" s="66">
        <f t="shared" si="19"/>
        <v>0</v>
      </c>
      <c r="J63" s="153">
        <f>MAX(MIN(IF(MONTH($A63)=PRIN_MATURITY,IF(ISNA(VLOOKUP(DATE(YEAR($A63),PRIN_MATURITY,PRIN_MATURITY_DAY_SUB),Summary!$D$12:$CJ$57,COLUMNS(Summary!$D$12:$CJ$12))),0,VLOOKUP(DATE(YEAR($A63),PRIN_MATURITY,PRIN_MATURITY_DAY_SUB),Summary!$D$12:$CJ$57,COLUMNS(Summary!$D$12:$CJ$12))),0),$I63),0)</f>
        <v>0</v>
      </c>
      <c r="K63" s="66">
        <f t="shared" ca="1" si="31"/>
        <v>0</v>
      </c>
      <c r="L63" s="154">
        <f t="shared" ca="1" si="3"/>
        <v>0</v>
      </c>
      <c r="M63" s="66">
        <f t="shared" ca="1" si="34"/>
        <v>0</v>
      </c>
      <c r="N63" s="66">
        <f t="shared" ca="1" si="4"/>
        <v>0</v>
      </c>
      <c r="O63" s="66">
        <f t="shared" ca="1" si="10"/>
        <v>0</v>
      </c>
      <c r="P63" s="70">
        <f t="shared" ca="1" si="11"/>
        <v>0</v>
      </c>
      <c r="Q63" s="66"/>
      <c r="R63" s="85"/>
      <c r="S63" s="66">
        <f t="shared" ca="1" si="5"/>
        <v>0</v>
      </c>
      <c r="T63" s="70">
        <f t="shared" ca="1" si="12"/>
        <v>0</v>
      </c>
      <c r="U63" s="70">
        <f ca="1">$G$97-SUM($G$11:G63)</f>
        <v>0</v>
      </c>
      <c r="W63" s="68">
        <f t="shared" si="20"/>
        <v>0</v>
      </c>
      <c r="Z63" s="83">
        <f>IF(MONTH($A63)=PRIN_MATURITY,IF(ISNA(VLOOKUP(DATE(YEAR($A63),PRIN_MATURITY,PRIN_MATURITY_DAY_SENIOR),Summary!$D$14:$CJ$56,COLUMNS(Summary!$D$13:$CJ$15),FALSE))=TRUE,0,VLOOKUP(DATE(YEAR($A63),PRIN_MATURITY,PRIN_MATURITY_DAY_SENIOR),Summary!$D$13:$CJ$56,COLUMNS(Summary!$D$13:$CJ$15),FALSE)),0)</f>
        <v>0</v>
      </c>
      <c r="AA63" s="84">
        <f ca="1">IF(ISERROR(IF(ISNA(VLOOKUP($A63,Summary!$D$13:$CJ$54,COLUMNS(Summary!$D$13:$CJ$15),FALSE))=TRUE,0,VLOOKUP($A63,Summary!$D$14:$CJ$54,COLUMNS(Summary!$D$13:$CJ$15),FALSE))/T63),0,IF(ISNA(VLOOKUP($A63,Summary!$C$13:$CJ$54,COLUMNS(Summary!$D$13:$CJ$15)))=TRUE,0,VLOOKUP($A63,Summary!$D$13:$CJ$54,COLUMNS(Summary!$D$13:$CJ$15)))/T63)</f>
        <v>0</v>
      </c>
      <c r="AB63" s="72" t="str">
        <f t="shared" si="13"/>
        <v/>
      </c>
      <c r="AC63" s="83">
        <f t="shared" ca="1" si="14"/>
        <v>0</v>
      </c>
      <c r="AE63" s="83">
        <f t="shared" si="6"/>
        <v>0</v>
      </c>
      <c r="AF63" s="70">
        <f t="shared" ca="1" si="7"/>
        <v>0</v>
      </c>
      <c r="AG63" s="83"/>
    </row>
    <row r="64" spans="1:33" hidden="1" outlineLevel="1" x14ac:dyDescent="0.25">
      <c r="A64" s="67">
        <f t="shared" si="32"/>
        <v>0</v>
      </c>
      <c r="B64" s="68">
        <f t="shared" si="8"/>
        <v>0</v>
      </c>
      <c r="C64" s="68">
        <f t="shared" si="16"/>
        <v>0</v>
      </c>
      <c r="D64" s="68">
        <f t="shared" si="1"/>
        <v>0</v>
      </c>
      <c r="E64" s="66">
        <f t="shared" si="17"/>
        <v>0</v>
      </c>
      <c r="F64" s="66"/>
      <c r="G64" s="66">
        <f t="shared" si="30"/>
        <v>0</v>
      </c>
      <c r="H64" s="66">
        <f t="shared" si="18"/>
        <v>0</v>
      </c>
      <c r="I64" s="66">
        <f t="shared" si="19"/>
        <v>0</v>
      </c>
      <c r="J64" s="153">
        <f>MAX(MIN(IF(MONTH($A64)=PRIN_MATURITY,IF(ISNA(VLOOKUP(DATE(YEAR($A64),PRIN_MATURITY,PRIN_MATURITY_DAY_SUB),Summary!$D$12:$CJ$57,COLUMNS(Summary!$D$12:$CJ$12))),0,VLOOKUP(DATE(YEAR($A64),PRIN_MATURITY,PRIN_MATURITY_DAY_SUB),Summary!$D$12:$CJ$57,COLUMNS(Summary!$D$12:$CJ$12))),0),$I64),0)</f>
        <v>0</v>
      </c>
      <c r="K64" s="66">
        <f t="shared" ca="1" si="31"/>
        <v>0</v>
      </c>
      <c r="L64" s="154">
        <f t="shared" ca="1" si="3"/>
        <v>0</v>
      </c>
      <c r="M64" s="66">
        <f t="shared" ca="1" si="34"/>
        <v>0</v>
      </c>
      <c r="N64" s="66">
        <f t="shared" ca="1" si="4"/>
        <v>0</v>
      </c>
      <c r="O64" s="66">
        <f t="shared" ca="1" si="10"/>
        <v>0</v>
      </c>
      <c r="P64" s="70">
        <f t="shared" ca="1" si="11"/>
        <v>0</v>
      </c>
      <c r="Q64" s="66"/>
      <c r="R64" s="85"/>
      <c r="S64" s="66">
        <f t="shared" ca="1" si="5"/>
        <v>0</v>
      </c>
      <c r="T64" s="70">
        <f t="shared" ca="1" si="12"/>
        <v>0</v>
      </c>
      <c r="U64" s="70">
        <f ca="1">$G$97-SUM($G$11:G64)</f>
        <v>0</v>
      </c>
      <c r="W64" s="68">
        <f t="shared" si="20"/>
        <v>0</v>
      </c>
      <c r="Z64" s="83">
        <f>IF(MONTH($A64)=PRIN_MATURITY,IF(ISNA(VLOOKUP(DATE(YEAR($A64),PRIN_MATURITY,PRIN_MATURITY_DAY_SENIOR),Summary!$D$14:$CJ$56,COLUMNS(Summary!$D$13:$CJ$15),FALSE))=TRUE,0,VLOOKUP(DATE(YEAR($A64),PRIN_MATURITY,PRIN_MATURITY_DAY_SENIOR),Summary!$D$13:$CJ$56,COLUMNS(Summary!$D$13:$CJ$15),FALSE)),0)</f>
        <v>0</v>
      </c>
      <c r="AA64" s="84">
        <f ca="1">IF(ISERROR(IF(ISNA(VLOOKUP($A64,Summary!$D$13:$CJ$54,COLUMNS(Summary!$D$13:$CJ$15),FALSE))=TRUE,0,VLOOKUP($A64,Summary!$D$14:$CJ$54,COLUMNS(Summary!$D$13:$CJ$15),FALSE))/T64),0,IF(ISNA(VLOOKUP($A64,Summary!$C$13:$CJ$54,COLUMNS(Summary!$D$13:$CJ$15)))=TRUE,0,VLOOKUP($A64,Summary!$D$13:$CJ$54,COLUMNS(Summary!$D$13:$CJ$15)))/T64)</f>
        <v>0</v>
      </c>
      <c r="AB64" s="72" t="str">
        <f t="shared" si="13"/>
        <v/>
      </c>
      <c r="AC64" s="83">
        <f t="shared" ca="1" si="14"/>
        <v>0</v>
      </c>
      <c r="AE64" s="83">
        <f t="shared" si="6"/>
        <v>0</v>
      </c>
      <c r="AF64" s="70">
        <f t="shared" ca="1" si="7"/>
        <v>0</v>
      </c>
      <c r="AG64" s="83"/>
    </row>
    <row r="65" spans="1:33" hidden="1" outlineLevel="1" x14ac:dyDescent="0.25">
      <c r="A65" s="67">
        <f t="shared" si="32"/>
        <v>0</v>
      </c>
      <c r="B65" s="68">
        <f t="shared" si="8"/>
        <v>0</v>
      </c>
      <c r="C65" s="68">
        <f t="shared" si="16"/>
        <v>0</v>
      </c>
      <c r="D65" s="68">
        <f t="shared" si="1"/>
        <v>0</v>
      </c>
      <c r="E65" s="66">
        <f t="shared" si="17"/>
        <v>0</v>
      </c>
      <c r="F65" s="66"/>
      <c r="G65" s="66">
        <f t="shared" si="30"/>
        <v>0</v>
      </c>
      <c r="H65" s="66">
        <f t="shared" si="18"/>
        <v>0</v>
      </c>
      <c r="I65" s="66">
        <f t="shared" si="19"/>
        <v>0</v>
      </c>
      <c r="J65" s="153">
        <f>MAX(MIN(IF(MONTH($A65)=PRIN_MATURITY,IF(ISNA(VLOOKUP(DATE(YEAR($A65),PRIN_MATURITY,PRIN_MATURITY_DAY_SUB),Summary!$D$12:$CJ$57,COLUMNS(Summary!$D$12:$CJ$12))),0,VLOOKUP(DATE(YEAR($A65),PRIN_MATURITY,PRIN_MATURITY_DAY_SUB),Summary!$D$12:$CJ$57,COLUMNS(Summary!$D$12:$CJ$12))),0),$I65),0)</f>
        <v>0</v>
      </c>
      <c r="K65" s="66">
        <f t="shared" ca="1" si="31"/>
        <v>0</v>
      </c>
      <c r="L65" s="154">
        <f t="shared" ca="1" si="3"/>
        <v>0</v>
      </c>
      <c r="M65" s="66">
        <f t="shared" ca="1" si="34"/>
        <v>0</v>
      </c>
      <c r="N65" s="66">
        <f t="shared" ca="1" si="4"/>
        <v>0</v>
      </c>
      <c r="O65" s="66">
        <f t="shared" ca="1" si="10"/>
        <v>0</v>
      </c>
      <c r="P65" s="70">
        <f t="shared" ca="1" si="11"/>
        <v>0</v>
      </c>
      <c r="Q65" s="66"/>
      <c r="R65" s="85"/>
      <c r="S65" s="66">
        <f t="shared" ca="1" si="5"/>
        <v>0</v>
      </c>
      <c r="T65" s="70">
        <f t="shared" ca="1" si="12"/>
        <v>0</v>
      </c>
      <c r="U65" s="70">
        <f ca="1">$G$97-SUM($G$11:G65)</f>
        <v>0</v>
      </c>
      <c r="W65" s="68">
        <f t="shared" si="20"/>
        <v>0</v>
      </c>
      <c r="Z65" s="83">
        <f>IF(MONTH($A65)=PRIN_MATURITY,IF(ISNA(VLOOKUP(DATE(YEAR($A65),PRIN_MATURITY,PRIN_MATURITY_DAY_SENIOR),Summary!$D$14:$CJ$56,COLUMNS(Summary!$D$13:$CJ$15),FALSE))=TRUE,0,VLOOKUP(DATE(YEAR($A65),PRIN_MATURITY,PRIN_MATURITY_DAY_SENIOR),Summary!$D$13:$CJ$56,COLUMNS(Summary!$D$13:$CJ$15),FALSE)),0)</f>
        <v>0</v>
      </c>
      <c r="AA65" s="84">
        <f ca="1">IF(ISERROR(IF(ISNA(VLOOKUP($A65,Summary!$D$13:$CJ$54,COLUMNS(Summary!$D$13:$CJ$15),FALSE))=TRUE,0,VLOOKUP($A65,Summary!$D$14:$CJ$54,COLUMNS(Summary!$D$13:$CJ$15),FALSE))/T65),0,IF(ISNA(VLOOKUP($A65,Summary!$C$13:$CJ$54,COLUMNS(Summary!$D$13:$CJ$15)))=TRUE,0,VLOOKUP($A65,Summary!$D$13:$CJ$54,COLUMNS(Summary!$D$13:$CJ$15)))/T65)</f>
        <v>0</v>
      </c>
      <c r="AB65" s="72" t="str">
        <f t="shared" si="13"/>
        <v/>
      </c>
      <c r="AC65" s="83">
        <f t="shared" ca="1" si="14"/>
        <v>0</v>
      </c>
      <c r="AE65" s="83">
        <f t="shared" si="6"/>
        <v>0</v>
      </c>
      <c r="AF65" s="70">
        <f t="shared" ca="1" si="7"/>
        <v>0</v>
      </c>
      <c r="AG65" s="83"/>
    </row>
    <row r="66" spans="1:33" hidden="1" outlineLevel="1" x14ac:dyDescent="0.25">
      <c r="A66" s="67">
        <f t="shared" si="32"/>
        <v>0</v>
      </c>
      <c r="B66" s="68">
        <f t="shared" si="8"/>
        <v>0</v>
      </c>
      <c r="C66" s="68">
        <f t="shared" si="16"/>
        <v>0</v>
      </c>
      <c r="D66" s="68">
        <f t="shared" si="1"/>
        <v>0</v>
      </c>
      <c r="E66" s="66">
        <f t="shared" si="17"/>
        <v>0</v>
      </c>
      <c r="F66" s="66"/>
      <c r="G66" s="66">
        <f t="shared" si="30"/>
        <v>0</v>
      </c>
      <c r="H66" s="66">
        <f t="shared" si="18"/>
        <v>0</v>
      </c>
      <c r="I66" s="66">
        <f t="shared" si="19"/>
        <v>0</v>
      </c>
      <c r="J66" s="153">
        <f>MAX(MIN(IF(MONTH($A66)=PRIN_MATURITY,IF(ISNA(VLOOKUP(DATE(YEAR($A66),PRIN_MATURITY,PRIN_MATURITY_DAY_SUB),Summary!$D$12:$CJ$57,COLUMNS(Summary!$D$12:$CJ$12))),0,VLOOKUP(DATE(YEAR($A66),PRIN_MATURITY,PRIN_MATURITY_DAY_SUB),Summary!$D$12:$CJ$57,COLUMNS(Summary!$D$12:$CJ$12))),0),$I66),0)</f>
        <v>0</v>
      </c>
      <c r="K66" s="66">
        <f t="shared" ca="1" si="31"/>
        <v>0</v>
      </c>
      <c r="L66" s="154">
        <f t="shared" ca="1" si="3"/>
        <v>0</v>
      </c>
      <c r="M66" s="66">
        <f t="shared" ca="1" si="34"/>
        <v>0</v>
      </c>
      <c r="N66" s="66">
        <f t="shared" ca="1" si="4"/>
        <v>0</v>
      </c>
      <c r="O66" s="66">
        <f t="shared" ca="1" si="10"/>
        <v>0</v>
      </c>
      <c r="P66" s="70">
        <f t="shared" ca="1" si="11"/>
        <v>0</v>
      </c>
      <c r="Q66" s="66"/>
      <c r="R66" s="85"/>
      <c r="S66" s="66">
        <f t="shared" ca="1" si="5"/>
        <v>0</v>
      </c>
      <c r="T66" s="70">
        <f t="shared" ca="1" si="12"/>
        <v>0</v>
      </c>
      <c r="U66" s="70">
        <f ca="1">$G$97-SUM($G$11:G66)</f>
        <v>0</v>
      </c>
      <c r="W66" s="68">
        <f t="shared" si="20"/>
        <v>0</v>
      </c>
      <c r="Z66" s="83">
        <f>IF(MONTH($A66)=PRIN_MATURITY,IF(ISNA(VLOOKUP(DATE(YEAR($A66),PRIN_MATURITY,PRIN_MATURITY_DAY_SENIOR),Summary!$D$14:$CJ$56,COLUMNS(Summary!$D$13:$CJ$15),FALSE))=TRUE,0,VLOOKUP(DATE(YEAR($A66),PRIN_MATURITY,PRIN_MATURITY_DAY_SENIOR),Summary!$D$13:$CJ$56,COLUMNS(Summary!$D$13:$CJ$15),FALSE)),0)</f>
        <v>0</v>
      </c>
      <c r="AA66" s="84">
        <f ca="1">IF(ISERROR(IF(ISNA(VLOOKUP($A66,Summary!$D$13:$CJ$54,COLUMNS(Summary!$D$13:$CJ$15),FALSE))=TRUE,0,VLOOKUP($A66,Summary!$D$14:$CJ$54,COLUMNS(Summary!$D$13:$CJ$15),FALSE))/T66),0,IF(ISNA(VLOOKUP($A66,Summary!$C$13:$CJ$54,COLUMNS(Summary!$D$13:$CJ$15)))=TRUE,0,VLOOKUP($A66,Summary!$D$13:$CJ$54,COLUMNS(Summary!$D$13:$CJ$15)))/T66)</f>
        <v>0</v>
      </c>
      <c r="AB66" s="72" t="str">
        <f t="shared" si="13"/>
        <v/>
      </c>
      <c r="AC66" s="83">
        <f t="shared" ca="1" si="14"/>
        <v>0</v>
      </c>
      <c r="AE66" s="83">
        <f t="shared" si="6"/>
        <v>0</v>
      </c>
      <c r="AF66" s="70">
        <f t="shared" ca="1" si="7"/>
        <v>0</v>
      </c>
      <c r="AG66" s="83"/>
    </row>
    <row r="67" spans="1:33" hidden="1" outlineLevel="1" x14ac:dyDescent="0.25">
      <c r="A67" s="67">
        <f t="shared" si="32"/>
        <v>0</v>
      </c>
      <c r="B67" s="68">
        <f t="shared" si="8"/>
        <v>0</v>
      </c>
      <c r="C67" s="68">
        <f t="shared" si="16"/>
        <v>0</v>
      </c>
      <c r="D67" s="68">
        <f t="shared" si="1"/>
        <v>0</v>
      </c>
      <c r="E67" s="66">
        <f t="shared" si="17"/>
        <v>0</v>
      </c>
      <c r="F67" s="66"/>
      <c r="G67" s="66">
        <f t="shared" si="30"/>
        <v>0</v>
      </c>
      <c r="H67" s="66">
        <f t="shared" si="18"/>
        <v>0</v>
      </c>
      <c r="I67" s="66">
        <f t="shared" si="19"/>
        <v>0</v>
      </c>
      <c r="J67" s="153">
        <f>MAX(MIN(IF(MONTH($A67)=PRIN_MATURITY,IF(ISNA(VLOOKUP(DATE(YEAR($A67),PRIN_MATURITY,PRIN_MATURITY_DAY_SUB),Summary!$D$12:$CJ$57,COLUMNS(Summary!$D$12:$CJ$12))),0,VLOOKUP(DATE(YEAR($A67),PRIN_MATURITY,PRIN_MATURITY_DAY_SUB),Summary!$D$12:$CJ$57,COLUMNS(Summary!$D$12:$CJ$12))),0),$I67),0)</f>
        <v>0</v>
      </c>
      <c r="K67" s="66">
        <f t="shared" ca="1" si="31"/>
        <v>0</v>
      </c>
      <c r="L67" s="154">
        <f t="shared" ca="1" si="3"/>
        <v>0</v>
      </c>
      <c r="M67" s="66">
        <f t="shared" ca="1" si="34"/>
        <v>0</v>
      </c>
      <c r="N67" s="66">
        <f t="shared" ca="1" si="4"/>
        <v>0</v>
      </c>
      <c r="O67" s="66">
        <f t="shared" ca="1" si="10"/>
        <v>0</v>
      </c>
      <c r="P67" s="70">
        <f t="shared" ca="1" si="11"/>
        <v>0</v>
      </c>
      <c r="Q67" s="66"/>
      <c r="R67" s="85"/>
      <c r="S67" s="66">
        <f t="shared" ca="1" si="5"/>
        <v>0</v>
      </c>
      <c r="T67" s="70">
        <f t="shared" ca="1" si="12"/>
        <v>0</v>
      </c>
      <c r="U67" s="70">
        <f ca="1">$G$97-SUM($G$11:G67)</f>
        <v>0</v>
      </c>
      <c r="W67" s="68">
        <f t="shared" si="20"/>
        <v>0</v>
      </c>
      <c r="Z67" s="83">
        <f>IF(MONTH($A67)=PRIN_MATURITY,IF(ISNA(VLOOKUP(DATE(YEAR($A67),PRIN_MATURITY,PRIN_MATURITY_DAY_SENIOR),Summary!$D$14:$CJ$56,COLUMNS(Summary!$D$13:$CJ$15),FALSE))=TRUE,0,VLOOKUP(DATE(YEAR($A67),PRIN_MATURITY,PRIN_MATURITY_DAY_SENIOR),Summary!$D$13:$CJ$56,COLUMNS(Summary!$D$13:$CJ$15),FALSE)),0)</f>
        <v>0</v>
      </c>
      <c r="AA67" s="84">
        <f ca="1">IF(ISERROR(IF(ISNA(VLOOKUP($A67,Summary!$D$13:$CJ$54,COLUMNS(Summary!$D$13:$CJ$15),FALSE))=TRUE,0,VLOOKUP($A67,Summary!$D$14:$CJ$54,COLUMNS(Summary!$D$13:$CJ$15),FALSE))/T67),0,IF(ISNA(VLOOKUP($A67,Summary!$C$13:$CJ$54,COLUMNS(Summary!$D$13:$CJ$15)))=TRUE,0,VLOOKUP($A67,Summary!$D$13:$CJ$54,COLUMNS(Summary!$D$13:$CJ$15)))/T67)</f>
        <v>0</v>
      </c>
      <c r="AB67" s="72" t="str">
        <f t="shared" si="13"/>
        <v/>
      </c>
      <c r="AC67" s="83">
        <f t="shared" ca="1" si="14"/>
        <v>0</v>
      </c>
      <c r="AE67" s="83">
        <f t="shared" si="6"/>
        <v>0</v>
      </c>
      <c r="AF67" s="70">
        <f t="shared" ca="1" si="7"/>
        <v>0</v>
      </c>
      <c r="AG67" s="83"/>
    </row>
    <row r="68" spans="1:33" hidden="1" outlineLevel="1" x14ac:dyDescent="0.25">
      <c r="A68" s="67">
        <f t="shared" si="32"/>
        <v>0</v>
      </c>
      <c r="B68" s="68">
        <f t="shared" si="8"/>
        <v>0</v>
      </c>
      <c r="C68" s="68">
        <f t="shared" si="16"/>
        <v>0</v>
      </c>
      <c r="D68" s="68">
        <f t="shared" si="1"/>
        <v>0</v>
      </c>
      <c r="E68" s="66">
        <f t="shared" si="17"/>
        <v>0</v>
      </c>
      <c r="F68" s="66"/>
      <c r="G68" s="66">
        <f t="shared" si="30"/>
        <v>0</v>
      </c>
      <c r="H68" s="66">
        <f t="shared" si="18"/>
        <v>0</v>
      </c>
      <c r="I68" s="66">
        <f t="shared" si="19"/>
        <v>0</v>
      </c>
      <c r="J68" s="153">
        <f>MAX(MIN(IF(MONTH($A68)=PRIN_MATURITY,IF(ISNA(VLOOKUP(DATE(YEAR($A68),PRIN_MATURITY,PRIN_MATURITY_DAY_SUB),Summary!$D$12:$CJ$57,COLUMNS(Summary!$D$12:$CJ$12))),0,VLOOKUP(DATE(YEAR($A68),PRIN_MATURITY,PRIN_MATURITY_DAY_SUB),Summary!$D$12:$CJ$57,COLUMNS(Summary!$D$12:$CJ$12))),0),$I68),0)</f>
        <v>0</v>
      </c>
      <c r="K68" s="66">
        <f t="shared" ca="1" si="31"/>
        <v>0</v>
      </c>
      <c r="L68" s="154">
        <f t="shared" ca="1" si="3"/>
        <v>0</v>
      </c>
      <c r="M68" s="66">
        <f t="shared" ca="1" si="34"/>
        <v>0</v>
      </c>
      <c r="N68" s="66">
        <f t="shared" ca="1" si="4"/>
        <v>0</v>
      </c>
      <c r="O68" s="66">
        <f t="shared" ca="1" si="10"/>
        <v>0</v>
      </c>
      <c r="P68" s="70">
        <f t="shared" ca="1" si="11"/>
        <v>0</v>
      </c>
      <c r="Q68" s="66"/>
      <c r="R68" s="85"/>
      <c r="S68" s="66">
        <f t="shared" ca="1" si="5"/>
        <v>0</v>
      </c>
      <c r="T68" s="70">
        <f t="shared" ca="1" si="12"/>
        <v>0</v>
      </c>
      <c r="U68" s="70">
        <f ca="1">$G$97-SUM($G$11:G68)</f>
        <v>0</v>
      </c>
      <c r="W68" s="68">
        <f t="shared" si="20"/>
        <v>0</v>
      </c>
      <c r="Z68" s="83">
        <f>IF(MONTH($A68)=PRIN_MATURITY,IF(ISNA(VLOOKUP(DATE(YEAR($A68),PRIN_MATURITY,PRIN_MATURITY_DAY_SENIOR),Summary!$D$14:$CJ$56,COLUMNS(Summary!$D$13:$CJ$15),FALSE))=TRUE,0,VLOOKUP(DATE(YEAR($A68),PRIN_MATURITY,PRIN_MATURITY_DAY_SENIOR),Summary!$D$13:$CJ$56,COLUMNS(Summary!$D$13:$CJ$15),FALSE)),0)</f>
        <v>0</v>
      </c>
      <c r="AA68" s="84">
        <f ca="1">IF(ISERROR(IF(ISNA(VLOOKUP($A68,Summary!$D$13:$CJ$54,COLUMNS(Summary!$D$13:$CJ$15),FALSE))=TRUE,0,VLOOKUP($A68,Summary!$D$14:$CJ$54,COLUMNS(Summary!$D$13:$CJ$15),FALSE))/T68),0,IF(ISNA(VLOOKUP($A68,Summary!$C$13:$CJ$54,COLUMNS(Summary!$D$13:$CJ$15)))=TRUE,0,VLOOKUP($A68,Summary!$D$13:$CJ$54,COLUMNS(Summary!$D$13:$CJ$15)))/T68)</f>
        <v>0</v>
      </c>
      <c r="AB68" s="72" t="str">
        <f t="shared" si="13"/>
        <v/>
      </c>
      <c r="AC68" s="83">
        <f t="shared" ca="1" si="14"/>
        <v>0</v>
      </c>
      <c r="AE68" s="83">
        <f t="shared" si="6"/>
        <v>0</v>
      </c>
      <c r="AF68" s="70">
        <f t="shared" ca="1" si="7"/>
        <v>0</v>
      </c>
      <c r="AG68" s="83"/>
    </row>
    <row r="69" spans="1:33" hidden="1" outlineLevel="1" x14ac:dyDescent="0.25">
      <c r="A69" s="67">
        <f t="shared" si="32"/>
        <v>0</v>
      </c>
      <c r="B69" s="68">
        <f t="shared" si="8"/>
        <v>0</v>
      </c>
      <c r="C69" s="68">
        <f t="shared" si="16"/>
        <v>0</v>
      </c>
      <c r="D69" s="68">
        <f t="shared" si="1"/>
        <v>0</v>
      </c>
      <c r="E69" s="66">
        <f t="shared" si="17"/>
        <v>0</v>
      </c>
      <c r="F69" s="66"/>
      <c r="G69" s="66">
        <f t="shared" si="30"/>
        <v>0</v>
      </c>
      <c r="H69" s="66">
        <f t="shared" si="18"/>
        <v>0</v>
      </c>
      <c r="I69" s="66">
        <f t="shared" si="19"/>
        <v>0</v>
      </c>
      <c r="J69" s="153">
        <f>MAX(MIN(IF(MONTH($A69)=PRIN_MATURITY,IF(ISNA(VLOOKUP(DATE(YEAR($A69),PRIN_MATURITY,PRIN_MATURITY_DAY_SUB),Summary!$D$12:$CJ$57,COLUMNS(Summary!$D$12:$CJ$12))),0,VLOOKUP(DATE(YEAR($A69),PRIN_MATURITY,PRIN_MATURITY_DAY_SUB),Summary!$D$12:$CJ$57,COLUMNS(Summary!$D$12:$CJ$12))),0),$I69),0)</f>
        <v>0</v>
      </c>
      <c r="K69" s="66">
        <f t="shared" ca="1" si="31"/>
        <v>0</v>
      </c>
      <c r="L69" s="154">
        <f t="shared" ca="1" si="3"/>
        <v>0</v>
      </c>
      <c r="M69" s="66">
        <f t="shared" ca="1" si="34"/>
        <v>0</v>
      </c>
      <c r="N69" s="66">
        <f t="shared" ca="1" si="4"/>
        <v>0</v>
      </c>
      <c r="O69" s="66">
        <f t="shared" ca="1" si="10"/>
        <v>0</v>
      </c>
      <c r="P69" s="70">
        <f t="shared" ca="1" si="11"/>
        <v>0</v>
      </c>
      <c r="Q69" s="66"/>
      <c r="R69" s="85"/>
      <c r="S69" s="66">
        <f t="shared" ca="1" si="5"/>
        <v>0</v>
      </c>
      <c r="T69" s="70">
        <f t="shared" ca="1" si="12"/>
        <v>0</v>
      </c>
      <c r="U69" s="70">
        <f ca="1">$G$97-SUM($G$11:G69)</f>
        <v>0</v>
      </c>
      <c r="W69" s="68">
        <f t="shared" si="20"/>
        <v>0</v>
      </c>
      <c r="Z69" s="83">
        <f>IF(MONTH($A69)=PRIN_MATURITY,IF(ISNA(VLOOKUP(DATE(YEAR($A69),PRIN_MATURITY,PRIN_MATURITY_DAY_SENIOR),Summary!$D$14:$CJ$56,COLUMNS(Summary!$D$13:$CJ$15),FALSE))=TRUE,0,VLOOKUP(DATE(YEAR($A69),PRIN_MATURITY,PRIN_MATURITY_DAY_SENIOR),Summary!$D$13:$CJ$56,COLUMNS(Summary!$D$13:$CJ$15),FALSE)),0)</f>
        <v>0</v>
      </c>
      <c r="AA69" s="84">
        <f ca="1">IF(ISERROR(IF(ISNA(VLOOKUP($A69,Summary!$D$13:$CJ$54,COLUMNS(Summary!$D$13:$CJ$15),FALSE))=TRUE,0,VLOOKUP($A69,Summary!$D$14:$CJ$54,COLUMNS(Summary!$D$13:$CJ$15),FALSE))/T69),0,IF(ISNA(VLOOKUP($A69,Summary!$C$13:$CJ$54,COLUMNS(Summary!$D$13:$CJ$15)))=TRUE,0,VLOOKUP($A69,Summary!$D$13:$CJ$54,COLUMNS(Summary!$D$13:$CJ$15)))/T69)</f>
        <v>0</v>
      </c>
      <c r="AB69" s="72" t="str">
        <f t="shared" si="13"/>
        <v/>
      </c>
      <c r="AC69" s="83">
        <f t="shared" ca="1" si="14"/>
        <v>0</v>
      </c>
      <c r="AE69" s="83">
        <f t="shared" si="6"/>
        <v>0</v>
      </c>
      <c r="AF69" s="70">
        <f t="shared" ca="1" si="7"/>
        <v>0</v>
      </c>
      <c r="AG69" s="83"/>
    </row>
    <row r="70" spans="1:33" hidden="1" outlineLevel="1" x14ac:dyDescent="0.25">
      <c r="A70" s="67">
        <f t="shared" si="32"/>
        <v>0</v>
      </c>
      <c r="B70" s="68">
        <f t="shared" si="8"/>
        <v>0</v>
      </c>
      <c r="C70" s="68">
        <f t="shared" si="16"/>
        <v>0</v>
      </c>
      <c r="D70" s="68">
        <f t="shared" si="1"/>
        <v>0</v>
      </c>
      <c r="E70" s="66">
        <f t="shared" si="17"/>
        <v>0</v>
      </c>
      <c r="F70" s="66"/>
      <c r="G70" s="66">
        <f t="shared" si="30"/>
        <v>0</v>
      </c>
      <c r="H70" s="66">
        <f t="shared" si="18"/>
        <v>0</v>
      </c>
      <c r="I70" s="66">
        <f t="shared" si="19"/>
        <v>0</v>
      </c>
      <c r="J70" s="153">
        <f>MAX(MIN(IF(MONTH($A70)=PRIN_MATURITY,IF(ISNA(VLOOKUP(DATE(YEAR($A70),PRIN_MATURITY,PRIN_MATURITY_DAY_SUB),Summary!$D$12:$CJ$57,COLUMNS(Summary!$D$12:$CJ$12))),0,VLOOKUP(DATE(YEAR($A70),PRIN_MATURITY,PRIN_MATURITY_DAY_SUB),Summary!$D$12:$CJ$57,COLUMNS(Summary!$D$12:$CJ$12))),0),$I70),0)</f>
        <v>0</v>
      </c>
      <c r="K70" s="66">
        <f t="shared" ca="1" si="31"/>
        <v>0</v>
      </c>
      <c r="L70" s="154">
        <f t="shared" ca="1" si="3"/>
        <v>0</v>
      </c>
      <c r="M70" s="66">
        <f t="shared" ca="1" si="34"/>
        <v>0</v>
      </c>
      <c r="N70" s="66">
        <f t="shared" ca="1" si="4"/>
        <v>0</v>
      </c>
      <c r="O70" s="66">
        <f t="shared" ca="1" si="10"/>
        <v>0</v>
      </c>
      <c r="P70" s="70">
        <f t="shared" ca="1" si="11"/>
        <v>0</v>
      </c>
      <c r="Q70" s="66"/>
      <c r="R70" s="85"/>
      <c r="S70" s="66">
        <f t="shared" ca="1" si="5"/>
        <v>0</v>
      </c>
      <c r="T70" s="70">
        <f t="shared" ca="1" si="12"/>
        <v>0</v>
      </c>
      <c r="U70" s="70">
        <f ca="1">$G$97-SUM($G$11:G70)</f>
        <v>0</v>
      </c>
      <c r="W70" s="68">
        <f t="shared" si="20"/>
        <v>0</v>
      </c>
      <c r="Z70" s="83">
        <f>IF(MONTH($A70)=PRIN_MATURITY,IF(ISNA(VLOOKUP(DATE(YEAR($A70),PRIN_MATURITY,PRIN_MATURITY_DAY_SENIOR),Summary!$D$14:$CJ$56,COLUMNS(Summary!$D$13:$CJ$15),FALSE))=TRUE,0,VLOOKUP(DATE(YEAR($A70),PRIN_MATURITY,PRIN_MATURITY_DAY_SENIOR),Summary!$D$13:$CJ$56,COLUMNS(Summary!$D$13:$CJ$15),FALSE)),0)</f>
        <v>0</v>
      </c>
      <c r="AA70" s="84">
        <f ca="1">IF(ISERROR(IF(ISNA(VLOOKUP($A70,Summary!$D$13:$CJ$54,COLUMNS(Summary!$D$13:$CJ$15),FALSE))=TRUE,0,VLOOKUP($A70,Summary!$D$14:$CJ$54,COLUMNS(Summary!$D$13:$CJ$15),FALSE))/T70),0,IF(ISNA(VLOOKUP($A70,Summary!$C$13:$CJ$54,COLUMNS(Summary!$D$13:$CJ$15)))=TRUE,0,VLOOKUP($A70,Summary!$D$13:$CJ$54,COLUMNS(Summary!$D$13:$CJ$15)))/T70)</f>
        <v>0</v>
      </c>
      <c r="AB70" s="72" t="str">
        <f t="shared" si="13"/>
        <v/>
      </c>
      <c r="AC70" s="83">
        <f t="shared" ca="1" si="14"/>
        <v>0</v>
      </c>
      <c r="AE70" s="83">
        <f t="shared" si="6"/>
        <v>0</v>
      </c>
      <c r="AF70" s="70">
        <f t="shared" ca="1" si="7"/>
        <v>0</v>
      </c>
      <c r="AG70" s="83"/>
    </row>
    <row r="71" spans="1:33" hidden="1" outlineLevel="1" x14ac:dyDescent="0.25">
      <c r="A71" s="67">
        <f t="shared" si="32"/>
        <v>0</v>
      </c>
      <c r="B71" s="68">
        <f t="shared" si="8"/>
        <v>0</v>
      </c>
      <c r="C71" s="68">
        <f t="shared" si="16"/>
        <v>0</v>
      </c>
      <c r="D71" s="68">
        <f t="shared" si="1"/>
        <v>0</v>
      </c>
      <c r="E71" s="66">
        <f t="shared" si="17"/>
        <v>0</v>
      </c>
      <c r="F71" s="66"/>
      <c r="G71" s="66">
        <f t="shared" si="30"/>
        <v>0</v>
      </c>
      <c r="H71" s="66">
        <f t="shared" si="18"/>
        <v>0</v>
      </c>
      <c r="I71" s="66">
        <f t="shared" si="19"/>
        <v>0</v>
      </c>
      <c r="J71" s="153">
        <f>MAX(MIN(IF(MONTH($A71)=PRIN_MATURITY,IF(ISNA(VLOOKUP(DATE(YEAR($A71),PRIN_MATURITY,PRIN_MATURITY_DAY_SUB),Summary!$D$12:$CJ$57,COLUMNS(Summary!$D$12:$CJ$12))),0,VLOOKUP(DATE(YEAR($A71),PRIN_MATURITY,PRIN_MATURITY_DAY_SUB),Summary!$D$12:$CJ$57,COLUMNS(Summary!$D$12:$CJ$12))),0),$I71),0)</f>
        <v>0</v>
      </c>
      <c r="K71" s="66">
        <f t="shared" ca="1" si="31"/>
        <v>0</v>
      </c>
      <c r="L71" s="154">
        <f t="shared" ca="1" si="3"/>
        <v>0</v>
      </c>
      <c r="M71" s="66">
        <f t="shared" ca="1" si="34"/>
        <v>0</v>
      </c>
      <c r="N71" s="66">
        <f t="shared" ca="1" si="4"/>
        <v>0</v>
      </c>
      <c r="O71" s="66">
        <f t="shared" ca="1" si="10"/>
        <v>0</v>
      </c>
      <c r="P71" s="70">
        <f t="shared" ca="1" si="11"/>
        <v>0</v>
      </c>
      <c r="Q71" s="66"/>
      <c r="R71" s="85"/>
      <c r="S71" s="66">
        <f t="shared" ca="1" si="5"/>
        <v>0</v>
      </c>
      <c r="T71" s="70">
        <f t="shared" ca="1" si="12"/>
        <v>0</v>
      </c>
      <c r="U71" s="70">
        <f ca="1">$G$97-SUM($G$11:G71)</f>
        <v>0</v>
      </c>
      <c r="W71" s="68">
        <f t="shared" si="20"/>
        <v>0</v>
      </c>
      <c r="Z71" s="83">
        <f>IF(MONTH($A71)=PRIN_MATURITY,IF(ISNA(VLOOKUP(DATE(YEAR($A71),PRIN_MATURITY,PRIN_MATURITY_DAY_SENIOR),Summary!$D$14:$CJ$56,COLUMNS(Summary!$D$13:$CJ$15),FALSE))=TRUE,0,VLOOKUP(DATE(YEAR($A71),PRIN_MATURITY,PRIN_MATURITY_DAY_SENIOR),Summary!$D$13:$CJ$56,COLUMNS(Summary!$D$13:$CJ$15),FALSE)),0)</f>
        <v>0</v>
      </c>
      <c r="AA71" s="84">
        <f ca="1">IF(ISERROR(IF(ISNA(VLOOKUP($A71,Summary!$D$13:$CJ$54,COLUMNS(Summary!$D$13:$CJ$15),FALSE))=TRUE,0,VLOOKUP($A71,Summary!$D$14:$CJ$54,COLUMNS(Summary!$D$13:$CJ$15),FALSE))/T71),0,IF(ISNA(VLOOKUP($A71,Summary!$C$13:$CJ$54,COLUMNS(Summary!$D$13:$CJ$15)))=TRUE,0,VLOOKUP($A71,Summary!$D$13:$CJ$54,COLUMNS(Summary!$D$13:$CJ$15)))/T71)</f>
        <v>0</v>
      </c>
      <c r="AB71" s="72" t="str">
        <f t="shared" si="13"/>
        <v/>
      </c>
      <c r="AC71" s="83">
        <f t="shared" ca="1" si="14"/>
        <v>0</v>
      </c>
      <c r="AE71" s="83">
        <f t="shared" si="6"/>
        <v>0</v>
      </c>
      <c r="AF71" s="70">
        <f t="shared" ca="1" si="7"/>
        <v>0</v>
      </c>
      <c r="AG71" s="83"/>
    </row>
    <row r="72" spans="1:33" hidden="1" outlineLevel="1" x14ac:dyDescent="0.25">
      <c r="A72" s="67">
        <f t="shared" si="32"/>
        <v>0</v>
      </c>
      <c r="B72" s="68">
        <f t="shared" si="8"/>
        <v>0</v>
      </c>
      <c r="C72" s="68">
        <f t="shared" si="16"/>
        <v>0</v>
      </c>
      <c r="D72" s="68">
        <f t="shared" si="1"/>
        <v>0</v>
      </c>
      <c r="E72" s="66">
        <f t="shared" si="17"/>
        <v>0</v>
      </c>
      <c r="F72" s="66"/>
      <c r="G72" s="66">
        <f t="shared" si="30"/>
        <v>0</v>
      </c>
      <c r="H72" s="66">
        <f t="shared" si="18"/>
        <v>0</v>
      </c>
      <c r="I72" s="66">
        <f t="shared" si="19"/>
        <v>0</v>
      </c>
      <c r="J72" s="153">
        <f>MAX(MIN(IF(MONTH($A72)=PRIN_MATURITY,IF(ISNA(VLOOKUP(DATE(YEAR($A72),PRIN_MATURITY,PRIN_MATURITY_DAY_SUB),Summary!$D$12:$CJ$57,COLUMNS(Summary!$D$12:$CJ$12))),0,VLOOKUP(DATE(YEAR($A72),PRIN_MATURITY,PRIN_MATURITY_DAY_SUB),Summary!$D$12:$CJ$57,COLUMNS(Summary!$D$12:$CJ$12))),0),$I72),0)</f>
        <v>0</v>
      </c>
      <c r="K72" s="66">
        <f t="shared" ca="1" si="31"/>
        <v>0</v>
      </c>
      <c r="L72" s="154">
        <f t="shared" ca="1" si="3"/>
        <v>0</v>
      </c>
      <c r="M72" s="66">
        <f t="shared" ca="1" si="34"/>
        <v>0</v>
      </c>
      <c r="N72" s="66">
        <f t="shared" ca="1" si="4"/>
        <v>0</v>
      </c>
      <c r="O72" s="66">
        <f t="shared" ca="1" si="10"/>
        <v>0</v>
      </c>
      <c r="P72" s="70">
        <f t="shared" ca="1" si="11"/>
        <v>0</v>
      </c>
      <c r="Q72" s="66"/>
      <c r="R72" s="85"/>
      <c r="S72" s="66">
        <f t="shared" ca="1" si="5"/>
        <v>0</v>
      </c>
      <c r="T72" s="70">
        <f t="shared" ca="1" si="12"/>
        <v>0</v>
      </c>
      <c r="U72" s="70">
        <f ca="1">$G$97-SUM($G$11:G72)</f>
        <v>0</v>
      </c>
      <c r="W72" s="68">
        <f t="shared" si="20"/>
        <v>0</v>
      </c>
      <c r="Z72" s="83">
        <f>IF(MONTH($A72)=PRIN_MATURITY,IF(ISNA(VLOOKUP(DATE(YEAR($A72),PRIN_MATURITY,PRIN_MATURITY_DAY_SENIOR),Summary!$D$14:$CJ$56,COLUMNS(Summary!$D$13:$CJ$15),FALSE))=TRUE,0,VLOOKUP(DATE(YEAR($A72),PRIN_MATURITY,PRIN_MATURITY_DAY_SENIOR),Summary!$D$13:$CJ$56,COLUMNS(Summary!$D$13:$CJ$15),FALSE)),0)</f>
        <v>0</v>
      </c>
      <c r="AA72" s="84">
        <f ca="1">IF(ISERROR(IF(ISNA(VLOOKUP($A72,Summary!$D$13:$CJ$54,COLUMNS(Summary!$D$13:$CJ$15),FALSE))=TRUE,0,VLOOKUP($A72,Summary!$D$14:$CJ$54,COLUMNS(Summary!$D$13:$CJ$15),FALSE))/T72),0,IF(ISNA(VLOOKUP($A72,Summary!$C$13:$CJ$54,COLUMNS(Summary!$D$13:$CJ$15)))=TRUE,0,VLOOKUP($A72,Summary!$D$13:$CJ$54,COLUMNS(Summary!$D$13:$CJ$15)))/T72)</f>
        <v>0</v>
      </c>
      <c r="AB72" s="72" t="str">
        <f t="shared" si="13"/>
        <v/>
      </c>
      <c r="AC72" s="83">
        <f t="shared" ca="1" si="14"/>
        <v>0</v>
      </c>
      <c r="AE72" s="83">
        <f t="shared" si="6"/>
        <v>0</v>
      </c>
      <c r="AF72" s="70">
        <f t="shared" ca="1" si="7"/>
        <v>0</v>
      </c>
      <c r="AG72" s="83"/>
    </row>
    <row r="73" spans="1:33" hidden="1" outlineLevel="2" x14ac:dyDescent="0.25">
      <c r="A73" s="67">
        <f t="shared" si="32"/>
        <v>0</v>
      </c>
      <c r="B73" s="68">
        <f t="shared" si="8"/>
        <v>0</v>
      </c>
      <c r="C73" s="68">
        <f t="shared" si="16"/>
        <v>0</v>
      </c>
      <c r="D73" s="68">
        <f t="shared" si="1"/>
        <v>0</v>
      </c>
      <c r="E73" s="66">
        <f t="shared" si="17"/>
        <v>0</v>
      </c>
      <c r="F73" s="66"/>
      <c r="G73" s="66">
        <f t="shared" si="30"/>
        <v>0</v>
      </c>
      <c r="H73" s="66">
        <f t="shared" si="18"/>
        <v>0</v>
      </c>
      <c r="I73" s="66">
        <f t="shared" si="19"/>
        <v>0</v>
      </c>
      <c r="J73" s="153">
        <f>MAX(MIN(IF(MONTH($A73)=PRIN_MATURITY,IF(ISNA(VLOOKUP(DATE(YEAR($A73),PRIN_MATURITY,PRIN_MATURITY_DAY_SUB),Summary!$D$12:$CJ$57,COLUMNS(Summary!$D$12:$CJ$12))),0,VLOOKUP(DATE(YEAR($A73),PRIN_MATURITY,PRIN_MATURITY_DAY_SUB),Summary!$D$12:$CJ$57,COLUMNS(Summary!$D$12:$CJ$12))),0),$I73),0)</f>
        <v>0</v>
      </c>
      <c r="K73" s="66">
        <f t="shared" ca="1" si="31"/>
        <v>0</v>
      </c>
      <c r="L73" s="154">
        <f t="shared" ca="1" si="3"/>
        <v>0</v>
      </c>
      <c r="M73" s="66">
        <f t="shared" ca="1" si="34"/>
        <v>0</v>
      </c>
      <c r="N73" s="66">
        <f t="shared" ca="1" si="4"/>
        <v>0</v>
      </c>
      <c r="O73" s="66">
        <f t="shared" ca="1" si="10"/>
        <v>0</v>
      </c>
      <c r="P73" s="70">
        <f t="shared" ca="1" si="11"/>
        <v>0</v>
      </c>
      <c r="Q73" s="66"/>
      <c r="R73" s="66"/>
      <c r="S73" s="66">
        <f t="shared" ca="1" si="5"/>
        <v>0</v>
      </c>
      <c r="T73" s="70">
        <f t="shared" ca="1" si="12"/>
        <v>0</v>
      </c>
      <c r="U73" s="70">
        <f ca="1">$G$97-SUM($G$11:G73)</f>
        <v>0</v>
      </c>
      <c r="W73" s="68">
        <f t="shared" si="20"/>
        <v>0</v>
      </c>
      <c r="Z73" s="83">
        <f>IF(MONTH($A73)=PRIN_MATURITY,IF(ISNA(VLOOKUP(DATE(YEAR($A73),PRIN_MATURITY,PRIN_MATURITY_DAY_SENIOR),Summary!$D$14:$CJ$56,COLUMNS(Summary!$D$13:$CJ$15),FALSE))=TRUE,0,VLOOKUP(DATE(YEAR($A73),PRIN_MATURITY,PRIN_MATURITY_DAY_SENIOR),Summary!$D$13:$CJ$56,COLUMNS(Summary!$D$13:$CJ$15),FALSE)),0)</f>
        <v>0</v>
      </c>
      <c r="AA73" s="84">
        <f ca="1">IF(ISERROR(IF(ISNA(VLOOKUP($A73,Summary!$D$13:$CJ$54,COLUMNS(Summary!$D$13:$CJ$15),FALSE))=TRUE,0,VLOOKUP($A73,Summary!$D$14:$CJ$54,COLUMNS(Summary!$D$13:$CJ$15),FALSE))/T73),0,IF(ISNA(VLOOKUP($A73,Summary!$C$13:$CJ$54,COLUMNS(Summary!$D$13:$CJ$15)))=TRUE,0,VLOOKUP($A73,Summary!$D$13:$CJ$54,COLUMNS(Summary!$D$13:$CJ$15)))/T73)</f>
        <v>0</v>
      </c>
      <c r="AB73" s="72" t="str">
        <f t="shared" si="13"/>
        <v/>
      </c>
      <c r="AC73" s="83">
        <f t="shared" ca="1" si="14"/>
        <v>0</v>
      </c>
      <c r="AE73" s="83">
        <f t="shared" si="6"/>
        <v>0</v>
      </c>
      <c r="AF73" s="70">
        <f t="shared" ca="1" si="7"/>
        <v>0</v>
      </c>
      <c r="AG73" s="83"/>
    </row>
    <row r="74" spans="1:33" hidden="1" outlineLevel="2" x14ac:dyDescent="0.25">
      <c r="A74" s="67">
        <f t="shared" si="32"/>
        <v>0</v>
      </c>
      <c r="B74" s="68">
        <f t="shared" si="8"/>
        <v>0</v>
      </c>
      <c r="C74" s="68">
        <f t="shared" si="16"/>
        <v>0</v>
      </c>
      <c r="D74" s="68">
        <f t="shared" si="1"/>
        <v>0</v>
      </c>
      <c r="E74" s="66">
        <f t="shared" si="17"/>
        <v>0</v>
      </c>
      <c r="F74" s="66"/>
      <c r="G74" s="66">
        <f t="shared" si="30"/>
        <v>0</v>
      </c>
      <c r="H74" s="66">
        <f t="shared" si="18"/>
        <v>0</v>
      </c>
      <c r="I74" s="66">
        <f t="shared" si="19"/>
        <v>0</v>
      </c>
      <c r="J74" s="153">
        <f>MAX(MIN(IF(MONTH($A74)=PRIN_MATURITY,IF(ISNA(VLOOKUP(DATE(YEAR($A74),PRIN_MATURITY,PRIN_MATURITY_DAY_SUB),Summary!$D$12:$CJ$57,COLUMNS(Summary!$D$12:$CJ$12))),0,VLOOKUP(DATE(YEAR($A74),PRIN_MATURITY,PRIN_MATURITY_DAY_SUB),Summary!$D$12:$CJ$57,COLUMNS(Summary!$D$12:$CJ$12))),0),$I74),0)</f>
        <v>0</v>
      </c>
      <c r="K74" s="66">
        <f t="shared" ca="1" si="31"/>
        <v>0</v>
      </c>
      <c r="L74" s="154">
        <f t="shared" ca="1" si="3"/>
        <v>0</v>
      </c>
      <c r="M74" s="66">
        <f t="shared" ca="1" si="34"/>
        <v>0</v>
      </c>
      <c r="N74" s="66">
        <f t="shared" ca="1" si="4"/>
        <v>0</v>
      </c>
      <c r="O74" s="66">
        <f t="shared" ca="1" si="10"/>
        <v>0</v>
      </c>
      <c r="P74" s="70">
        <f t="shared" ca="1" si="11"/>
        <v>0</v>
      </c>
      <c r="Q74" s="66"/>
      <c r="R74" s="66"/>
      <c r="S74" s="66">
        <f t="shared" ca="1" si="5"/>
        <v>0</v>
      </c>
      <c r="T74" s="70">
        <f t="shared" ca="1" si="12"/>
        <v>0</v>
      </c>
      <c r="U74" s="70">
        <f ca="1">$G$97-SUM($G$11:G74)</f>
        <v>0</v>
      </c>
      <c r="W74" s="68">
        <f t="shared" si="20"/>
        <v>0</v>
      </c>
      <c r="Z74" s="83">
        <f>IF(MONTH($A74)=PRIN_MATURITY,IF(ISNA(VLOOKUP(DATE(YEAR($A74),PRIN_MATURITY,PRIN_MATURITY_DAY_SENIOR),Summary!$D$14:$CJ$56,COLUMNS(Summary!$D$13:$CJ$15),FALSE))=TRUE,0,VLOOKUP(DATE(YEAR($A74),PRIN_MATURITY,PRIN_MATURITY_DAY_SENIOR),Summary!$D$13:$CJ$56,COLUMNS(Summary!$D$13:$CJ$15),FALSE)),0)</f>
        <v>0</v>
      </c>
      <c r="AA74" s="84">
        <f ca="1">IF(ISERROR(IF(ISNA(VLOOKUP($A74,Summary!$D$13:$CJ$54,COLUMNS(Summary!$D$13:$CJ$15),FALSE))=TRUE,0,VLOOKUP($A74,Summary!$D$14:$CJ$54,COLUMNS(Summary!$D$13:$CJ$15),FALSE))/T74),0,IF(ISNA(VLOOKUP($A74,Summary!$C$13:$CJ$54,COLUMNS(Summary!$D$13:$CJ$15)))=TRUE,0,VLOOKUP($A74,Summary!$D$13:$CJ$54,COLUMNS(Summary!$D$13:$CJ$15)))/T74)</f>
        <v>0</v>
      </c>
      <c r="AB74" s="72" t="str">
        <f t="shared" si="13"/>
        <v/>
      </c>
      <c r="AC74" s="83">
        <f t="shared" ca="1" si="14"/>
        <v>0</v>
      </c>
      <c r="AE74" s="83">
        <f t="shared" si="6"/>
        <v>0</v>
      </c>
      <c r="AF74" s="70">
        <f t="shared" ca="1" si="7"/>
        <v>0</v>
      </c>
      <c r="AG74" s="83"/>
    </row>
    <row r="75" spans="1:33" hidden="1" outlineLevel="2" x14ac:dyDescent="0.25">
      <c r="A75" s="67">
        <f t="shared" si="32"/>
        <v>0</v>
      </c>
      <c r="B75" s="68">
        <f t="shared" si="8"/>
        <v>0</v>
      </c>
      <c r="C75" s="68">
        <f t="shared" si="16"/>
        <v>0</v>
      </c>
      <c r="D75" s="68">
        <f t="shared" ref="D75:D95" si="35">IF(C75=0,0,TRUNC(IF(B75=C75,100,IF(A75&lt;=PAR_CALL_FIRST,PRICE(DELIVERY,A75,B75,C75,100,2,0),MIN(PRICE(DELIVERY,A75,B75,C75,100,2,0),PRICE(DELIVERY,PAR_CALL_FIRST,B75,C75,100,2,0)))),3)/100)</f>
        <v>0</v>
      </c>
      <c r="E75" s="66">
        <f t="shared" si="17"/>
        <v>0</v>
      </c>
      <c r="F75" s="66"/>
      <c r="G75" s="66">
        <f t="shared" si="30"/>
        <v>0</v>
      </c>
      <c r="H75" s="66">
        <f t="shared" si="18"/>
        <v>0</v>
      </c>
      <c r="I75" s="66">
        <f t="shared" si="19"/>
        <v>0</v>
      </c>
      <c r="J75" s="153">
        <f>MAX(MIN(IF(MONTH($A75)=PRIN_MATURITY,IF(ISNA(VLOOKUP(DATE(YEAR($A75),PRIN_MATURITY,PRIN_MATURITY_DAY_SUB),Summary!$D$12:$CJ$57,COLUMNS(Summary!$D$12:$CJ$12))),0,VLOOKUP(DATE(YEAR($A75),PRIN_MATURITY,PRIN_MATURITY_DAY_SUB),Summary!$D$12:$CJ$57,COLUMNS(Summary!$D$12:$CJ$12))),0),$I75),0)</f>
        <v>0</v>
      </c>
      <c r="K75" s="66">
        <f t="shared" ref="K75:K95" ca="1" si="36">IF($K$4="No", 0,I75+(M74*SUB_INTEREST_RATE)-J75)</f>
        <v>0</v>
      </c>
      <c r="L75" s="154">
        <f t="shared" ref="L75:L95" ca="1" si="37">MAX(MIN(($Z75-$J75),$M74+K75),0)</f>
        <v>0</v>
      </c>
      <c r="M75" s="66">
        <f t="shared" ca="1" si="34"/>
        <v>0</v>
      </c>
      <c r="N75" s="66">
        <f t="shared" ref="N75:N95" ca="1" si="38">$G75+$J75+$L75</f>
        <v>0</v>
      </c>
      <c r="O75" s="66">
        <f t="shared" ca="1" si="10"/>
        <v>0</v>
      </c>
      <c r="P75" s="70">
        <f t="shared" ca="1" si="11"/>
        <v>0</v>
      </c>
      <c r="Q75" s="66"/>
      <c r="R75" s="66"/>
      <c r="S75" s="66">
        <f t="shared" ref="S75:S93" ca="1" si="39">O75-Q75</f>
        <v>0</v>
      </c>
      <c r="T75" s="70">
        <f t="shared" ca="1" si="12"/>
        <v>0</v>
      </c>
      <c r="U75" s="70">
        <f ca="1">$G$97-SUM($G$11:G75)</f>
        <v>0</v>
      </c>
      <c r="W75" s="68">
        <f t="shared" si="20"/>
        <v>0</v>
      </c>
      <c r="Z75" s="83">
        <f>IF(MONTH($A75)=PRIN_MATURITY,IF(ISNA(VLOOKUP(DATE(YEAR($A75),PRIN_MATURITY,PRIN_MATURITY_DAY_SENIOR),Summary!$D$14:$CJ$56,COLUMNS(Summary!$D$13:$CJ$15),FALSE))=TRUE,0,VLOOKUP(DATE(YEAR($A75),PRIN_MATURITY,PRIN_MATURITY_DAY_SENIOR),Summary!$D$13:$CJ$56,COLUMNS(Summary!$D$13:$CJ$15),FALSE)),0)</f>
        <v>0</v>
      </c>
      <c r="AA75" s="84">
        <f ca="1">IF(ISERROR(IF(ISNA(VLOOKUP($A75,Summary!$D$13:$CJ$54,COLUMNS(Summary!$D$13:$CJ$15),FALSE))=TRUE,0,VLOOKUP($A75,Summary!$D$14:$CJ$54,COLUMNS(Summary!$D$13:$CJ$15),FALSE))/T75),0,IF(ISNA(VLOOKUP($A75,Summary!$C$13:$CJ$54,COLUMNS(Summary!$D$13:$CJ$15)))=TRUE,0,VLOOKUP($A75,Summary!$D$13:$CJ$54,COLUMNS(Summary!$D$13:$CJ$15)))/T75)</f>
        <v>0</v>
      </c>
      <c r="AB75" s="72" t="str">
        <f t="shared" si="13"/>
        <v/>
      </c>
      <c r="AC75" s="83">
        <f t="shared" ca="1" si="14"/>
        <v>0</v>
      </c>
      <c r="AE75" s="83">
        <f t="shared" ref="AE75:AE92" si="40">D75*G75*DAYS360(DELIVERY,A75)/360</f>
        <v>0</v>
      </c>
      <c r="AF75" s="70">
        <f t="shared" ref="AF75:AF92" ca="1" si="41">G75+K75+L75</f>
        <v>0</v>
      </c>
      <c r="AG75" s="83"/>
    </row>
    <row r="76" spans="1:33" hidden="1" outlineLevel="2" x14ac:dyDescent="0.25">
      <c r="A76" s="67">
        <f t="shared" si="32"/>
        <v>0</v>
      </c>
      <c r="B76" s="68">
        <f t="shared" ref="B76:B92" si="42">IF(ISERROR(IF(MONTH(A76)=PRIN_MATURITY,SUB_INTEREST_RATE,)),"",IF(MONTH(A76)=PRIN_MATURITY,SUB_INTEREST_RATE,))</f>
        <v>0</v>
      </c>
      <c r="C76" s="68">
        <f t="shared" si="16"/>
        <v>0</v>
      </c>
      <c r="D76" s="68">
        <f t="shared" si="35"/>
        <v>0</v>
      </c>
      <c r="E76" s="66">
        <f t="shared" si="17"/>
        <v>0</v>
      </c>
      <c r="F76" s="66"/>
      <c r="G76" s="66">
        <f t="shared" si="30"/>
        <v>0</v>
      </c>
      <c r="H76" s="66">
        <f t="shared" si="18"/>
        <v>0</v>
      </c>
      <c r="I76" s="66">
        <f t="shared" si="19"/>
        <v>0</v>
      </c>
      <c r="J76" s="153">
        <f>MAX(MIN(IF(MONTH($A76)=PRIN_MATURITY,IF(ISNA(VLOOKUP(DATE(YEAR($A76),PRIN_MATURITY,PRIN_MATURITY_DAY_SUB),Summary!$D$12:$CJ$57,COLUMNS(Summary!$D$12:$CJ$12))),0,VLOOKUP(DATE(YEAR($A76),PRIN_MATURITY,PRIN_MATURITY_DAY_SUB),Summary!$D$12:$CJ$57,COLUMNS(Summary!$D$12:$CJ$12))),0),$I76),0)</f>
        <v>0</v>
      </c>
      <c r="K76" s="66">
        <f t="shared" ca="1" si="36"/>
        <v>0</v>
      </c>
      <c r="L76" s="154">
        <f t="shared" ca="1" si="37"/>
        <v>0</v>
      </c>
      <c r="M76" s="66">
        <f t="shared" ca="1" si="34"/>
        <v>0</v>
      </c>
      <c r="N76" s="66">
        <f t="shared" ca="1" si="38"/>
        <v>0</v>
      </c>
      <c r="O76" s="66">
        <f t="shared" ref="O76:O95" ca="1" si="43">G76+H76+L76</f>
        <v>0</v>
      </c>
      <c r="P76" s="70">
        <f t="shared" ref="P76:P95" ca="1" si="44">O76</f>
        <v>0</v>
      </c>
      <c r="Q76" s="66"/>
      <c r="R76" s="66"/>
      <c r="S76" s="66">
        <f t="shared" ca="1" si="39"/>
        <v>0</v>
      </c>
      <c r="T76" s="70">
        <f t="shared" ref="T76:T94" ca="1" si="45">S76</f>
        <v>0</v>
      </c>
      <c r="U76" s="70">
        <f ca="1">$G$97-SUM($G$11:G76)</f>
        <v>0</v>
      </c>
      <c r="W76" s="68">
        <f t="shared" si="20"/>
        <v>0</v>
      </c>
      <c r="Z76" s="83">
        <f>IF(MONTH($A76)=PRIN_MATURITY,IF(ISNA(VLOOKUP(DATE(YEAR($A76),PRIN_MATURITY,PRIN_MATURITY_DAY_SENIOR),Summary!$D$14:$CJ$56,COLUMNS(Summary!$D$13:$CJ$15),FALSE))=TRUE,0,VLOOKUP(DATE(YEAR($A76),PRIN_MATURITY,PRIN_MATURITY_DAY_SENIOR),Summary!$D$13:$CJ$56,COLUMNS(Summary!$D$13:$CJ$15),FALSE)),0)</f>
        <v>0</v>
      </c>
      <c r="AA76" s="84">
        <f ca="1">IF(ISERROR(IF(ISNA(VLOOKUP($A76,Summary!$D$13:$CJ$54,COLUMNS(Summary!$D$13:$CJ$15),FALSE))=TRUE,0,VLOOKUP($A76,Summary!$D$14:$CJ$54,COLUMNS(Summary!$D$13:$CJ$15),FALSE))/T76),0,IF(ISNA(VLOOKUP($A76,Summary!$C$13:$CJ$54,COLUMNS(Summary!$D$13:$CJ$15)))=TRUE,0,VLOOKUP($A76,Summary!$D$13:$CJ$54,COLUMNS(Summary!$D$13:$CJ$15)))/T76)</f>
        <v>0</v>
      </c>
      <c r="AB76" s="72" t="str">
        <f t="shared" ref="AB76:AB92" si="46">IF($B76&lt;&gt;0,DSC_SUB_LIEN_BONDS,"")</f>
        <v/>
      </c>
      <c r="AC76" s="83">
        <f t="shared" ca="1" si="14"/>
        <v>0</v>
      </c>
      <c r="AE76" s="83">
        <f t="shared" si="40"/>
        <v>0</v>
      </c>
      <c r="AF76" s="70">
        <f t="shared" ca="1" si="41"/>
        <v>0</v>
      </c>
      <c r="AG76" s="83"/>
    </row>
    <row r="77" spans="1:33" hidden="1" outlineLevel="2" x14ac:dyDescent="0.25">
      <c r="A77" s="67">
        <f t="shared" ref="A77:A95" si="47">IF(IF(ISERROR(EDATE(A76,12)),0,EDATE(A76,12))&gt;EDATE(MAX($A$11,DATE(YEAR($A$11),PRIN_MATURITY,PRIN_MATURITY_DAY_SUB)),12*FINAL_MAT_SUB_YRS),0,IF(ISERROR(EDATE(A76,12)),0,IF(A76=0,0,EDATE(A76,12))))</f>
        <v>0</v>
      </c>
      <c r="B77" s="68">
        <f t="shared" si="42"/>
        <v>0</v>
      </c>
      <c r="C77" s="68">
        <f t="shared" ref="C77:C92" si="48">B77</f>
        <v>0</v>
      </c>
      <c r="D77" s="68">
        <f t="shared" si="35"/>
        <v>0</v>
      </c>
      <c r="E77" s="66">
        <f t="shared" ref="E77:E93" si="49">D77*G77-G77</f>
        <v>0</v>
      </c>
      <c r="F77" s="66"/>
      <c r="G77" s="66">
        <f t="shared" si="30"/>
        <v>0</v>
      </c>
      <c r="H77" s="66">
        <f t="shared" ref="H77:H94" si="50">(H78+G77*B77)</f>
        <v>0</v>
      </c>
      <c r="I77" s="66">
        <f t="shared" ref="I77:I94" si="51">H77</f>
        <v>0</v>
      </c>
      <c r="J77" s="153">
        <f>MAX(MIN(IF(MONTH($A77)=PRIN_MATURITY,IF(ISNA(VLOOKUP(DATE(YEAR($A77),PRIN_MATURITY,PRIN_MATURITY_DAY_SUB),Summary!$D$12:$CJ$57,COLUMNS(Summary!$D$12:$CJ$12))),0,VLOOKUP(DATE(YEAR($A77),PRIN_MATURITY,PRIN_MATURITY_DAY_SUB),Summary!$D$12:$CJ$57,COLUMNS(Summary!$D$12:$CJ$12))),0),$I77),0)</f>
        <v>0</v>
      </c>
      <c r="K77" s="66">
        <f t="shared" ca="1" si="36"/>
        <v>0</v>
      </c>
      <c r="L77" s="154">
        <f t="shared" ca="1" si="37"/>
        <v>0</v>
      </c>
      <c r="M77" s="66">
        <f t="shared" ca="1" si="34"/>
        <v>0</v>
      </c>
      <c r="N77" s="66">
        <f t="shared" ca="1" si="38"/>
        <v>0</v>
      </c>
      <c r="O77" s="66">
        <f t="shared" ca="1" si="43"/>
        <v>0</v>
      </c>
      <c r="P77" s="70">
        <f t="shared" ca="1" si="44"/>
        <v>0</v>
      </c>
      <c r="Q77" s="66"/>
      <c r="R77" s="66"/>
      <c r="S77" s="66">
        <f t="shared" ca="1" si="39"/>
        <v>0</v>
      </c>
      <c r="T77" s="70">
        <f t="shared" ca="1" si="45"/>
        <v>0</v>
      </c>
      <c r="U77" s="70">
        <f ca="1">$G$97-SUM($G$11:G77)</f>
        <v>0</v>
      </c>
      <c r="W77" s="68">
        <f t="shared" ref="W77:W92" si="52">IF(MONTH(A77)=PRIN_MATURITY,MAX(0,DAYS360(MAX(CAPI_TERM,EDATE(A77,-12)),A77))/360,0)</f>
        <v>0</v>
      </c>
      <c r="Z77" s="83">
        <f>IF(MONTH($A77)=PRIN_MATURITY,IF(ISNA(VLOOKUP(DATE(YEAR($A77),PRIN_MATURITY,PRIN_MATURITY_DAY_SENIOR),Summary!$D$14:$CJ$56,COLUMNS(Summary!$D$13:$CJ$15),FALSE))=TRUE,0,VLOOKUP(DATE(YEAR($A77),PRIN_MATURITY,PRIN_MATURITY_DAY_SENIOR),Summary!$D$13:$CJ$56,COLUMNS(Summary!$D$13:$CJ$15),FALSE)),0)</f>
        <v>0</v>
      </c>
      <c r="AA77" s="84">
        <f ca="1">IF(ISERROR(IF(ISNA(VLOOKUP($A77,Summary!$D$13:$CJ$54,COLUMNS(Summary!$D$13:$CJ$15),FALSE))=TRUE,0,VLOOKUP($A77,Summary!$D$14:$CJ$54,COLUMNS(Summary!$D$13:$CJ$15),FALSE))/T77),0,IF(ISNA(VLOOKUP($A77,Summary!$C$13:$CJ$54,COLUMNS(Summary!$D$13:$CJ$15)))=TRUE,0,VLOOKUP($A77,Summary!$D$13:$CJ$54,COLUMNS(Summary!$D$13:$CJ$15)))/T77)</f>
        <v>0</v>
      </c>
      <c r="AB77" s="72" t="str">
        <f t="shared" si="46"/>
        <v/>
      </c>
      <c r="AC77" s="83">
        <f t="shared" ref="AC77:AC94" ca="1" si="53">Z77-G77-J77-L77</f>
        <v>0</v>
      </c>
      <c r="AE77" s="83">
        <f t="shared" si="40"/>
        <v>0</v>
      </c>
      <c r="AF77" s="70">
        <f t="shared" ca="1" si="41"/>
        <v>0</v>
      </c>
      <c r="AG77" s="83"/>
    </row>
    <row r="78" spans="1:33" hidden="1" outlineLevel="2" x14ac:dyDescent="0.25">
      <c r="A78" s="67">
        <f t="shared" si="47"/>
        <v>0</v>
      </c>
      <c r="B78" s="68">
        <f t="shared" si="42"/>
        <v>0</v>
      </c>
      <c r="C78" s="68">
        <f t="shared" si="48"/>
        <v>0</v>
      </c>
      <c r="D78" s="68">
        <f t="shared" si="35"/>
        <v>0</v>
      </c>
      <c r="E78" s="66">
        <f t="shared" si="49"/>
        <v>0</v>
      </c>
      <c r="F78" s="66"/>
      <c r="G78" s="66">
        <f t="shared" si="30"/>
        <v>0</v>
      </c>
      <c r="H78" s="66">
        <f t="shared" si="50"/>
        <v>0</v>
      </c>
      <c r="I78" s="66">
        <f t="shared" si="51"/>
        <v>0</v>
      </c>
      <c r="J78" s="153">
        <f>MAX(MIN(IF(MONTH($A78)=PRIN_MATURITY,IF(ISNA(VLOOKUP(DATE(YEAR($A78),PRIN_MATURITY,PRIN_MATURITY_DAY_SUB),Summary!$D$12:$CJ$57,COLUMNS(Summary!$D$12:$CJ$12))),0,VLOOKUP(DATE(YEAR($A78),PRIN_MATURITY,PRIN_MATURITY_DAY_SUB),Summary!$D$12:$CJ$57,COLUMNS(Summary!$D$12:$CJ$12))),0),$I78),0)</f>
        <v>0</v>
      </c>
      <c r="K78" s="66">
        <f t="shared" ca="1" si="36"/>
        <v>0</v>
      </c>
      <c r="L78" s="154">
        <f t="shared" ca="1" si="37"/>
        <v>0</v>
      </c>
      <c r="M78" s="66">
        <f t="shared" ca="1" si="34"/>
        <v>0</v>
      </c>
      <c r="N78" s="66">
        <f t="shared" ca="1" si="38"/>
        <v>0</v>
      </c>
      <c r="O78" s="66">
        <f t="shared" ca="1" si="43"/>
        <v>0</v>
      </c>
      <c r="P78" s="70">
        <f t="shared" ca="1" si="44"/>
        <v>0</v>
      </c>
      <c r="Q78" s="66"/>
      <c r="R78" s="66"/>
      <c r="S78" s="66">
        <f t="shared" ca="1" si="39"/>
        <v>0</v>
      </c>
      <c r="T78" s="70">
        <f t="shared" ca="1" si="45"/>
        <v>0</v>
      </c>
      <c r="U78" s="70">
        <f ca="1">$G$97-SUM($G$11:G78)</f>
        <v>0</v>
      </c>
      <c r="W78" s="68">
        <f t="shared" si="52"/>
        <v>0</v>
      </c>
      <c r="Z78" s="83">
        <f>IF(MONTH($A78)=PRIN_MATURITY,IF(ISNA(VLOOKUP(DATE(YEAR($A78),PRIN_MATURITY,PRIN_MATURITY_DAY_SENIOR),Summary!$D$14:$CJ$56,COLUMNS(Summary!$D$13:$CJ$15),FALSE))=TRUE,0,VLOOKUP(DATE(YEAR($A78),PRIN_MATURITY,PRIN_MATURITY_DAY_SENIOR),Summary!$D$13:$CJ$56,COLUMNS(Summary!$D$13:$CJ$15),FALSE)),0)</f>
        <v>0</v>
      </c>
      <c r="AA78" s="84">
        <f ca="1">IF(ISERROR(IF(ISNA(VLOOKUP($A78,Summary!$D$13:$CJ$54,COLUMNS(Summary!$D$13:$CJ$15),FALSE))=TRUE,0,VLOOKUP($A78,Summary!$D$14:$CJ$54,COLUMNS(Summary!$D$13:$CJ$15),FALSE))/T78),0,IF(ISNA(VLOOKUP($A78,Summary!$C$13:$CJ$54,COLUMNS(Summary!$D$13:$CJ$15)))=TRUE,0,VLOOKUP($A78,Summary!$D$13:$CJ$54,COLUMNS(Summary!$D$13:$CJ$15)))/T78)</f>
        <v>0</v>
      </c>
      <c r="AB78" s="72" t="str">
        <f t="shared" si="46"/>
        <v/>
      </c>
      <c r="AC78" s="83">
        <f t="shared" ca="1" si="53"/>
        <v>0</v>
      </c>
      <c r="AE78" s="83">
        <f t="shared" si="40"/>
        <v>0</v>
      </c>
      <c r="AF78" s="70">
        <f t="shared" ca="1" si="41"/>
        <v>0</v>
      </c>
      <c r="AG78" s="83"/>
    </row>
    <row r="79" spans="1:33" hidden="1" outlineLevel="2" x14ac:dyDescent="0.25">
      <c r="A79" s="67">
        <f t="shared" si="47"/>
        <v>0</v>
      </c>
      <c r="B79" s="68">
        <f t="shared" si="42"/>
        <v>0</v>
      </c>
      <c r="C79" s="68">
        <f t="shared" si="48"/>
        <v>0</v>
      </c>
      <c r="D79" s="68">
        <f t="shared" si="35"/>
        <v>0</v>
      </c>
      <c r="E79" s="66">
        <f t="shared" si="49"/>
        <v>0</v>
      </c>
      <c r="F79" s="66"/>
      <c r="G79" s="66">
        <f t="shared" si="30"/>
        <v>0</v>
      </c>
      <c r="H79" s="66">
        <f t="shared" si="50"/>
        <v>0</v>
      </c>
      <c r="I79" s="66">
        <f t="shared" si="51"/>
        <v>0</v>
      </c>
      <c r="J79" s="153">
        <f>MAX(MIN(IF(MONTH($A79)=PRIN_MATURITY,IF(ISNA(VLOOKUP(DATE(YEAR($A79),PRIN_MATURITY,PRIN_MATURITY_DAY_SUB),Summary!$D$12:$CJ$57,COLUMNS(Summary!$D$12:$CJ$12))),0,VLOOKUP(DATE(YEAR($A79),PRIN_MATURITY,PRIN_MATURITY_DAY_SUB),Summary!$D$12:$CJ$57,COLUMNS(Summary!$D$12:$CJ$12))),0),$I79),0)</f>
        <v>0</v>
      </c>
      <c r="K79" s="66">
        <f t="shared" ca="1" si="36"/>
        <v>0</v>
      </c>
      <c r="L79" s="154">
        <f t="shared" ca="1" si="37"/>
        <v>0</v>
      </c>
      <c r="M79" s="66">
        <f t="shared" ca="1" si="34"/>
        <v>0</v>
      </c>
      <c r="N79" s="66">
        <f t="shared" ca="1" si="38"/>
        <v>0</v>
      </c>
      <c r="O79" s="66">
        <f t="shared" ca="1" si="43"/>
        <v>0</v>
      </c>
      <c r="P79" s="70">
        <f t="shared" ca="1" si="44"/>
        <v>0</v>
      </c>
      <c r="Q79" s="66"/>
      <c r="R79" s="66"/>
      <c r="S79" s="66">
        <f t="shared" ca="1" si="39"/>
        <v>0</v>
      </c>
      <c r="T79" s="70">
        <f t="shared" ca="1" si="45"/>
        <v>0</v>
      </c>
      <c r="U79" s="70">
        <f ca="1">$G$97-SUM($G$11:G79)</f>
        <v>0</v>
      </c>
      <c r="W79" s="68">
        <f t="shared" si="52"/>
        <v>0</v>
      </c>
      <c r="Z79" s="83">
        <f>IF(MONTH($A79)=PRIN_MATURITY,IF(ISNA(VLOOKUP(DATE(YEAR($A79),PRIN_MATURITY,PRIN_MATURITY_DAY_SENIOR),Summary!$D$14:$CJ$56,COLUMNS(Summary!$D$13:$CJ$15),FALSE))=TRUE,0,VLOOKUP(DATE(YEAR($A79),PRIN_MATURITY,PRIN_MATURITY_DAY_SENIOR),Summary!$D$13:$CJ$56,COLUMNS(Summary!$D$13:$CJ$15),FALSE)),0)</f>
        <v>0</v>
      </c>
      <c r="AA79" s="84">
        <f ca="1">IF(ISERROR(IF(ISNA(VLOOKUP($A79,Summary!$D$13:$CJ$54,COLUMNS(Summary!$D$13:$CJ$15),FALSE))=TRUE,0,VLOOKUP($A79,Summary!$D$14:$CJ$54,COLUMNS(Summary!$D$13:$CJ$15),FALSE))/T79),0,IF(ISNA(VLOOKUP($A79,Summary!$C$13:$CJ$54,COLUMNS(Summary!$D$13:$CJ$15)))=TRUE,0,VLOOKUP($A79,Summary!$D$13:$CJ$54,COLUMNS(Summary!$D$13:$CJ$15)))/T79)</f>
        <v>0</v>
      </c>
      <c r="AB79" s="72" t="str">
        <f t="shared" si="46"/>
        <v/>
      </c>
      <c r="AC79" s="83">
        <f t="shared" ca="1" si="53"/>
        <v>0</v>
      </c>
      <c r="AE79" s="83">
        <f t="shared" si="40"/>
        <v>0</v>
      </c>
      <c r="AF79" s="70">
        <f t="shared" ca="1" si="41"/>
        <v>0</v>
      </c>
      <c r="AG79" s="83"/>
    </row>
    <row r="80" spans="1:33" hidden="1" outlineLevel="2" x14ac:dyDescent="0.25">
      <c r="A80" s="67">
        <f t="shared" si="47"/>
        <v>0</v>
      </c>
      <c r="B80" s="68">
        <f t="shared" si="42"/>
        <v>0</v>
      </c>
      <c r="C80" s="68">
        <f t="shared" si="48"/>
        <v>0</v>
      </c>
      <c r="D80" s="68">
        <f t="shared" si="35"/>
        <v>0</v>
      </c>
      <c r="E80" s="66">
        <f t="shared" si="49"/>
        <v>0</v>
      </c>
      <c r="F80" s="66"/>
      <c r="G80" s="66">
        <f t="shared" si="30"/>
        <v>0</v>
      </c>
      <c r="H80" s="66">
        <f t="shared" si="50"/>
        <v>0</v>
      </c>
      <c r="I80" s="66">
        <f t="shared" si="51"/>
        <v>0</v>
      </c>
      <c r="J80" s="153">
        <f>MAX(MIN(IF(MONTH($A80)=PRIN_MATURITY,IF(ISNA(VLOOKUP(DATE(YEAR($A80),PRIN_MATURITY,PRIN_MATURITY_DAY_SUB),Summary!$D$12:$CJ$57,COLUMNS(Summary!$D$12:$CJ$12))),0,VLOOKUP(DATE(YEAR($A80),PRIN_MATURITY,PRIN_MATURITY_DAY_SUB),Summary!$D$12:$CJ$57,COLUMNS(Summary!$D$12:$CJ$12))),0),$I80),0)</f>
        <v>0</v>
      </c>
      <c r="K80" s="66">
        <f t="shared" ca="1" si="36"/>
        <v>0</v>
      </c>
      <c r="L80" s="154">
        <f t="shared" ca="1" si="37"/>
        <v>0</v>
      </c>
      <c r="M80" s="66">
        <f t="shared" ca="1" si="34"/>
        <v>0</v>
      </c>
      <c r="N80" s="66">
        <f t="shared" ca="1" si="38"/>
        <v>0</v>
      </c>
      <c r="O80" s="66">
        <f t="shared" ca="1" si="43"/>
        <v>0</v>
      </c>
      <c r="P80" s="70">
        <f t="shared" ca="1" si="44"/>
        <v>0</v>
      </c>
      <c r="Q80" s="66"/>
      <c r="R80" s="66"/>
      <c r="S80" s="66">
        <f t="shared" ca="1" si="39"/>
        <v>0</v>
      </c>
      <c r="T80" s="70">
        <f t="shared" ca="1" si="45"/>
        <v>0</v>
      </c>
      <c r="U80" s="70">
        <f ca="1">$G$97-SUM($G$11:G80)</f>
        <v>0</v>
      </c>
      <c r="W80" s="68">
        <f t="shared" si="52"/>
        <v>0</v>
      </c>
      <c r="Z80" s="83">
        <f>IF(MONTH($A80)=PRIN_MATURITY,IF(ISNA(VLOOKUP(DATE(YEAR($A80),PRIN_MATURITY,PRIN_MATURITY_DAY_SENIOR),Summary!$D$14:$CJ$56,COLUMNS(Summary!$D$13:$CJ$15),FALSE))=TRUE,0,VLOOKUP(DATE(YEAR($A80),PRIN_MATURITY,PRIN_MATURITY_DAY_SENIOR),Summary!$D$13:$CJ$56,COLUMNS(Summary!$D$13:$CJ$15),FALSE)),0)</f>
        <v>0</v>
      </c>
      <c r="AA80" s="84">
        <f ca="1">IF(ISERROR(IF(ISNA(VLOOKUP($A80,Summary!$D$13:$CJ$54,COLUMNS(Summary!$D$13:$CJ$15),FALSE))=TRUE,0,VLOOKUP($A80,Summary!$D$14:$CJ$54,COLUMNS(Summary!$D$13:$CJ$15),FALSE))/T80),0,IF(ISNA(VLOOKUP($A80,Summary!$C$13:$CJ$54,COLUMNS(Summary!$D$13:$CJ$15)))=TRUE,0,VLOOKUP($A80,Summary!$D$13:$CJ$54,COLUMNS(Summary!$D$13:$CJ$15)))/T80)</f>
        <v>0</v>
      </c>
      <c r="AB80" s="72" t="str">
        <f t="shared" si="46"/>
        <v/>
      </c>
      <c r="AC80" s="83">
        <f t="shared" ca="1" si="53"/>
        <v>0</v>
      </c>
      <c r="AE80" s="83">
        <f t="shared" si="40"/>
        <v>0</v>
      </c>
      <c r="AF80" s="70">
        <f t="shared" ca="1" si="41"/>
        <v>0</v>
      </c>
      <c r="AG80" s="83"/>
    </row>
    <row r="81" spans="1:33" hidden="1" outlineLevel="2" x14ac:dyDescent="0.25">
      <c r="A81" s="67">
        <f t="shared" si="47"/>
        <v>0</v>
      </c>
      <c r="B81" s="68">
        <f t="shared" si="42"/>
        <v>0</v>
      </c>
      <c r="C81" s="68">
        <f t="shared" si="48"/>
        <v>0</v>
      </c>
      <c r="D81" s="68">
        <f t="shared" si="35"/>
        <v>0</v>
      </c>
      <c r="E81" s="66">
        <f t="shared" si="49"/>
        <v>0</v>
      </c>
      <c r="F81" s="66"/>
      <c r="G81" s="66">
        <f t="shared" si="30"/>
        <v>0</v>
      </c>
      <c r="H81" s="66">
        <f t="shared" si="50"/>
        <v>0</v>
      </c>
      <c r="I81" s="66">
        <f t="shared" si="51"/>
        <v>0</v>
      </c>
      <c r="J81" s="153">
        <f>MAX(MIN(IF(MONTH($A81)=PRIN_MATURITY,IF(ISNA(VLOOKUP(DATE(YEAR($A81),PRIN_MATURITY,PRIN_MATURITY_DAY_SUB),Summary!$D$12:$CJ$57,COLUMNS(Summary!$D$12:$CJ$12))),0,VLOOKUP(DATE(YEAR($A81),PRIN_MATURITY,PRIN_MATURITY_DAY_SUB),Summary!$D$12:$CJ$57,COLUMNS(Summary!$D$12:$CJ$12))),0),$I81),0)</f>
        <v>0</v>
      </c>
      <c r="K81" s="66">
        <f t="shared" ca="1" si="36"/>
        <v>0</v>
      </c>
      <c r="L81" s="154">
        <f t="shared" ca="1" si="37"/>
        <v>0</v>
      </c>
      <c r="M81" s="66">
        <f t="shared" ca="1" si="34"/>
        <v>0</v>
      </c>
      <c r="N81" s="66">
        <f t="shared" ca="1" si="38"/>
        <v>0</v>
      </c>
      <c r="O81" s="66">
        <f t="shared" ca="1" si="43"/>
        <v>0</v>
      </c>
      <c r="P81" s="70">
        <f t="shared" ca="1" si="44"/>
        <v>0</v>
      </c>
      <c r="Q81" s="66"/>
      <c r="R81" s="66"/>
      <c r="S81" s="66">
        <f t="shared" ca="1" si="39"/>
        <v>0</v>
      </c>
      <c r="T81" s="70">
        <f t="shared" ca="1" si="45"/>
        <v>0</v>
      </c>
      <c r="U81" s="70">
        <f ca="1">$G$97-SUM($G$11:G81)</f>
        <v>0</v>
      </c>
      <c r="W81" s="68">
        <f t="shared" si="52"/>
        <v>0</v>
      </c>
      <c r="Z81" s="83">
        <f>IF(MONTH($A81)=PRIN_MATURITY,IF(ISNA(VLOOKUP(DATE(YEAR($A81),PRIN_MATURITY,PRIN_MATURITY_DAY_SENIOR),Summary!$D$14:$CJ$56,COLUMNS(Summary!$D$13:$CJ$15),FALSE))=TRUE,0,VLOOKUP(DATE(YEAR($A81),PRIN_MATURITY,PRIN_MATURITY_DAY_SENIOR),Summary!$D$13:$CJ$56,COLUMNS(Summary!$D$13:$CJ$15),FALSE)),0)</f>
        <v>0</v>
      </c>
      <c r="AA81" s="84">
        <f ca="1">IF(ISERROR(IF(ISNA(VLOOKUP($A81,Summary!$D$13:$CJ$54,COLUMNS(Summary!$D$13:$CJ$15),FALSE))=TRUE,0,VLOOKUP($A81,Summary!$D$14:$CJ$54,COLUMNS(Summary!$D$13:$CJ$15),FALSE))/T81),0,IF(ISNA(VLOOKUP($A81,Summary!$C$13:$CJ$54,COLUMNS(Summary!$D$13:$CJ$15)))=TRUE,0,VLOOKUP($A81,Summary!$D$13:$CJ$54,COLUMNS(Summary!$D$13:$CJ$15)))/T81)</f>
        <v>0</v>
      </c>
      <c r="AB81" s="72" t="str">
        <f t="shared" si="46"/>
        <v/>
      </c>
      <c r="AC81" s="83">
        <f t="shared" ca="1" si="53"/>
        <v>0</v>
      </c>
      <c r="AE81" s="83">
        <f t="shared" si="40"/>
        <v>0</v>
      </c>
      <c r="AF81" s="70">
        <f t="shared" ca="1" si="41"/>
        <v>0</v>
      </c>
      <c r="AG81" s="83"/>
    </row>
    <row r="82" spans="1:33" hidden="1" outlineLevel="2" x14ac:dyDescent="0.25">
      <c r="A82" s="67">
        <f t="shared" si="47"/>
        <v>0</v>
      </c>
      <c r="B82" s="68">
        <f t="shared" si="42"/>
        <v>0</v>
      </c>
      <c r="C82" s="68">
        <f t="shared" si="48"/>
        <v>0</v>
      </c>
      <c r="D82" s="68">
        <f t="shared" si="35"/>
        <v>0</v>
      </c>
      <c r="E82" s="66">
        <f t="shared" si="49"/>
        <v>0</v>
      </c>
      <c r="F82" s="66"/>
      <c r="G82" s="66">
        <f t="shared" si="30"/>
        <v>0</v>
      </c>
      <c r="H82" s="66">
        <f t="shared" si="50"/>
        <v>0</v>
      </c>
      <c r="I82" s="66">
        <f t="shared" si="51"/>
        <v>0</v>
      </c>
      <c r="J82" s="153">
        <f>MAX(MIN(IF(MONTH($A82)=PRIN_MATURITY,IF(ISNA(VLOOKUP(DATE(YEAR($A82),PRIN_MATURITY,PRIN_MATURITY_DAY_SUB),Summary!$D$12:$CJ$57,COLUMNS(Summary!$D$12:$CJ$12))),0,VLOOKUP(DATE(YEAR($A82),PRIN_MATURITY,PRIN_MATURITY_DAY_SUB),Summary!$D$12:$CJ$57,COLUMNS(Summary!$D$12:$CJ$12))),0),$I82),0)</f>
        <v>0</v>
      </c>
      <c r="K82" s="66">
        <f t="shared" ca="1" si="36"/>
        <v>0</v>
      </c>
      <c r="L82" s="154">
        <f t="shared" ca="1" si="37"/>
        <v>0</v>
      </c>
      <c r="M82" s="66">
        <f t="shared" ca="1" si="34"/>
        <v>0</v>
      </c>
      <c r="N82" s="66">
        <f t="shared" ca="1" si="38"/>
        <v>0</v>
      </c>
      <c r="O82" s="66">
        <f t="shared" ca="1" si="43"/>
        <v>0</v>
      </c>
      <c r="P82" s="70">
        <f t="shared" ca="1" si="44"/>
        <v>0</v>
      </c>
      <c r="Q82" s="66"/>
      <c r="R82" s="66"/>
      <c r="S82" s="66">
        <f t="shared" ca="1" si="39"/>
        <v>0</v>
      </c>
      <c r="T82" s="70">
        <f t="shared" ca="1" si="45"/>
        <v>0</v>
      </c>
      <c r="U82" s="70">
        <f ca="1">$G$97-SUM($G$11:G82)</f>
        <v>0</v>
      </c>
      <c r="W82" s="68">
        <f t="shared" si="52"/>
        <v>0</v>
      </c>
      <c r="Z82" s="83">
        <f>IF(MONTH($A82)=PRIN_MATURITY,IF(ISNA(VLOOKUP(DATE(YEAR($A82),PRIN_MATURITY,PRIN_MATURITY_DAY_SENIOR),Summary!$D$14:$CJ$56,COLUMNS(Summary!$D$13:$CJ$15),FALSE))=TRUE,0,VLOOKUP(DATE(YEAR($A82),PRIN_MATURITY,PRIN_MATURITY_DAY_SENIOR),Summary!$D$13:$CJ$56,COLUMNS(Summary!$D$13:$CJ$15),FALSE)),0)</f>
        <v>0</v>
      </c>
      <c r="AA82" s="84">
        <f ca="1">IF(ISERROR(IF(ISNA(VLOOKUP($A82,Summary!$D$13:$CJ$54,COLUMNS(Summary!$D$13:$CJ$15),FALSE))=TRUE,0,VLOOKUP($A82,Summary!$D$14:$CJ$54,COLUMNS(Summary!$D$13:$CJ$15),FALSE))/T82),0,IF(ISNA(VLOOKUP($A82,Summary!$C$13:$CJ$54,COLUMNS(Summary!$D$13:$CJ$15)))=TRUE,0,VLOOKUP($A82,Summary!$D$13:$CJ$54,COLUMNS(Summary!$D$13:$CJ$15)))/T82)</f>
        <v>0</v>
      </c>
      <c r="AB82" s="72" t="str">
        <f t="shared" si="46"/>
        <v/>
      </c>
      <c r="AC82" s="83">
        <f t="shared" ca="1" si="53"/>
        <v>0</v>
      </c>
      <c r="AE82" s="83">
        <f t="shared" si="40"/>
        <v>0</v>
      </c>
      <c r="AF82" s="70">
        <f t="shared" ca="1" si="41"/>
        <v>0</v>
      </c>
      <c r="AG82" s="83"/>
    </row>
    <row r="83" spans="1:33" hidden="1" outlineLevel="2" x14ac:dyDescent="0.25">
      <c r="A83" s="67">
        <f t="shared" si="47"/>
        <v>0</v>
      </c>
      <c r="B83" s="68">
        <f t="shared" si="42"/>
        <v>0</v>
      </c>
      <c r="C83" s="68">
        <f t="shared" si="48"/>
        <v>0</v>
      </c>
      <c r="D83" s="68">
        <f t="shared" si="35"/>
        <v>0</v>
      </c>
      <c r="E83" s="66">
        <f t="shared" si="49"/>
        <v>0</v>
      </c>
      <c r="F83" s="66"/>
      <c r="G83" s="66">
        <f t="shared" si="30"/>
        <v>0</v>
      </c>
      <c r="H83" s="66">
        <f t="shared" si="50"/>
        <v>0</v>
      </c>
      <c r="I83" s="66">
        <f t="shared" si="51"/>
        <v>0</v>
      </c>
      <c r="J83" s="153">
        <f>MAX(MIN(IF(MONTH($A83)=PRIN_MATURITY,IF(ISNA(VLOOKUP(DATE(YEAR($A83),PRIN_MATURITY,PRIN_MATURITY_DAY_SUB),Summary!$D$12:$CJ$57,COLUMNS(Summary!$D$12:$CJ$12))),0,VLOOKUP(DATE(YEAR($A83),PRIN_MATURITY,PRIN_MATURITY_DAY_SUB),Summary!$D$12:$CJ$57,COLUMNS(Summary!$D$12:$CJ$12))),0),$I83),0)</f>
        <v>0</v>
      </c>
      <c r="K83" s="66">
        <f t="shared" ca="1" si="36"/>
        <v>0</v>
      </c>
      <c r="L83" s="154">
        <f t="shared" ca="1" si="37"/>
        <v>0</v>
      </c>
      <c r="M83" s="66">
        <f t="shared" ca="1" si="34"/>
        <v>0</v>
      </c>
      <c r="N83" s="66">
        <f t="shared" ca="1" si="38"/>
        <v>0</v>
      </c>
      <c r="O83" s="66">
        <f t="shared" ca="1" si="43"/>
        <v>0</v>
      </c>
      <c r="P83" s="70">
        <f t="shared" ca="1" si="44"/>
        <v>0</v>
      </c>
      <c r="Q83" s="66"/>
      <c r="R83" s="66"/>
      <c r="S83" s="66">
        <f t="shared" ca="1" si="39"/>
        <v>0</v>
      </c>
      <c r="T83" s="70">
        <f t="shared" ca="1" si="45"/>
        <v>0</v>
      </c>
      <c r="U83" s="70">
        <f ca="1">$G$97-SUM($G$11:G83)</f>
        <v>0</v>
      </c>
      <c r="W83" s="68">
        <f t="shared" si="52"/>
        <v>0</v>
      </c>
      <c r="Z83" s="83">
        <f>IF(MONTH($A83)=PRIN_MATURITY,IF(ISNA(VLOOKUP(DATE(YEAR($A83),PRIN_MATURITY,PRIN_MATURITY_DAY_SENIOR),Summary!$D$14:$CJ$56,COLUMNS(Summary!$D$13:$CJ$15),FALSE))=TRUE,0,VLOOKUP(DATE(YEAR($A83),PRIN_MATURITY,PRIN_MATURITY_DAY_SENIOR),Summary!$D$13:$CJ$56,COLUMNS(Summary!$D$13:$CJ$15),FALSE)),0)</f>
        <v>0</v>
      </c>
      <c r="AA83" s="84">
        <f ca="1">IF(ISERROR(IF(ISNA(VLOOKUP($A83,Summary!$D$13:$CJ$54,COLUMNS(Summary!$D$13:$CJ$15),FALSE))=TRUE,0,VLOOKUP($A83,Summary!$D$14:$CJ$54,COLUMNS(Summary!$D$13:$CJ$15),FALSE))/T83),0,IF(ISNA(VLOOKUP($A83,Summary!$C$13:$CJ$54,COLUMNS(Summary!$D$13:$CJ$15)))=TRUE,0,VLOOKUP($A83,Summary!$D$13:$CJ$54,COLUMNS(Summary!$D$13:$CJ$15)))/T83)</f>
        <v>0</v>
      </c>
      <c r="AB83" s="72" t="str">
        <f t="shared" si="46"/>
        <v/>
      </c>
      <c r="AC83" s="83">
        <f t="shared" ca="1" si="53"/>
        <v>0</v>
      </c>
      <c r="AE83" s="83">
        <f t="shared" si="40"/>
        <v>0</v>
      </c>
      <c r="AF83" s="70">
        <f t="shared" ca="1" si="41"/>
        <v>0</v>
      </c>
      <c r="AG83" s="83"/>
    </row>
    <row r="84" spans="1:33" hidden="1" outlineLevel="2" x14ac:dyDescent="0.25">
      <c r="A84" s="67">
        <f t="shared" si="47"/>
        <v>0</v>
      </c>
      <c r="B84" s="68">
        <f t="shared" si="42"/>
        <v>0</v>
      </c>
      <c r="C84" s="68">
        <f t="shared" si="48"/>
        <v>0</v>
      </c>
      <c r="D84" s="68">
        <f t="shared" si="35"/>
        <v>0</v>
      </c>
      <c r="E84" s="66">
        <f t="shared" si="49"/>
        <v>0</v>
      </c>
      <c r="F84" s="66"/>
      <c r="G84" s="66">
        <f t="shared" si="30"/>
        <v>0</v>
      </c>
      <c r="H84" s="66">
        <f t="shared" si="50"/>
        <v>0</v>
      </c>
      <c r="I84" s="66">
        <f t="shared" si="51"/>
        <v>0</v>
      </c>
      <c r="J84" s="153">
        <f>MAX(MIN(IF(MONTH($A84)=PRIN_MATURITY,IF(ISNA(VLOOKUP(DATE(YEAR($A84),PRIN_MATURITY,PRIN_MATURITY_DAY_SUB),Summary!$D$12:$CJ$57,COLUMNS(Summary!$D$12:$CJ$12))),0,VLOOKUP(DATE(YEAR($A84),PRIN_MATURITY,PRIN_MATURITY_DAY_SUB),Summary!$D$12:$CJ$57,COLUMNS(Summary!$D$12:$CJ$12))),0),$I84),0)</f>
        <v>0</v>
      </c>
      <c r="K84" s="66">
        <f t="shared" ca="1" si="36"/>
        <v>0</v>
      </c>
      <c r="L84" s="154">
        <f t="shared" ca="1" si="37"/>
        <v>0</v>
      </c>
      <c r="M84" s="66">
        <f t="shared" ca="1" si="34"/>
        <v>0</v>
      </c>
      <c r="N84" s="66">
        <f t="shared" ca="1" si="38"/>
        <v>0</v>
      </c>
      <c r="O84" s="66">
        <f t="shared" ca="1" si="43"/>
        <v>0</v>
      </c>
      <c r="P84" s="70">
        <f t="shared" ca="1" si="44"/>
        <v>0</v>
      </c>
      <c r="Q84" s="66"/>
      <c r="R84" s="66"/>
      <c r="S84" s="66">
        <f t="shared" ca="1" si="39"/>
        <v>0</v>
      </c>
      <c r="T84" s="70">
        <f t="shared" ca="1" si="45"/>
        <v>0</v>
      </c>
      <c r="U84" s="70">
        <f ca="1">$G$97-SUM($G$11:G84)</f>
        <v>0</v>
      </c>
      <c r="W84" s="68">
        <f t="shared" si="52"/>
        <v>0</v>
      </c>
      <c r="Z84" s="83">
        <f>IF(MONTH($A84)=PRIN_MATURITY,IF(ISNA(VLOOKUP(DATE(YEAR($A84),PRIN_MATURITY,PRIN_MATURITY_DAY_SENIOR),Summary!$D$14:$CJ$56,COLUMNS(Summary!$D$13:$CJ$15),FALSE))=TRUE,0,VLOOKUP(DATE(YEAR($A84),PRIN_MATURITY,PRIN_MATURITY_DAY_SENIOR),Summary!$D$13:$CJ$56,COLUMNS(Summary!$D$13:$CJ$15),FALSE)),0)</f>
        <v>0</v>
      </c>
      <c r="AA84" s="84">
        <f ca="1">IF(ISERROR(IF(ISNA(VLOOKUP($A84,Summary!$D$13:$CJ$54,COLUMNS(Summary!$D$13:$CJ$15),FALSE))=TRUE,0,VLOOKUP($A84,Summary!$D$14:$CJ$54,COLUMNS(Summary!$D$13:$CJ$15),FALSE))/T84),0,IF(ISNA(VLOOKUP($A84,Summary!$C$13:$CJ$54,COLUMNS(Summary!$D$13:$CJ$15)))=TRUE,0,VLOOKUP($A84,Summary!$D$13:$CJ$54,COLUMNS(Summary!$D$13:$CJ$15)))/T84)</f>
        <v>0</v>
      </c>
      <c r="AB84" s="72" t="str">
        <f t="shared" si="46"/>
        <v/>
      </c>
      <c r="AC84" s="83">
        <f t="shared" ca="1" si="53"/>
        <v>0</v>
      </c>
      <c r="AE84" s="83">
        <f t="shared" si="40"/>
        <v>0</v>
      </c>
      <c r="AF84" s="70">
        <f t="shared" ca="1" si="41"/>
        <v>0</v>
      </c>
      <c r="AG84" s="83"/>
    </row>
    <row r="85" spans="1:33" hidden="1" outlineLevel="2" x14ac:dyDescent="0.25">
      <c r="A85" s="67">
        <f t="shared" si="47"/>
        <v>0</v>
      </c>
      <c r="B85" s="68">
        <f t="shared" si="42"/>
        <v>0</v>
      </c>
      <c r="C85" s="68">
        <f t="shared" si="48"/>
        <v>0</v>
      </c>
      <c r="D85" s="68">
        <f t="shared" si="35"/>
        <v>0</v>
      </c>
      <c r="E85" s="66">
        <f t="shared" si="49"/>
        <v>0</v>
      </c>
      <c r="F85" s="66"/>
      <c r="G85" s="66">
        <f t="shared" si="30"/>
        <v>0</v>
      </c>
      <c r="H85" s="66">
        <f t="shared" si="50"/>
        <v>0</v>
      </c>
      <c r="I85" s="66">
        <f t="shared" si="51"/>
        <v>0</v>
      </c>
      <c r="J85" s="153">
        <f>MAX(MIN(IF(MONTH($A85)=PRIN_MATURITY,IF(ISNA(VLOOKUP(DATE(YEAR($A85),PRIN_MATURITY,PRIN_MATURITY_DAY_SUB),Summary!$D$12:$CJ$57,COLUMNS(Summary!$D$12:$CJ$12))),0,VLOOKUP(DATE(YEAR($A85),PRIN_MATURITY,PRIN_MATURITY_DAY_SUB),Summary!$D$12:$CJ$57,COLUMNS(Summary!$D$12:$CJ$12))),0),$I85),0)</f>
        <v>0</v>
      </c>
      <c r="K85" s="66">
        <f t="shared" ca="1" si="36"/>
        <v>0</v>
      </c>
      <c r="L85" s="154">
        <f t="shared" ca="1" si="37"/>
        <v>0</v>
      </c>
      <c r="M85" s="66">
        <f t="shared" ca="1" si="34"/>
        <v>0</v>
      </c>
      <c r="N85" s="66">
        <f t="shared" ca="1" si="38"/>
        <v>0</v>
      </c>
      <c r="O85" s="66">
        <f t="shared" ca="1" si="43"/>
        <v>0</v>
      </c>
      <c r="P85" s="70">
        <f t="shared" ca="1" si="44"/>
        <v>0</v>
      </c>
      <c r="Q85" s="66"/>
      <c r="R85" s="66"/>
      <c r="S85" s="66">
        <f t="shared" ca="1" si="39"/>
        <v>0</v>
      </c>
      <c r="T85" s="70">
        <f t="shared" ca="1" si="45"/>
        <v>0</v>
      </c>
      <c r="U85" s="70">
        <f ca="1">$G$97-SUM($G$11:G85)</f>
        <v>0</v>
      </c>
      <c r="W85" s="68">
        <f t="shared" si="52"/>
        <v>0</v>
      </c>
      <c r="Z85" s="83">
        <f>IF(MONTH($A85)=PRIN_MATURITY,IF(ISNA(VLOOKUP(DATE(YEAR($A85),PRIN_MATURITY,PRIN_MATURITY_DAY_SENIOR),Summary!$D$14:$CJ$56,COLUMNS(Summary!$D$13:$CJ$15),FALSE))=TRUE,0,VLOOKUP(DATE(YEAR($A85),PRIN_MATURITY,PRIN_MATURITY_DAY_SENIOR),Summary!$D$13:$CJ$56,COLUMNS(Summary!$D$13:$CJ$15),FALSE)),0)</f>
        <v>0</v>
      </c>
      <c r="AA85" s="84">
        <f ca="1">IF(ISERROR(IF(ISNA(VLOOKUP($A85,Summary!$D$13:$CJ$54,COLUMNS(Summary!$D$13:$CJ$15),FALSE))=TRUE,0,VLOOKUP($A85,Summary!$D$14:$CJ$54,COLUMNS(Summary!$D$13:$CJ$15),FALSE))/T85),0,IF(ISNA(VLOOKUP($A85,Summary!$C$13:$CJ$54,COLUMNS(Summary!$D$13:$CJ$15)))=TRUE,0,VLOOKUP($A85,Summary!$D$13:$CJ$54,COLUMNS(Summary!$D$13:$CJ$15)))/T85)</f>
        <v>0</v>
      </c>
      <c r="AB85" s="72" t="str">
        <f t="shared" si="46"/>
        <v/>
      </c>
      <c r="AC85" s="83">
        <f t="shared" ca="1" si="53"/>
        <v>0</v>
      </c>
      <c r="AE85" s="83">
        <f t="shared" si="40"/>
        <v>0</v>
      </c>
      <c r="AF85" s="70">
        <f t="shared" ca="1" si="41"/>
        <v>0</v>
      </c>
      <c r="AG85" s="83"/>
    </row>
    <row r="86" spans="1:33" hidden="1" outlineLevel="2" x14ac:dyDescent="0.25">
      <c r="A86" s="67">
        <f t="shared" si="47"/>
        <v>0</v>
      </c>
      <c r="B86" s="68">
        <f t="shared" si="42"/>
        <v>0</v>
      </c>
      <c r="C86" s="68">
        <f t="shared" si="48"/>
        <v>0</v>
      </c>
      <c r="D86" s="68">
        <f t="shared" si="35"/>
        <v>0</v>
      </c>
      <c r="E86" s="66">
        <f t="shared" si="49"/>
        <v>0</v>
      </c>
      <c r="F86" s="66"/>
      <c r="G86" s="66">
        <f t="shared" si="30"/>
        <v>0</v>
      </c>
      <c r="H86" s="66">
        <f t="shared" si="50"/>
        <v>0</v>
      </c>
      <c r="I86" s="66">
        <f t="shared" si="51"/>
        <v>0</v>
      </c>
      <c r="J86" s="153">
        <f>MAX(MIN(IF(MONTH($A86)=PRIN_MATURITY,IF(ISNA(VLOOKUP(DATE(YEAR($A86),PRIN_MATURITY,PRIN_MATURITY_DAY_SUB),Summary!$D$12:$CJ$57,COLUMNS(Summary!$D$12:$CJ$12))),0,VLOOKUP(DATE(YEAR($A86),PRIN_MATURITY,PRIN_MATURITY_DAY_SUB),Summary!$D$12:$CJ$57,COLUMNS(Summary!$D$12:$CJ$12))),0),$I86),0)</f>
        <v>0</v>
      </c>
      <c r="K86" s="66">
        <f t="shared" ca="1" si="36"/>
        <v>0</v>
      </c>
      <c r="L86" s="154">
        <f t="shared" ca="1" si="37"/>
        <v>0</v>
      </c>
      <c r="M86" s="66">
        <f t="shared" ca="1" si="34"/>
        <v>0</v>
      </c>
      <c r="N86" s="66">
        <f t="shared" ca="1" si="38"/>
        <v>0</v>
      </c>
      <c r="O86" s="66">
        <f t="shared" ca="1" si="43"/>
        <v>0</v>
      </c>
      <c r="P86" s="70">
        <f t="shared" ca="1" si="44"/>
        <v>0</v>
      </c>
      <c r="Q86" s="66"/>
      <c r="R86" s="66"/>
      <c r="S86" s="66">
        <f t="shared" ca="1" si="39"/>
        <v>0</v>
      </c>
      <c r="T86" s="70">
        <f t="shared" ca="1" si="45"/>
        <v>0</v>
      </c>
      <c r="U86" s="70">
        <f ca="1">$G$97-SUM($G$11:G86)</f>
        <v>0</v>
      </c>
      <c r="W86" s="68">
        <f t="shared" si="52"/>
        <v>0</v>
      </c>
      <c r="Z86" s="83">
        <f>IF(MONTH($A86)=PRIN_MATURITY,IF(ISNA(VLOOKUP(DATE(YEAR($A86),PRIN_MATURITY,PRIN_MATURITY_DAY_SENIOR),Summary!$D$14:$CJ$56,COLUMNS(Summary!$D$13:$CJ$15),FALSE))=TRUE,0,VLOOKUP(DATE(YEAR($A86),PRIN_MATURITY,PRIN_MATURITY_DAY_SENIOR),Summary!$D$13:$CJ$56,COLUMNS(Summary!$D$13:$CJ$15),FALSE)),0)</f>
        <v>0</v>
      </c>
      <c r="AA86" s="84">
        <f ca="1">IF(ISERROR(IF(ISNA(VLOOKUP($A86,Summary!$D$13:$CJ$54,COLUMNS(Summary!$D$13:$CJ$15),FALSE))=TRUE,0,VLOOKUP($A86,Summary!$D$14:$CJ$54,COLUMNS(Summary!$D$13:$CJ$15),FALSE))/T86),0,IF(ISNA(VLOOKUP($A86,Summary!$C$13:$CJ$54,COLUMNS(Summary!$D$13:$CJ$15)))=TRUE,0,VLOOKUP($A86,Summary!$D$13:$CJ$54,COLUMNS(Summary!$D$13:$CJ$15)))/T86)</f>
        <v>0</v>
      </c>
      <c r="AB86" s="72" t="str">
        <f t="shared" si="46"/>
        <v/>
      </c>
      <c r="AC86" s="83">
        <f t="shared" ca="1" si="53"/>
        <v>0</v>
      </c>
      <c r="AE86" s="83">
        <f t="shared" si="40"/>
        <v>0</v>
      </c>
      <c r="AF86" s="70">
        <f t="shared" ca="1" si="41"/>
        <v>0</v>
      </c>
      <c r="AG86" s="83"/>
    </row>
    <row r="87" spans="1:33" hidden="1" outlineLevel="2" x14ac:dyDescent="0.25">
      <c r="A87" s="67">
        <f t="shared" si="47"/>
        <v>0</v>
      </c>
      <c r="B87" s="68">
        <f t="shared" si="42"/>
        <v>0</v>
      </c>
      <c r="C87" s="68">
        <f t="shared" si="48"/>
        <v>0</v>
      </c>
      <c r="D87" s="68">
        <f t="shared" si="35"/>
        <v>0</v>
      </c>
      <c r="E87" s="66">
        <f t="shared" si="49"/>
        <v>0</v>
      </c>
      <c r="F87" s="66"/>
      <c r="G87" s="66">
        <f t="shared" si="30"/>
        <v>0</v>
      </c>
      <c r="H87" s="66">
        <f t="shared" si="50"/>
        <v>0</v>
      </c>
      <c r="I87" s="66">
        <f t="shared" si="51"/>
        <v>0</v>
      </c>
      <c r="J87" s="153">
        <f>MAX(MIN(IF(MONTH($A87)=PRIN_MATURITY,IF(ISNA(VLOOKUP(DATE(YEAR($A87),PRIN_MATURITY,PRIN_MATURITY_DAY_SUB),Summary!$D$12:$CJ$57,COLUMNS(Summary!$D$12:$CJ$12))),0,VLOOKUP(DATE(YEAR($A87),PRIN_MATURITY,PRIN_MATURITY_DAY_SUB),Summary!$D$12:$CJ$57,COLUMNS(Summary!$D$12:$CJ$12))),0),$I87),0)</f>
        <v>0</v>
      </c>
      <c r="K87" s="66">
        <f t="shared" ca="1" si="36"/>
        <v>0</v>
      </c>
      <c r="L87" s="154">
        <f t="shared" ca="1" si="37"/>
        <v>0</v>
      </c>
      <c r="M87" s="66">
        <f t="shared" ca="1" si="34"/>
        <v>0</v>
      </c>
      <c r="N87" s="66">
        <f t="shared" ca="1" si="38"/>
        <v>0</v>
      </c>
      <c r="O87" s="66">
        <f t="shared" ca="1" si="43"/>
        <v>0</v>
      </c>
      <c r="P87" s="70">
        <f t="shared" ca="1" si="44"/>
        <v>0</v>
      </c>
      <c r="Q87" s="66"/>
      <c r="R87" s="66"/>
      <c r="S87" s="66">
        <f t="shared" ca="1" si="39"/>
        <v>0</v>
      </c>
      <c r="T87" s="70">
        <f t="shared" ca="1" si="45"/>
        <v>0</v>
      </c>
      <c r="U87" s="70">
        <f ca="1">$G$97-SUM($G$11:G87)</f>
        <v>0</v>
      </c>
      <c r="W87" s="68">
        <f t="shared" si="52"/>
        <v>0</v>
      </c>
      <c r="Z87" s="83">
        <f>IF(MONTH($A87)=PRIN_MATURITY,IF(ISNA(VLOOKUP(DATE(YEAR($A87),PRIN_MATURITY,PRIN_MATURITY_DAY_SENIOR),Summary!$D$14:$CJ$56,COLUMNS(Summary!$D$13:$CJ$15),FALSE))=TRUE,0,VLOOKUP(DATE(YEAR($A87),PRIN_MATURITY,PRIN_MATURITY_DAY_SENIOR),Summary!$D$13:$CJ$56,COLUMNS(Summary!$D$13:$CJ$15),FALSE)),0)</f>
        <v>0</v>
      </c>
      <c r="AA87" s="84">
        <f ca="1">IF(ISERROR(IF(ISNA(VLOOKUP($A87,Summary!$D$13:$CJ$54,COLUMNS(Summary!$D$13:$CJ$15),FALSE))=TRUE,0,VLOOKUP($A87,Summary!$D$14:$CJ$54,COLUMNS(Summary!$D$13:$CJ$15),FALSE))/T87),0,IF(ISNA(VLOOKUP($A87,Summary!$C$13:$CJ$54,COLUMNS(Summary!$D$13:$CJ$15)))=TRUE,0,VLOOKUP($A87,Summary!$D$13:$CJ$54,COLUMNS(Summary!$D$13:$CJ$15)))/T87)</f>
        <v>0</v>
      </c>
      <c r="AB87" s="72" t="str">
        <f t="shared" si="46"/>
        <v/>
      </c>
      <c r="AC87" s="83">
        <f t="shared" ca="1" si="53"/>
        <v>0</v>
      </c>
      <c r="AE87" s="83">
        <f t="shared" si="40"/>
        <v>0</v>
      </c>
      <c r="AF87" s="70">
        <f t="shared" ca="1" si="41"/>
        <v>0</v>
      </c>
      <c r="AG87" s="83"/>
    </row>
    <row r="88" spans="1:33" hidden="1" outlineLevel="2" x14ac:dyDescent="0.25">
      <c r="A88" s="67">
        <f t="shared" si="47"/>
        <v>0</v>
      </c>
      <c r="B88" s="68">
        <f t="shared" si="42"/>
        <v>0</v>
      </c>
      <c r="C88" s="68">
        <f t="shared" si="48"/>
        <v>0</v>
      </c>
      <c r="D88" s="68">
        <f t="shared" si="35"/>
        <v>0</v>
      </c>
      <c r="E88" s="66">
        <f t="shared" si="49"/>
        <v>0</v>
      </c>
      <c r="F88" s="66"/>
      <c r="G88" s="66">
        <f t="shared" si="30"/>
        <v>0</v>
      </c>
      <c r="H88" s="66">
        <f t="shared" si="50"/>
        <v>0</v>
      </c>
      <c r="I88" s="66">
        <f t="shared" si="51"/>
        <v>0</v>
      </c>
      <c r="J88" s="153">
        <f>MAX(MIN(IF(MONTH($A88)=PRIN_MATURITY,IF(ISNA(VLOOKUP(DATE(YEAR($A88),PRIN_MATURITY,PRIN_MATURITY_DAY_SUB),Summary!$D$12:$CJ$57,COLUMNS(Summary!$D$12:$CJ$12))),0,VLOOKUP(DATE(YEAR($A88),PRIN_MATURITY,PRIN_MATURITY_DAY_SUB),Summary!$D$12:$CJ$57,COLUMNS(Summary!$D$12:$CJ$12))),0),$I88),0)</f>
        <v>0</v>
      </c>
      <c r="K88" s="66">
        <f t="shared" ca="1" si="36"/>
        <v>0</v>
      </c>
      <c r="L88" s="154">
        <f t="shared" ca="1" si="37"/>
        <v>0</v>
      </c>
      <c r="M88" s="66">
        <f t="shared" ca="1" si="34"/>
        <v>0</v>
      </c>
      <c r="N88" s="66">
        <f t="shared" ca="1" si="38"/>
        <v>0</v>
      </c>
      <c r="O88" s="66">
        <f t="shared" ca="1" si="43"/>
        <v>0</v>
      </c>
      <c r="P88" s="70">
        <f t="shared" ca="1" si="44"/>
        <v>0</v>
      </c>
      <c r="Q88" s="66"/>
      <c r="R88" s="66"/>
      <c r="S88" s="66">
        <f t="shared" ca="1" si="39"/>
        <v>0</v>
      </c>
      <c r="T88" s="70">
        <f t="shared" ca="1" si="45"/>
        <v>0</v>
      </c>
      <c r="U88" s="70">
        <f ca="1">$G$97-SUM($G$11:G88)</f>
        <v>0</v>
      </c>
      <c r="W88" s="68">
        <f t="shared" si="52"/>
        <v>0</v>
      </c>
      <c r="Z88" s="83">
        <f>IF(MONTH($A88)=PRIN_MATURITY,IF(ISNA(VLOOKUP(DATE(YEAR($A88),PRIN_MATURITY,PRIN_MATURITY_DAY_SENIOR),Summary!$D$14:$CJ$56,COLUMNS(Summary!$D$13:$CJ$15),FALSE))=TRUE,0,VLOOKUP(DATE(YEAR($A88),PRIN_MATURITY,PRIN_MATURITY_DAY_SENIOR),Summary!$D$13:$CJ$56,COLUMNS(Summary!$D$13:$CJ$15),FALSE)),0)</f>
        <v>0</v>
      </c>
      <c r="AA88" s="84">
        <f ca="1">IF(ISERROR(IF(ISNA(VLOOKUP($A88,Summary!$D$13:$CJ$54,COLUMNS(Summary!$D$13:$CJ$15),FALSE))=TRUE,0,VLOOKUP($A88,Summary!$D$14:$CJ$54,COLUMNS(Summary!$D$13:$CJ$15),FALSE))/T88),0,IF(ISNA(VLOOKUP($A88,Summary!$C$13:$CJ$54,COLUMNS(Summary!$D$13:$CJ$15)))=TRUE,0,VLOOKUP($A88,Summary!$D$13:$CJ$54,COLUMNS(Summary!$D$13:$CJ$15)))/T88)</f>
        <v>0</v>
      </c>
      <c r="AB88" s="72" t="str">
        <f t="shared" si="46"/>
        <v/>
      </c>
      <c r="AC88" s="83">
        <f t="shared" ca="1" si="53"/>
        <v>0</v>
      </c>
      <c r="AE88" s="83">
        <f t="shared" si="40"/>
        <v>0</v>
      </c>
      <c r="AF88" s="70">
        <f t="shared" ca="1" si="41"/>
        <v>0</v>
      </c>
      <c r="AG88" s="83"/>
    </row>
    <row r="89" spans="1:33" hidden="1" outlineLevel="2" x14ac:dyDescent="0.25">
      <c r="A89" s="67">
        <f t="shared" si="47"/>
        <v>0</v>
      </c>
      <c r="B89" s="68">
        <f t="shared" si="42"/>
        <v>0</v>
      </c>
      <c r="C89" s="68">
        <f t="shared" si="48"/>
        <v>0</v>
      </c>
      <c r="D89" s="68">
        <f t="shared" si="35"/>
        <v>0</v>
      </c>
      <c r="E89" s="66">
        <f t="shared" si="49"/>
        <v>0</v>
      </c>
      <c r="F89" s="66"/>
      <c r="G89" s="66">
        <f t="shared" si="30"/>
        <v>0</v>
      </c>
      <c r="H89" s="66">
        <f t="shared" si="50"/>
        <v>0</v>
      </c>
      <c r="I89" s="66">
        <f t="shared" si="51"/>
        <v>0</v>
      </c>
      <c r="J89" s="153">
        <f>MAX(MIN(IF(MONTH($A89)=PRIN_MATURITY,IF(ISNA(VLOOKUP(DATE(YEAR($A89),PRIN_MATURITY,PRIN_MATURITY_DAY_SUB),Summary!$D$12:$CJ$57,COLUMNS(Summary!$D$12:$CJ$12))),0,VLOOKUP(DATE(YEAR($A89),PRIN_MATURITY,PRIN_MATURITY_DAY_SUB),Summary!$D$12:$CJ$57,COLUMNS(Summary!$D$12:$CJ$12))),0),$I89),0)</f>
        <v>0</v>
      </c>
      <c r="K89" s="66">
        <f t="shared" ca="1" si="36"/>
        <v>0</v>
      </c>
      <c r="L89" s="154">
        <f t="shared" ca="1" si="37"/>
        <v>0</v>
      </c>
      <c r="M89" s="66">
        <f t="shared" ca="1" si="34"/>
        <v>0</v>
      </c>
      <c r="N89" s="66">
        <f t="shared" ca="1" si="38"/>
        <v>0</v>
      </c>
      <c r="O89" s="66">
        <f t="shared" ca="1" si="43"/>
        <v>0</v>
      </c>
      <c r="P89" s="70">
        <f t="shared" ca="1" si="44"/>
        <v>0</v>
      </c>
      <c r="Q89" s="66"/>
      <c r="R89" s="66"/>
      <c r="S89" s="66">
        <f t="shared" ca="1" si="39"/>
        <v>0</v>
      </c>
      <c r="T89" s="70">
        <f t="shared" ca="1" si="45"/>
        <v>0</v>
      </c>
      <c r="U89" s="70">
        <f ca="1">$G$97-SUM($G$11:G89)</f>
        <v>0</v>
      </c>
      <c r="W89" s="68">
        <f t="shared" si="52"/>
        <v>0</v>
      </c>
      <c r="Z89" s="83">
        <f>IF(MONTH($A89)=PRIN_MATURITY,IF(ISNA(VLOOKUP(DATE(YEAR($A89),PRIN_MATURITY,PRIN_MATURITY_DAY_SENIOR),Summary!$D$14:$CJ$56,COLUMNS(Summary!$D$13:$CJ$15),FALSE))=TRUE,0,VLOOKUP(DATE(YEAR($A89),PRIN_MATURITY,PRIN_MATURITY_DAY_SENIOR),Summary!$D$13:$CJ$56,COLUMNS(Summary!$D$13:$CJ$15),FALSE)),0)</f>
        <v>0</v>
      </c>
      <c r="AA89" s="84">
        <f ca="1">IF(ISERROR(IF(ISNA(VLOOKUP($A89,Summary!$D$13:$CJ$54,COLUMNS(Summary!$D$13:$CJ$15),FALSE))=TRUE,0,VLOOKUP($A89,Summary!$D$14:$CJ$54,COLUMNS(Summary!$D$13:$CJ$15),FALSE))/T89),0,IF(ISNA(VLOOKUP($A89,Summary!$C$13:$CJ$54,COLUMNS(Summary!$D$13:$CJ$15)))=TRUE,0,VLOOKUP($A89,Summary!$D$13:$CJ$54,COLUMNS(Summary!$D$13:$CJ$15)))/T89)</f>
        <v>0</v>
      </c>
      <c r="AB89" s="72" t="str">
        <f t="shared" si="46"/>
        <v/>
      </c>
      <c r="AC89" s="83">
        <f t="shared" ca="1" si="53"/>
        <v>0</v>
      </c>
      <c r="AE89" s="83">
        <f t="shared" si="40"/>
        <v>0</v>
      </c>
      <c r="AF89" s="70">
        <f t="shared" ca="1" si="41"/>
        <v>0</v>
      </c>
      <c r="AG89" s="83"/>
    </row>
    <row r="90" spans="1:33" hidden="1" outlineLevel="2" x14ac:dyDescent="0.25">
      <c r="A90" s="67">
        <f t="shared" si="47"/>
        <v>0</v>
      </c>
      <c r="B90" s="68">
        <f t="shared" si="42"/>
        <v>0</v>
      </c>
      <c r="C90" s="68">
        <f t="shared" si="48"/>
        <v>0</v>
      </c>
      <c r="D90" s="68">
        <f t="shared" si="35"/>
        <v>0</v>
      </c>
      <c r="E90" s="66">
        <f t="shared" si="49"/>
        <v>0</v>
      </c>
      <c r="F90" s="66"/>
      <c r="G90" s="66">
        <f t="shared" si="30"/>
        <v>0</v>
      </c>
      <c r="H90" s="66">
        <f t="shared" si="50"/>
        <v>0</v>
      </c>
      <c r="I90" s="66">
        <f t="shared" si="51"/>
        <v>0</v>
      </c>
      <c r="J90" s="153">
        <f>MAX(MIN(IF(MONTH($A90)=PRIN_MATURITY,IF(ISNA(VLOOKUP(DATE(YEAR($A90),PRIN_MATURITY,PRIN_MATURITY_DAY_SUB),Summary!$D$12:$CJ$57,COLUMNS(Summary!$D$12:$CJ$12))),0,VLOOKUP(DATE(YEAR($A90),PRIN_MATURITY,PRIN_MATURITY_DAY_SUB),Summary!$D$12:$CJ$57,COLUMNS(Summary!$D$12:$CJ$12))),0),$I90),0)</f>
        <v>0</v>
      </c>
      <c r="K90" s="66">
        <f t="shared" ca="1" si="36"/>
        <v>0</v>
      </c>
      <c r="L90" s="154">
        <f t="shared" ca="1" si="37"/>
        <v>0</v>
      </c>
      <c r="M90" s="66">
        <f t="shared" ca="1" si="34"/>
        <v>0</v>
      </c>
      <c r="N90" s="66">
        <f t="shared" ca="1" si="38"/>
        <v>0</v>
      </c>
      <c r="O90" s="66">
        <f t="shared" ca="1" si="43"/>
        <v>0</v>
      </c>
      <c r="P90" s="70">
        <f t="shared" ca="1" si="44"/>
        <v>0</v>
      </c>
      <c r="Q90" s="66"/>
      <c r="R90" s="66"/>
      <c r="S90" s="66">
        <f t="shared" ca="1" si="39"/>
        <v>0</v>
      </c>
      <c r="T90" s="70">
        <f t="shared" ca="1" si="45"/>
        <v>0</v>
      </c>
      <c r="U90" s="70">
        <f ca="1">$G$97-SUM($G$11:G90)</f>
        <v>0</v>
      </c>
      <c r="W90" s="68">
        <f t="shared" si="52"/>
        <v>0</v>
      </c>
      <c r="Z90" s="83">
        <f>IF(MONTH($A90)=PRIN_MATURITY,IF(ISNA(VLOOKUP(DATE(YEAR($A90),PRIN_MATURITY,PRIN_MATURITY_DAY_SENIOR),Summary!$D$14:$CJ$56,COLUMNS(Summary!$D$13:$CJ$15),FALSE))=TRUE,0,VLOOKUP(DATE(YEAR($A90),PRIN_MATURITY,PRIN_MATURITY_DAY_SENIOR),Summary!$D$13:$CJ$56,COLUMNS(Summary!$D$13:$CJ$15),FALSE)),0)</f>
        <v>0</v>
      </c>
      <c r="AA90" s="84">
        <f ca="1">IF(ISERROR(IF(ISNA(VLOOKUP($A90,Summary!$D$13:$CJ$54,COLUMNS(Summary!$D$13:$CJ$15),FALSE))=TRUE,0,VLOOKUP($A90,Summary!$D$14:$CJ$54,COLUMNS(Summary!$D$13:$CJ$15),FALSE))/T90),0,IF(ISNA(VLOOKUP($A90,Summary!$C$13:$CJ$54,COLUMNS(Summary!$D$13:$CJ$15)))=TRUE,0,VLOOKUP($A90,Summary!$D$13:$CJ$54,COLUMNS(Summary!$D$13:$CJ$15)))/T90)</f>
        <v>0</v>
      </c>
      <c r="AB90" s="72" t="str">
        <f t="shared" si="46"/>
        <v/>
      </c>
      <c r="AC90" s="83">
        <f t="shared" ca="1" si="53"/>
        <v>0</v>
      </c>
      <c r="AE90" s="83">
        <f t="shared" si="40"/>
        <v>0</v>
      </c>
      <c r="AF90" s="70">
        <f t="shared" ca="1" si="41"/>
        <v>0</v>
      </c>
      <c r="AG90" s="83"/>
    </row>
    <row r="91" spans="1:33" hidden="1" outlineLevel="2" x14ac:dyDescent="0.25">
      <c r="A91" s="67">
        <f t="shared" si="47"/>
        <v>0</v>
      </c>
      <c r="B91" s="68">
        <f t="shared" si="42"/>
        <v>0</v>
      </c>
      <c r="C91" s="68">
        <f t="shared" si="48"/>
        <v>0</v>
      </c>
      <c r="D91" s="68">
        <f t="shared" si="35"/>
        <v>0</v>
      </c>
      <c r="E91" s="66">
        <f t="shared" si="49"/>
        <v>0</v>
      </c>
      <c r="F91" s="66"/>
      <c r="G91" s="66">
        <f t="shared" si="30"/>
        <v>0</v>
      </c>
      <c r="H91" s="66">
        <f t="shared" si="50"/>
        <v>0</v>
      </c>
      <c r="I91" s="66">
        <f t="shared" si="51"/>
        <v>0</v>
      </c>
      <c r="J91" s="153">
        <f>MAX(MIN(IF(MONTH($A91)=PRIN_MATURITY,IF(ISNA(VLOOKUP(DATE(YEAR($A91),PRIN_MATURITY,PRIN_MATURITY_DAY_SUB),Summary!$D$12:$CJ$57,COLUMNS(Summary!$D$12:$CJ$12))),0,VLOOKUP(DATE(YEAR($A91),PRIN_MATURITY,PRIN_MATURITY_DAY_SUB),Summary!$D$12:$CJ$57,COLUMNS(Summary!$D$12:$CJ$12))),0),$I91),0)</f>
        <v>0</v>
      </c>
      <c r="K91" s="66">
        <f t="shared" ca="1" si="36"/>
        <v>0</v>
      </c>
      <c r="L91" s="154">
        <f t="shared" ca="1" si="37"/>
        <v>0</v>
      </c>
      <c r="M91" s="66">
        <f t="shared" ca="1" si="34"/>
        <v>0</v>
      </c>
      <c r="N91" s="66">
        <f t="shared" ca="1" si="38"/>
        <v>0</v>
      </c>
      <c r="O91" s="66">
        <f t="shared" ca="1" si="43"/>
        <v>0</v>
      </c>
      <c r="P91" s="70">
        <f t="shared" ca="1" si="44"/>
        <v>0</v>
      </c>
      <c r="Q91" s="66"/>
      <c r="R91" s="66"/>
      <c r="S91" s="66">
        <f t="shared" ca="1" si="39"/>
        <v>0</v>
      </c>
      <c r="T91" s="70">
        <f t="shared" ca="1" si="45"/>
        <v>0</v>
      </c>
      <c r="U91" s="70">
        <f ca="1">$G$97-SUM($G$11:G91)</f>
        <v>0</v>
      </c>
      <c r="W91" s="68">
        <f t="shared" si="52"/>
        <v>0</v>
      </c>
      <c r="Z91" s="83">
        <f>IF(MONTH($A91)=PRIN_MATURITY,IF(ISNA(VLOOKUP(DATE(YEAR($A91),PRIN_MATURITY,PRIN_MATURITY_DAY_SENIOR),Summary!$D$14:$CJ$56,COLUMNS(Summary!$D$13:$CJ$15),FALSE))=TRUE,0,VLOOKUP(DATE(YEAR($A91),PRIN_MATURITY,PRIN_MATURITY_DAY_SENIOR),Summary!$D$13:$CJ$56,COLUMNS(Summary!$D$13:$CJ$15),FALSE)),0)</f>
        <v>0</v>
      </c>
      <c r="AA91" s="84">
        <f ca="1">IF(ISERROR(IF(ISNA(VLOOKUP($A91,Summary!$D$13:$CJ$54,COLUMNS(Summary!$D$13:$CJ$15),FALSE))=TRUE,0,VLOOKUP($A91,Summary!$D$14:$CJ$54,COLUMNS(Summary!$D$13:$CJ$15),FALSE))/T91),0,IF(ISNA(VLOOKUP($A91,Summary!$C$13:$CJ$54,COLUMNS(Summary!$D$13:$CJ$15)))=TRUE,0,VLOOKUP($A91,Summary!$D$13:$CJ$54,COLUMNS(Summary!$D$13:$CJ$15)))/T91)</f>
        <v>0</v>
      </c>
      <c r="AB91" s="72" t="str">
        <f t="shared" si="46"/>
        <v/>
      </c>
      <c r="AC91" s="83">
        <f t="shared" ca="1" si="53"/>
        <v>0</v>
      </c>
      <c r="AE91" s="83">
        <f t="shared" si="40"/>
        <v>0</v>
      </c>
      <c r="AF91" s="70">
        <f t="shared" ca="1" si="41"/>
        <v>0</v>
      </c>
      <c r="AG91" s="83"/>
    </row>
    <row r="92" spans="1:33" hidden="1" outlineLevel="2" x14ac:dyDescent="0.25">
      <c r="A92" s="67">
        <f t="shared" si="47"/>
        <v>0</v>
      </c>
      <c r="B92" s="68">
        <f t="shared" si="42"/>
        <v>0</v>
      </c>
      <c r="C92" s="68">
        <f t="shared" si="48"/>
        <v>0</v>
      </c>
      <c r="D92" s="68">
        <f t="shared" si="35"/>
        <v>0</v>
      </c>
      <c r="E92" s="66">
        <f t="shared" si="49"/>
        <v>0</v>
      </c>
      <c r="F92" s="66"/>
      <c r="G92" s="66">
        <f t="shared" si="30"/>
        <v>0</v>
      </c>
      <c r="H92" s="66">
        <f t="shared" si="50"/>
        <v>0</v>
      </c>
      <c r="I92" s="66">
        <f t="shared" si="51"/>
        <v>0</v>
      </c>
      <c r="J92" s="153">
        <f>MAX(MIN(IF(MONTH($A92)=PRIN_MATURITY,IF(ISNA(VLOOKUP(DATE(YEAR($A92),PRIN_MATURITY,PRIN_MATURITY_DAY_SUB),Summary!$D$12:$CJ$57,COLUMNS(Summary!$D$12:$CJ$12))),0,VLOOKUP(DATE(YEAR($A92),PRIN_MATURITY,PRIN_MATURITY_DAY_SUB),Summary!$D$12:$CJ$57,COLUMNS(Summary!$D$12:$CJ$12))),0),$I92),0)</f>
        <v>0</v>
      </c>
      <c r="K92" s="66">
        <f t="shared" ca="1" si="36"/>
        <v>0</v>
      </c>
      <c r="L92" s="154">
        <f t="shared" ca="1" si="37"/>
        <v>0</v>
      </c>
      <c r="M92" s="66">
        <f t="shared" ca="1" si="34"/>
        <v>0</v>
      </c>
      <c r="N92" s="66">
        <f t="shared" ca="1" si="38"/>
        <v>0</v>
      </c>
      <c r="O92" s="66">
        <f t="shared" ca="1" si="43"/>
        <v>0</v>
      </c>
      <c r="P92" s="70">
        <f t="shared" ca="1" si="44"/>
        <v>0</v>
      </c>
      <c r="Q92" s="66"/>
      <c r="R92" s="66"/>
      <c r="S92" s="66">
        <f t="shared" ca="1" si="39"/>
        <v>0</v>
      </c>
      <c r="T92" s="70">
        <f t="shared" ca="1" si="45"/>
        <v>0</v>
      </c>
      <c r="U92" s="70">
        <f ca="1">$G$97-SUM($G$11:G92)</f>
        <v>0</v>
      </c>
      <c r="W92" s="68">
        <f t="shared" si="52"/>
        <v>0</v>
      </c>
      <c r="Z92" s="83">
        <f>IF(MONTH($A92)=PRIN_MATURITY,IF(ISNA(VLOOKUP(DATE(YEAR($A92),PRIN_MATURITY,PRIN_MATURITY_DAY_SENIOR),Summary!$D$14:$CJ$56,COLUMNS(Summary!$D$13:$CJ$15),FALSE))=TRUE,0,VLOOKUP(DATE(YEAR($A92),PRIN_MATURITY,PRIN_MATURITY_DAY_SENIOR),Summary!$D$13:$CJ$56,COLUMNS(Summary!$D$13:$CJ$15),FALSE)),0)</f>
        <v>0</v>
      </c>
      <c r="AA92" s="84">
        <f ca="1">IF(ISERROR(IF(ISNA(VLOOKUP($A92,Summary!$D$13:$CJ$54,COLUMNS(Summary!$D$13:$CJ$15),FALSE))=TRUE,0,VLOOKUP($A92,Summary!$D$14:$CJ$54,COLUMNS(Summary!$D$13:$CJ$15),FALSE))/T92),0,IF(ISNA(VLOOKUP($A92,Summary!$C$13:$CJ$54,COLUMNS(Summary!$D$13:$CJ$15)))=TRUE,0,VLOOKUP($A92,Summary!$D$13:$CJ$54,COLUMNS(Summary!$D$13:$CJ$15)))/T92)</f>
        <v>0</v>
      </c>
      <c r="AB92" s="72" t="str">
        <f t="shared" si="46"/>
        <v/>
      </c>
      <c r="AC92" s="83">
        <f t="shared" ca="1" si="53"/>
        <v>0</v>
      </c>
      <c r="AE92" s="83">
        <f t="shared" si="40"/>
        <v>0</v>
      </c>
      <c r="AF92" s="70">
        <f t="shared" ca="1" si="41"/>
        <v>0</v>
      </c>
    </row>
    <row r="93" spans="1:33" hidden="1" outlineLevel="2" x14ac:dyDescent="0.25">
      <c r="A93" s="67">
        <f t="shared" si="47"/>
        <v>0</v>
      </c>
      <c r="B93" s="68"/>
      <c r="C93" s="68"/>
      <c r="D93" s="68">
        <f t="shared" si="35"/>
        <v>0</v>
      </c>
      <c r="E93" s="66">
        <f t="shared" si="49"/>
        <v>0</v>
      </c>
      <c r="F93" s="66"/>
      <c r="G93" s="66">
        <f t="shared" si="30"/>
        <v>0</v>
      </c>
      <c r="H93" s="66">
        <f t="shared" si="50"/>
        <v>0</v>
      </c>
      <c r="I93" s="66">
        <f t="shared" si="51"/>
        <v>0</v>
      </c>
      <c r="J93" s="153">
        <f>MAX(MIN(IF(MONTH($A93)=PRIN_MATURITY,IF(ISNA(VLOOKUP(DATE(YEAR($A93),PRIN_MATURITY,PRIN_MATURITY_DAY_SUB),Summary!$D$12:$CJ$57,COLUMNS(Summary!$D$12:$CJ$12))),0,VLOOKUP(DATE(YEAR($A93),PRIN_MATURITY,PRIN_MATURITY_DAY_SUB),Summary!$D$12:$CJ$57,COLUMNS(Summary!$D$12:$CJ$12))),0),$I93),0)</f>
        <v>0</v>
      </c>
      <c r="K93" s="66">
        <f t="shared" ca="1" si="36"/>
        <v>0</v>
      </c>
      <c r="L93" s="154">
        <f t="shared" ca="1" si="37"/>
        <v>0</v>
      </c>
      <c r="M93" s="66">
        <f t="shared" ca="1" si="34"/>
        <v>0</v>
      </c>
      <c r="N93" s="66">
        <f t="shared" ca="1" si="38"/>
        <v>0</v>
      </c>
      <c r="O93" s="66">
        <f t="shared" ca="1" si="43"/>
        <v>0</v>
      </c>
      <c r="P93" s="70">
        <f t="shared" ca="1" si="44"/>
        <v>0</v>
      </c>
      <c r="Q93" s="66"/>
      <c r="R93" s="66"/>
      <c r="S93" s="66">
        <f t="shared" ca="1" si="39"/>
        <v>0</v>
      </c>
      <c r="T93" s="70">
        <f t="shared" ca="1" si="45"/>
        <v>0</v>
      </c>
      <c r="U93" s="70">
        <f ca="1">$G$97-SUM($G$11:G93)</f>
        <v>0</v>
      </c>
      <c r="W93" s="68"/>
      <c r="Z93" s="83">
        <f>IF(MONTH($A93)=PRIN_MATURITY,IF(ISNA(VLOOKUP(DATE(YEAR($A93),PRIN_MATURITY,PRIN_MATURITY_DAY_SENIOR),Summary!$D$14:$CJ$56,COLUMNS(Summary!$D$13:$CJ$15),FALSE))=TRUE,0,VLOOKUP(DATE(YEAR($A93),PRIN_MATURITY,PRIN_MATURITY_DAY_SENIOR),Summary!$D$13:$CJ$56,COLUMNS(Summary!$D$13:$CJ$15),FALSE)),0)</f>
        <v>0</v>
      </c>
      <c r="AB93" s="72"/>
      <c r="AC93" s="83">
        <f t="shared" ca="1" si="53"/>
        <v>0</v>
      </c>
    </row>
    <row r="94" spans="1:33" hidden="1" outlineLevel="2" x14ac:dyDescent="0.25">
      <c r="A94" s="67">
        <f t="shared" si="47"/>
        <v>0</v>
      </c>
      <c r="B94" s="68"/>
      <c r="C94" s="68"/>
      <c r="D94" s="68">
        <f t="shared" si="35"/>
        <v>0</v>
      </c>
      <c r="E94" s="74"/>
      <c r="F94" s="74"/>
      <c r="G94" s="66">
        <f t="shared" si="30"/>
        <v>0</v>
      </c>
      <c r="H94" s="66">
        <f t="shared" si="50"/>
        <v>0</v>
      </c>
      <c r="I94" s="66">
        <f t="shared" si="51"/>
        <v>0</v>
      </c>
      <c r="J94" s="154"/>
      <c r="K94" s="66">
        <f t="shared" ca="1" si="36"/>
        <v>0</v>
      </c>
      <c r="L94" s="154">
        <f t="shared" ca="1" si="37"/>
        <v>0</v>
      </c>
      <c r="M94" s="66">
        <f t="shared" ca="1" si="34"/>
        <v>0</v>
      </c>
      <c r="N94" s="66">
        <f t="shared" ca="1" si="38"/>
        <v>0</v>
      </c>
      <c r="O94" s="66">
        <f t="shared" ca="1" si="43"/>
        <v>0</v>
      </c>
      <c r="P94" s="70">
        <f t="shared" ca="1" si="44"/>
        <v>0</v>
      </c>
      <c r="Q94" s="66"/>
      <c r="R94" s="66"/>
      <c r="S94" s="66"/>
      <c r="T94" s="70">
        <f t="shared" si="45"/>
        <v>0</v>
      </c>
      <c r="U94" s="70">
        <f ca="1">$G$97-SUM($G$11:G94)</f>
        <v>0</v>
      </c>
      <c r="W94" s="68"/>
      <c r="AB94" s="72"/>
      <c r="AC94" s="83">
        <f t="shared" ca="1" si="53"/>
        <v>0</v>
      </c>
    </row>
    <row r="95" spans="1:33" hidden="1" outlineLevel="2" x14ac:dyDescent="0.25">
      <c r="A95" s="67">
        <f t="shared" si="47"/>
        <v>0</v>
      </c>
      <c r="B95" s="68"/>
      <c r="C95" s="68"/>
      <c r="D95" s="68">
        <f t="shared" si="35"/>
        <v>0</v>
      </c>
      <c r="G95" s="66">
        <f t="shared" si="30"/>
        <v>0</v>
      </c>
      <c r="H95" s="66"/>
      <c r="I95" s="66"/>
      <c r="J95" s="154"/>
      <c r="K95" s="66">
        <f t="shared" ca="1" si="36"/>
        <v>0</v>
      </c>
      <c r="L95" s="154">
        <f t="shared" ca="1" si="37"/>
        <v>0</v>
      </c>
      <c r="M95" s="66">
        <f t="shared" ca="1" si="34"/>
        <v>0</v>
      </c>
      <c r="N95" s="66">
        <f t="shared" ca="1" si="38"/>
        <v>0</v>
      </c>
      <c r="O95" s="66">
        <f t="shared" ca="1" si="43"/>
        <v>0</v>
      </c>
      <c r="P95" s="70">
        <f t="shared" ca="1" si="44"/>
        <v>0</v>
      </c>
      <c r="Q95" s="66"/>
      <c r="R95" s="66"/>
      <c r="S95" s="66"/>
      <c r="T95" s="70"/>
      <c r="U95" s="70"/>
      <c r="W95" s="68"/>
      <c r="AB95" s="72"/>
      <c r="AC95" s="72"/>
    </row>
    <row r="96" spans="1:33" collapsed="1" x14ac:dyDescent="0.25">
      <c r="A96" s="67"/>
      <c r="B96" s="176"/>
      <c r="C96" s="176"/>
      <c r="D96" s="176"/>
      <c r="E96" s="106"/>
      <c r="F96" s="106"/>
      <c r="G96" s="173"/>
      <c r="H96" s="173"/>
      <c r="I96" s="173"/>
      <c r="J96" s="174"/>
      <c r="K96" s="173"/>
      <c r="L96" s="174"/>
      <c r="M96" s="173"/>
      <c r="N96" s="173"/>
      <c r="O96" s="173"/>
      <c r="P96" s="175"/>
      <c r="Q96" s="173"/>
      <c r="R96" s="173"/>
      <c r="S96" s="173"/>
      <c r="T96" s="175"/>
      <c r="U96" s="175"/>
      <c r="V96" s="106"/>
      <c r="W96" s="176"/>
      <c r="X96" s="106"/>
      <c r="Y96" s="106"/>
      <c r="Z96" s="105"/>
      <c r="AA96" s="105"/>
      <c r="AB96" s="177"/>
      <c r="AC96" s="177"/>
      <c r="AD96" s="106"/>
      <c r="AE96" s="105"/>
      <c r="AF96" s="106"/>
    </row>
    <row r="97" spans="1:33" x14ac:dyDescent="0.25">
      <c r="A97" s="67" t="s">
        <v>88</v>
      </c>
      <c r="B97" s="68"/>
      <c r="C97" s="68"/>
      <c r="D97" s="69"/>
      <c r="E97" s="66"/>
      <c r="F97" s="66"/>
      <c r="G97" s="66">
        <f ca="1">SUM(G11:G95)</f>
        <v>1000000</v>
      </c>
      <c r="H97" s="66">
        <f ca="1">SUM(H11:H95)</f>
        <v>1524806.1669077931</v>
      </c>
      <c r="I97" s="66">
        <f t="shared" ref="I97:T97" ca="1" si="54">SUM(I11:I95)</f>
        <v>1524806.1669077931</v>
      </c>
      <c r="J97" s="154">
        <f t="shared" ca="1" si="54"/>
        <v>1274402.3316847561</v>
      </c>
      <c r="K97" s="66">
        <f t="shared" ca="1" si="54"/>
        <v>327932.37586279004</v>
      </c>
      <c r="L97" s="154">
        <f ca="1">SUM(L11:L95)</f>
        <v>327932.37586278992</v>
      </c>
      <c r="M97" s="154"/>
      <c r="N97" s="66">
        <f ca="1">SUM(N11:N95)</f>
        <v>2602334.7075475459</v>
      </c>
      <c r="O97" s="66">
        <f t="shared" ca="1" si="54"/>
        <v>2852738.5427705832</v>
      </c>
      <c r="P97" s="66">
        <f t="shared" ca="1" si="54"/>
        <v>2852738.5427705832</v>
      </c>
      <c r="Q97" s="66">
        <f t="shared" si="54"/>
        <v>0</v>
      </c>
      <c r="R97" s="66">
        <f t="shared" si="54"/>
        <v>0</v>
      </c>
      <c r="S97" s="66">
        <f t="shared" ca="1" si="54"/>
        <v>2852738.5427705832</v>
      </c>
      <c r="T97" s="66">
        <f t="shared" ca="1" si="54"/>
        <v>2852738.5427705832</v>
      </c>
      <c r="U97" s="66"/>
      <c r="W97" s="68"/>
      <c r="Z97" s="83">
        <f ca="1">SUM(Z12:Z96)</f>
        <v>4132311.3204118479</v>
      </c>
      <c r="AB97" s="72"/>
      <c r="AC97" s="72"/>
      <c r="AE97" s="83">
        <f t="shared" ref="AE97" ca="1" si="55">SUM(AE11:AE94)</f>
        <v>19802444.444444444</v>
      </c>
      <c r="AF97" s="70">
        <f ca="1">SUM(AF11:AF96)</f>
        <v>1655864.7517255801</v>
      </c>
      <c r="AG97" s="83"/>
    </row>
    <row r="98" spans="1:33" x14ac:dyDescent="0.25">
      <c r="A98" s="67"/>
      <c r="B98" s="73"/>
      <c r="C98" s="73"/>
      <c r="U98" s="66"/>
    </row>
    <row r="99" spans="1:33" x14ac:dyDescent="0.25">
      <c r="A99" s="67"/>
      <c r="H99" s="206"/>
      <c r="L99" s="207"/>
      <c r="N99" s="70"/>
    </row>
    <row r="100" spans="1:33" x14ac:dyDescent="0.25">
      <c r="A100" s="67"/>
      <c r="L100" s="207"/>
    </row>
    <row r="101" spans="1:33" x14ac:dyDescent="0.25">
      <c r="A101" s="67"/>
      <c r="J101" s="207"/>
    </row>
    <row r="102" spans="1:33" x14ac:dyDescent="0.25">
      <c r="A102" s="67"/>
      <c r="G102" s="15"/>
      <c r="K102" s="7"/>
      <c r="L102" s="207"/>
      <c r="Z102" s="12">
        <v>59141</v>
      </c>
    </row>
    <row r="103" spans="1:33" x14ac:dyDescent="0.25">
      <c r="A103" s="67"/>
      <c r="Z103" s="12">
        <v>59292</v>
      </c>
    </row>
    <row r="104" spans="1:33" x14ac:dyDescent="0.25">
      <c r="A104" s="67"/>
      <c r="I104" s="203"/>
      <c r="K104" s="7"/>
      <c r="Z104" s="11">
        <f>YEARFRAC(Z102,Z103)</f>
        <v>0.41666666666666669</v>
      </c>
    </row>
    <row r="105" spans="1:33" x14ac:dyDescent="0.25">
      <c r="A105" s="67"/>
    </row>
    <row r="106" spans="1:33" x14ac:dyDescent="0.25">
      <c r="A106" s="67"/>
    </row>
    <row r="107" spans="1:33" x14ac:dyDescent="0.25">
      <c r="A107" s="67"/>
    </row>
    <row r="108" spans="1:33" x14ac:dyDescent="0.25">
      <c r="A108" s="67"/>
    </row>
    <row r="109" spans="1:33" x14ac:dyDescent="0.25">
      <c r="A109" s="67"/>
    </row>
    <row r="110" spans="1:33" x14ac:dyDescent="0.25">
      <c r="A110" s="67"/>
    </row>
    <row r="111" spans="1:33" x14ac:dyDescent="0.25">
      <c r="A111" s="67"/>
    </row>
    <row r="112" spans="1:33" x14ac:dyDescent="0.25">
      <c r="A112" s="67"/>
    </row>
    <row r="113" spans="1:1" x14ac:dyDescent="0.25">
      <c r="A113" s="67"/>
    </row>
  </sheetData>
  <pageMargins left="0.25" right="0.25" top="0.5" bottom="0.5" header="0.3" footer="0.3"/>
  <pageSetup scale="20" orientation="portrait" r:id="rId1"/>
  <rowBreaks count="1" manualBreakCount="1">
    <brk id="98" max="22" man="1"/>
  </rowBreaks>
  <ignoredErrors>
    <ignoredError sqref="H29" formula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1BB1B3B-0F78-4DFD-A991-6514C840CDAC}">
          <x14:formula1>
            <xm:f>'Inputs - First'!$G$4:$G$5</xm:f>
          </x14:formula1>
          <xm:sqref>K4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51A3-8DE1-4FEC-9929-EC979825357D}">
  <sheetPr codeName="Sheet8">
    <pageSetUpPr fitToPage="1"/>
  </sheetPr>
  <dimension ref="A1:AQ113"/>
  <sheetViews>
    <sheetView showGridLines="0" view="pageBreakPreview" topLeftCell="A18" zoomScale="55" zoomScaleNormal="100" zoomScaleSheetLayoutView="55" workbookViewId="0">
      <selection activeCell="G68" sqref="G68"/>
    </sheetView>
  </sheetViews>
  <sheetFormatPr defaultColWidth="9.140625" defaultRowHeight="15" outlineLevelRow="1" outlineLevelCol="1" x14ac:dyDescent="0.25"/>
  <cols>
    <col min="1" max="4" width="14.28515625" customWidth="1"/>
    <col min="5" max="5" width="18.7109375" bestFit="1" customWidth="1"/>
    <col min="6" max="6" width="3.85546875" customWidth="1"/>
    <col min="7" max="7" width="15.5703125" bestFit="1" customWidth="1"/>
    <col min="8" max="9" width="14.28515625" customWidth="1"/>
    <col min="10" max="10" width="16.7109375" style="27" customWidth="1" outlineLevel="1"/>
    <col min="11" max="11" width="27.85546875" customWidth="1" outlineLevel="1"/>
    <col min="12" max="12" width="14.28515625" style="27" customWidth="1" outlineLevel="1"/>
    <col min="13" max="13" width="20.7109375" customWidth="1" outlineLevel="1"/>
    <col min="14" max="14" width="18.7109375" customWidth="1" outlineLevel="1"/>
    <col min="15" max="15" width="15.42578125" bestFit="1" customWidth="1"/>
    <col min="16" max="16" width="14.42578125" customWidth="1"/>
    <col min="17" max="17" width="13.140625" bestFit="1" customWidth="1"/>
    <col min="18" max="18" width="18.7109375" bestFit="1" customWidth="1"/>
    <col min="19" max="19" width="14.28515625" customWidth="1"/>
    <col min="20" max="20" width="14.5703125" customWidth="1"/>
    <col min="21" max="21" width="14.28515625" customWidth="1"/>
    <col min="22" max="23" width="14.28515625" customWidth="1" outlineLevel="1"/>
    <col min="25" max="25" width="21.28515625" hidden="1" customWidth="1"/>
    <col min="26" max="26" width="17.85546875" style="11" customWidth="1"/>
    <col min="27" max="27" width="18.5703125" style="11" customWidth="1"/>
    <col min="28" max="29" width="20.28515625" style="11" customWidth="1"/>
    <col min="31" max="31" width="17.85546875" style="11" customWidth="1"/>
    <col min="32" max="32" width="16.85546875" customWidth="1"/>
    <col min="33" max="33" width="17.85546875" style="11" customWidth="1"/>
    <col min="35" max="35" width="12.7109375" bestFit="1" customWidth="1"/>
    <col min="36" max="36" width="14.7109375" bestFit="1" customWidth="1"/>
    <col min="37" max="37" width="11.42578125" customWidth="1"/>
    <col min="38" max="38" width="13.7109375" bestFit="1" customWidth="1"/>
    <col min="39" max="40" width="11.42578125" customWidth="1"/>
    <col min="41" max="41" width="14.7109375" bestFit="1" customWidth="1"/>
    <col min="42" max="42" width="11.42578125" customWidth="1"/>
    <col min="43" max="43" width="13.42578125" bestFit="1" customWidth="1"/>
  </cols>
  <sheetData>
    <row r="1" spans="1:43" ht="28.5" x14ac:dyDescent="0.45">
      <c r="A1" s="115" t="str">
        <f>METRO</f>
        <v>Viridian Farm Public Improvement District</v>
      </c>
    </row>
    <row r="2" spans="1:43" ht="19.5" thickBot="1" x14ac:dyDescent="0.35">
      <c r="A2" s="110" t="str">
        <f>"City of " &amp; CITY &amp; " / " &amp; COUNTY &amp; " County "</f>
        <v xml:space="preserve">City of Salem / Utah County </v>
      </c>
    </row>
    <row r="3" spans="1:43" ht="15.75" x14ac:dyDescent="0.25">
      <c r="A3" s="109" t="str">
        <f>ANALYSIS</f>
        <v>Development Projections at 3.000 Mills for Debt Service</v>
      </c>
      <c r="K3" s="232" t="s">
        <v>155</v>
      </c>
    </row>
    <row r="4" spans="1:43" ht="16.5" thickBot="1" x14ac:dyDescent="0.3">
      <c r="A4" s="116" t="str">
        <f ca="1">SUB_BONDS_SERIES&amp;" - "&amp;TEXT('Sources and Uses - First'!$D$12/1000000,"$0.00")&amp;"MM "&amp;"("&amp;TEXT(DSC_SUB_LIEN_BONDS,"0.00x")&amp;")"</f>
        <v>Series 2024B - $1.00MM (1.00x)</v>
      </c>
      <c r="G4" s="7"/>
      <c r="I4" s="7"/>
      <c r="K4" s="233" t="s">
        <v>68</v>
      </c>
      <c r="M4" s="70"/>
    </row>
    <row r="5" spans="1:43" x14ac:dyDescent="0.25">
      <c r="G5" s="54"/>
      <c r="I5" s="7"/>
      <c r="M5" s="70"/>
      <c r="Z5" s="230"/>
    </row>
    <row r="6" spans="1:43" x14ac:dyDescent="0.25">
      <c r="I6" s="70"/>
      <c r="J6" s="207"/>
      <c r="K6" s="7"/>
      <c r="M6" s="210"/>
      <c r="R6" s="80"/>
    </row>
    <row r="7" spans="1:43" ht="15.75" thickBot="1" x14ac:dyDescent="0.3">
      <c r="H7" s="15"/>
      <c r="I7" s="70"/>
      <c r="J7" s="70"/>
    </row>
    <row r="8" spans="1:43" s="56" customFormat="1" ht="13.5" thickTop="1" x14ac:dyDescent="0.2">
      <c r="A8" s="55"/>
      <c r="D8" s="57"/>
      <c r="E8" s="57"/>
      <c r="F8" s="57"/>
      <c r="J8" s="151" t="s">
        <v>155</v>
      </c>
      <c r="K8" s="150"/>
      <c r="L8" s="150"/>
      <c r="M8" s="150"/>
      <c r="N8" s="159" t="s">
        <v>196</v>
      </c>
      <c r="Q8" s="58"/>
      <c r="R8" s="58"/>
      <c r="T8" s="58"/>
      <c r="U8" s="58"/>
      <c r="Z8" s="81"/>
      <c r="AA8" s="81"/>
      <c r="AB8" s="81"/>
      <c r="AC8" s="81"/>
      <c r="AE8" s="81"/>
      <c r="AG8" s="81"/>
    </row>
    <row r="9" spans="1:43" s="62" customFormat="1" ht="39" thickBot="1" x14ac:dyDescent="0.25">
      <c r="A9" s="59" t="s">
        <v>140</v>
      </c>
      <c r="B9" s="60" t="s">
        <v>96</v>
      </c>
      <c r="C9" s="60" t="s">
        <v>97</v>
      </c>
      <c r="D9" s="61" t="s">
        <v>98</v>
      </c>
      <c r="E9" s="61" t="s">
        <v>162</v>
      </c>
      <c r="F9" s="61"/>
      <c r="G9" s="60" t="s">
        <v>8</v>
      </c>
      <c r="H9" s="63" t="s">
        <v>194</v>
      </c>
      <c r="I9" s="63" t="s">
        <v>195</v>
      </c>
      <c r="J9" s="152" t="s">
        <v>14</v>
      </c>
      <c r="K9" s="63" t="str">
        <f>"Accrued Interest + Interest on Balance @ " &amp; TEXT(SUB_INTEREST_RATE, "0.00%")</f>
        <v>Accrued Interest + Interest on Balance @ 8.13%</v>
      </c>
      <c r="L9" s="152" t="s">
        <v>15</v>
      </c>
      <c r="M9" s="63" t="s">
        <v>295</v>
      </c>
      <c r="N9" s="63" t="s">
        <v>197</v>
      </c>
      <c r="O9" s="60" t="s">
        <v>88</v>
      </c>
      <c r="P9" s="63" t="s">
        <v>142</v>
      </c>
      <c r="Q9" s="63" t="s">
        <v>66</v>
      </c>
      <c r="R9" s="60" t="s">
        <v>5</v>
      </c>
      <c r="S9" s="60" t="s">
        <v>99</v>
      </c>
      <c r="T9" s="63" t="s">
        <v>139</v>
      </c>
      <c r="U9" s="60" t="s">
        <v>138</v>
      </c>
      <c r="W9" s="60" t="s">
        <v>100</v>
      </c>
      <c r="X9" s="60"/>
      <c r="Y9" s="82" t="s">
        <v>148</v>
      </c>
      <c r="Z9" s="82" t="s">
        <v>149</v>
      </c>
      <c r="AA9" s="82" t="s">
        <v>101</v>
      </c>
      <c r="AB9" s="64" t="s">
        <v>102</v>
      </c>
      <c r="AC9" s="64" t="s">
        <v>296</v>
      </c>
      <c r="AE9" s="82" t="s">
        <v>186</v>
      </c>
      <c r="AF9" s="62" t="s">
        <v>297</v>
      </c>
      <c r="AG9" s="82" t="s">
        <v>219</v>
      </c>
      <c r="AK9" s="267" t="s">
        <v>351</v>
      </c>
      <c r="AP9" s="267" t="s">
        <v>351</v>
      </c>
    </row>
    <row r="10" spans="1:43" ht="15.75" thickTop="1" x14ac:dyDescent="0.25">
      <c r="K10" s="15"/>
      <c r="P10" s="66"/>
    </row>
    <row r="11" spans="1:43" x14ac:dyDescent="0.25">
      <c r="A11" s="65">
        <f>FIRST_INT_SUB</f>
        <v>45731</v>
      </c>
      <c r="D11" s="68">
        <f t="shared" ref="D11:D42" si="0">IF(C11=0,0,TRUNC(IF(B11=C11,100,IF(A11&lt;=PAR_CALL_FIRST,PRICE(DELIVERY,A11,B11,C11,100,2,0),MIN(PRICE(DELIVERY,A11,B11,C11,100,2,0),PRICE(DELIVERY,PAR_CALL_FIRST,B11,C11,100,2,0)))),3)/100)</f>
        <v>0</v>
      </c>
      <c r="G11" s="66"/>
      <c r="H11" s="66">
        <f ca="1">(H12+G11*B11/2)*YEARFRAC(DELIVERY,'Sub Lien DS - First (SA)'!A11)*2</f>
        <v>25631.666666666668</v>
      </c>
      <c r="I11" s="66">
        <f t="shared" ref="I11:I42" ca="1" si="1">IF($A11=0,0,IF(MONTH($A11)=INT_MATURITY,0,SUM(H10:H11)))</f>
        <v>25631.666666666668</v>
      </c>
      <c r="J11" s="153">
        <f ca="1">MAX(MIN(IF(MONTH($A11)=PRIN_MATURITY,IF(ISNA(VLOOKUP(DATE(YEAR($A11),PRIN_MATURITY,PRIN_MATURITY_DAY_SUB),Summary!$D$12:$CJ$57,COLUMNS(Summary!$D$12:$CJ$12))),0,VLOOKUP(DATE(YEAR($A11),PRIN_MATURITY,PRIN_MATURITY_DAY_SUB),Summary!$D$12:$CJ$57,COLUMNS(Summary!$D$12:$CJ$12))),0),$I11),0)</f>
        <v>0</v>
      </c>
      <c r="K11" s="66">
        <f t="shared" ref="K11:K42" ca="1" si="2">IF($K$4="No", 0,I11+(M10*SUB_INTEREST_RATE/2)-J11)</f>
        <v>25631.666666666668</v>
      </c>
      <c r="L11" s="154">
        <f t="shared" ref="L11:L74" ca="1" si="3">MAX(MIN(($Z11-$J11),$M10+K11),0)</f>
        <v>0</v>
      </c>
      <c r="M11" s="66">
        <f ca="1">M10+K11-L11</f>
        <v>25631.666666666668</v>
      </c>
      <c r="N11" s="66">
        <f t="shared" ref="N11:N42" ca="1" si="4">$G11+$J11+$L11</f>
        <v>0</v>
      </c>
      <c r="O11" s="66">
        <f ca="1">G11+H11+L11</f>
        <v>25631.666666666668</v>
      </c>
      <c r="P11" s="70">
        <f t="shared" ref="P11:P42" ca="1" si="5">IF($A11=0,0,IF(MONTH($A11)=INT_MATURITY,0,SUM(O10:O11)))</f>
        <v>25631.666666666668</v>
      </c>
      <c r="Q11" s="66"/>
      <c r="R11" s="85"/>
      <c r="S11" s="66">
        <f t="shared" ref="S11:S42" ca="1" si="6">O11-Q11</f>
        <v>25631.666666666668</v>
      </c>
      <c r="T11" s="70">
        <f t="shared" ref="T11:T42" ca="1" si="7">IF($A11=0,0,IF(MONTH($A11)=INT_MATURITY,0,SUM(S10:S11)))</f>
        <v>25631.666666666668</v>
      </c>
      <c r="U11" s="70">
        <f ca="1">$G$97-SUM($G$11:G11)</f>
        <v>734000</v>
      </c>
      <c r="AA11" s="83"/>
      <c r="AE11" s="83">
        <f t="shared" ref="AE11:AE42" si="8">D11*G11*DAYS360(DELIVERY,A11)/360</f>
        <v>0</v>
      </c>
      <c r="AF11" s="70">
        <f t="shared" ref="AF11:AF42" ca="1" si="9">G11+K11+L11</f>
        <v>25631.666666666668</v>
      </c>
      <c r="AG11" s="83"/>
      <c r="AI11" s="77" t="s">
        <v>188</v>
      </c>
      <c r="AJ11" s="11"/>
      <c r="AK11" s="146">
        <v>0</v>
      </c>
      <c r="AL11" s="147">
        <f ca="1">$G$97+$E$97</f>
        <v>734000</v>
      </c>
      <c r="AM11" s="11"/>
      <c r="AN11" s="77" t="s">
        <v>188</v>
      </c>
      <c r="AO11" s="11"/>
      <c r="AP11" s="146">
        <v>0</v>
      </c>
      <c r="AQ11" s="147">
        <f ca="1">AL11-SUM('Sources and Uses - First'!$D$26:$D$28)</f>
        <v>719000</v>
      </c>
    </row>
    <row r="12" spans="1:43" x14ac:dyDescent="0.25">
      <c r="A12" s="67">
        <f t="shared" ref="A12:A43" si="10">IF(IF(ISERROR(EDATE(A11,6)),0,EDATE(A11,6))&gt;EDATE(MAX($A$11,DATE(YEAR($A$11),PRIN_MATURITY,PRIN_MATURITY_DAY_SUB)),6*2*FINAL_MAT_SUB_YRS),0,IF(ISERROR(EDATE(A11,6)),0,IF(A11=0,0,EDATE(A11,6))))</f>
        <v>45915</v>
      </c>
      <c r="B12" s="68">
        <f t="shared" ref="B12:B43" si="11">IF(ISERROR(IF(MONTH(A12)=PRIN_MATURITY,SUB_INTEREST_RATE,)),"",IF(MONTH(A12)=PRIN_MATURITY,SUB_INTEREST_RATE,))</f>
        <v>0</v>
      </c>
      <c r="C12" s="68">
        <f>B12</f>
        <v>0</v>
      </c>
      <c r="D12" s="68">
        <f t="shared" si="0"/>
        <v>0</v>
      </c>
      <c r="E12" s="66">
        <f>D12*G12-G12</f>
        <v>0</v>
      </c>
      <c r="F12" s="66"/>
      <c r="G12" s="66"/>
      <c r="H12" s="66">
        <f t="shared" ref="H12:H76" ca="1" si="12">(H13+G12*B12/2)</f>
        <v>27300</v>
      </c>
      <c r="I12" s="66">
        <f t="shared" si="1"/>
        <v>0</v>
      </c>
      <c r="J12" s="153">
        <f>MAX(MIN(IF(MONTH($A12)=PRIN_MATURITY,IF(ISNA(VLOOKUP(DATE(YEAR($A12),PRIN_MATURITY,PRIN_MATURITY_DAY_SUB),Summary!$D$12:$CJ$57,COLUMNS(Summary!$D$12:$CJ$12))),0,VLOOKUP(DATE(YEAR($A12),PRIN_MATURITY,PRIN_MATURITY_DAY_SUB),Summary!$D$12:$CJ$57,COLUMNS(Summary!$D$12:$CJ$12))),0),$I12),0)</f>
        <v>0</v>
      </c>
      <c r="K12" s="66">
        <f t="shared" ca="1" si="2"/>
        <v>1041.2864583333335</v>
      </c>
      <c r="L12" s="154">
        <f t="shared" ca="1" si="3"/>
        <v>0</v>
      </c>
      <c r="M12" s="66">
        <f t="shared" ref="M12:M42" ca="1" si="13">M11+K12-L12</f>
        <v>26672.953125</v>
      </c>
      <c r="N12" s="66">
        <f t="shared" ca="1" si="4"/>
        <v>0</v>
      </c>
      <c r="O12" s="66">
        <f t="shared" ref="O12:O75" ca="1" si="14">G12+H12+L12</f>
        <v>27300</v>
      </c>
      <c r="P12" s="70">
        <f t="shared" si="5"/>
        <v>0</v>
      </c>
      <c r="Q12" s="66"/>
      <c r="R12" s="85"/>
      <c r="S12" s="66">
        <f t="shared" ca="1" si="6"/>
        <v>27300</v>
      </c>
      <c r="T12" s="70">
        <f t="shared" si="7"/>
        <v>0</v>
      </c>
      <c r="U12" s="70">
        <f ca="1">$G$97-SUM($G$11:G12)</f>
        <v>734000</v>
      </c>
      <c r="W12" s="71">
        <v>1</v>
      </c>
      <c r="Z12" s="83">
        <f>IF(MONTH($A12)=PRIN_MATURITY,IF(ISNA(VLOOKUP(DATE(YEAR($A12),PRIN_MATURITY,PRIN_MATURITY_DAY_SENIOR),Summary!$D$14:$CJ$56,COLUMNS(Summary!$D$13:$CJ$15),FALSE))=TRUE,0,VLOOKUP(DATE(YEAR($A12),PRIN_MATURITY,PRIN_MATURITY_DAY_SENIOR),Summary!$D$13:$CJ$56,COLUMNS(Summary!$D$13:$CJ$15),FALSE)),0)</f>
        <v>0</v>
      </c>
      <c r="AA12" s="84">
        <f>IF(ISERROR(IF(ISNA(VLOOKUP($A12,Summary!$D$13:$CJ$54,COLUMNS(Summary!$D$13:$CJ$15),FALSE))=TRUE,0,VLOOKUP($A12,Summary!$D$14:$CJ$54,COLUMNS(Summary!$D$13:$CJ$15),FALSE))/T12),0,IF(ISNA(VLOOKUP($A12,Summary!$C$13:$CJ$54,COLUMNS(Summary!$D$13:$CJ$15)))=TRUE,0,VLOOKUP($A12,Summary!$D$13:$CJ$54,COLUMNS(Summary!$D$13:$CJ$15)))/T12)</f>
        <v>0</v>
      </c>
      <c r="AB12" s="72" t="str">
        <f t="shared" ref="AB12:AB43" si="15">IF($B12&lt;&gt;0,DSC_SUB_LIEN_BONDS,"")</f>
        <v/>
      </c>
      <c r="AC12" s="83"/>
      <c r="AE12" s="83">
        <f t="shared" si="8"/>
        <v>0</v>
      </c>
      <c r="AF12" s="70">
        <f t="shared" ca="1" si="9"/>
        <v>1041.2864583333335</v>
      </c>
      <c r="AG12" s="83"/>
      <c r="AI12" s="11"/>
      <c r="AJ12" s="11"/>
      <c r="AK12" s="11"/>
      <c r="AL12" s="11"/>
      <c r="AM12" s="11"/>
      <c r="AN12" s="11"/>
      <c r="AO12" s="11"/>
      <c r="AP12" s="11"/>
      <c r="AQ12" s="11"/>
    </row>
    <row r="13" spans="1:43" x14ac:dyDescent="0.25">
      <c r="A13" s="67">
        <f t="shared" si="10"/>
        <v>46096</v>
      </c>
      <c r="B13" s="68">
        <f t="shared" si="11"/>
        <v>8.1250000000000003E-2</v>
      </c>
      <c r="C13" s="68">
        <f t="shared" ref="C13:C72" si="16">B13</f>
        <v>8.1250000000000003E-2</v>
      </c>
      <c r="D13" s="68">
        <f t="shared" si="0"/>
        <v>1</v>
      </c>
      <c r="E13" s="66">
        <f t="shared" ref="E13:E76" si="17">D13*G13-G13</f>
        <v>0</v>
      </c>
      <c r="F13" s="66"/>
      <c r="G13" s="66"/>
      <c r="H13" s="66">
        <f t="shared" ca="1" si="12"/>
        <v>27300</v>
      </c>
      <c r="I13" s="66">
        <f t="shared" ca="1" si="1"/>
        <v>54600</v>
      </c>
      <c r="J13" s="153">
        <f ca="1">MAX(MIN(IF(MONTH($A13)=PRIN_MATURITY,IF(ISNA(VLOOKUP(DATE(YEAR($A13),PRIN_MATURITY,PRIN_MATURITY_DAY_SUB),Summary!$D$12:$CJ$57,COLUMNS(Summary!$D$12:$CJ$12))),0,VLOOKUP(DATE(YEAR($A13),PRIN_MATURITY,PRIN_MATURITY_DAY_SUB),Summary!$D$12:$CJ$57,COLUMNS(Summary!$D$12:$CJ$12))),0),$I13),0)</f>
        <v>28108.58168475602</v>
      </c>
      <c r="K13" s="66">
        <f t="shared" ca="1" si="2"/>
        <v>27575.007035947106</v>
      </c>
      <c r="L13" s="154">
        <f t="shared" ca="1" si="3"/>
        <v>0</v>
      </c>
      <c r="M13" s="66">
        <f ca="1">M12+K13-L13</f>
        <v>54247.960160947106</v>
      </c>
      <c r="N13" s="66">
        <f t="shared" ca="1" si="4"/>
        <v>28108.58168475602</v>
      </c>
      <c r="O13" s="66">
        <f t="shared" ca="1" si="14"/>
        <v>27300</v>
      </c>
      <c r="P13" s="70">
        <f t="shared" ca="1" si="5"/>
        <v>54600</v>
      </c>
      <c r="Q13" s="66"/>
      <c r="R13" s="85"/>
      <c r="S13" s="66">
        <f t="shared" ca="1" si="6"/>
        <v>27300</v>
      </c>
      <c r="T13" s="70">
        <f t="shared" ca="1" si="7"/>
        <v>54600</v>
      </c>
      <c r="U13" s="70">
        <f ca="1">$G$97-SUM($G$11:G13)</f>
        <v>734000</v>
      </c>
      <c r="W13" s="68">
        <f t="shared" ref="W13:W44" si="18">IF(MONTH(A13)=PRIN_MATURITY,MAX(0,DAYS360(MAX(CAPI_TERM,EDATE(A13,-12)),A13))/360,0)</f>
        <v>1</v>
      </c>
      <c r="Z13" s="83">
        <f ca="1">IF(MONTH($A13)=PRIN_MATURITY,IF(ISNA(VLOOKUP(DATE(YEAR($A13),PRIN_MATURITY,PRIN_MATURITY_DAY_SENIOR),Summary!$D$14:$CJ$56,COLUMNS(Summary!$D$13:$CJ$15),FALSE))=TRUE,0,VLOOKUP(DATE(YEAR($A13),PRIN_MATURITY,PRIN_MATURITY_DAY_SENIOR),Summary!$D$13:$CJ$56,COLUMNS(Summary!$D$13:$CJ$15),FALSE)),0)</f>
        <v>28108.58168475602</v>
      </c>
      <c r="AA13" s="84">
        <f ca="1">IF(ISERROR(IF(ISNA(VLOOKUP($A13,Summary!$D$13:$CJ$54,COLUMNS(Summary!$D$13:$CJ$15),FALSE))=TRUE,0,VLOOKUP($A13,Summary!$D$14:$CJ$54,COLUMNS(Summary!$D$13:$CJ$15),FALSE))/T13),0,IF(ISNA(VLOOKUP($A13,Summary!$C$13:$CJ$54,COLUMNS(Summary!$D$13:$CJ$15)))=TRUE,0,VLOOKUP($A13,Summary!$D$13:$CJ$54,COLUMNS(Summary!$D$13:$CJ$15)))/T13)</f>
        <v>0.51480918836549483</v>
      </c>
      <c r="AB13" s="72">
        <f t="shared" si="15"/>
        <v>1</v>
      </c>
      <c r="AC13" s="83">
        <f t="shared" ref="AC13:AC44" ca="1" si="19">Z13-G13-J13-L13</f>
        <v>0</v>
      </c>
      <c r="AE13" s="83">
        <f t="shared" si="8"/>
        <v>0</v>
      </c>
      <c r="AF13" s="70">
        <f t="shared" ca="1" si="9"/>
        <v>27575.007035947106</v>
      </c>
      <c r="AG13" s="83"/>
      <c r="AI13" s="148">
        <f>1%+0</f>
        <v>0.01</v>
      </c>
      <c r="AJ13" s="83">
        <f ca="1">NPV(AI13/2,TIC_DEBT_SERVICE_SUB)*(1+AI13/2)^AK13</f>
        <v>2148342.4932051967</v>
      </c>
      <c r="AK13" s="145">
        <f>$AK$11</f>
        <v>0</v>
      </c>
      <c r="AL13" s="83">
        <f ca="1">$AL$11</f>
        <v>734000</v>
      </c>
      <c r="AM13" s="11"/>
      <c r="AN13" s="148">
        <f>1%+0</f>
        <v>0.01</v>
      </c>
      <c r="AO13" s="83">
        <f t="shared" ref="AO13:AO22" ca="1" si="20">NPV(AN13/2,TIC_DEBT_SERVICE_SUB)*(1+AN13/2)^AP13</f>
        <v>2148342.4932051967</v>
      </c>
      <c r="AP13" s="145">
        <f>$AP$11</f>
        <v>0</v>
      </c>
      <c r="AQ13" s="83">
        <f ca="1">$AQ$11</f>
        <v>719000</v>
      </c>
    </row>
    <row r="14" spans="1:43" x14ac:dyDescent="0.25">
      <c r="A14" s="67">
        <f t="shared" si="10"/>
        <v>46280</v>
      </c>
      <c r="B14" s="68">
        <f t="shared" si="11"/>
        <v>0</v>
      </c>
      <c r="C14" s="68">
        <f t="shared" si="16"/>
        <v>0</v>
      </c>
      <c r="D14" s="68">
        <f t="shared" si="0"/>
        <v>0</v>
      </c>
      <c r="E14" s="66">
        <f t="shared" si="17"/>
        <v>0</v>
      </c>
      <c r="F14" s="66"/>
      <c r="G14" s="66"/>
      <c r="H14" s="66">
        <f t="shared" ca="1" si="12"/>
        <v>27300</v>
      </c>
      <c r="I14" s="66">
        <f t="shared" si="1"/>
        <v>0</v>
      </c>
      <c r="J14" s="153">
        <f>MAX(MIN(IF(MONTH($A14)=PRIN_MATURITY,IF(ISNA(VLOOKUP(DATE(YEAR($A14),PRIN_MATURITY,PRIN_MATURITY_DAY_SUB),Summary!$D$12:$CJ$57,COLUMNS(Summary!$D$12:$CJ$12))),0,VLOOKUP(DATE(YEAR($A14),PRIN_MATURITY,PRIN_MATURITY_DAY_SUB),Summary!$D$12:$CJ$57,COLUMNS(Summary!$D$12:$CJ$12))),0),$I14),0)</f>
        <v>0</v>
      </c>
      <c r="K14" s="66">
        <f t="shared" ca="1" si="2"/>
        <v>2203.8233815384765</v>
      </c>
      <c r="L14" s="154">
        <f t="shared" ca="1" si="3"/>
        <v>0</v>
      </c>
      <c r="M14" s="66">
        <f t="shared" ca="1" si="13"/>
        <v>56451.78354248558</v>
      </c>
      <c r="N14" s="66">
        <f t="shared" ca="1" si="4"/>
        <v>0</v>
      </c>
      <c r="O14" s="66">
        <f t="shared" ca="1" si="14"/>
        <v>27300</v>
      </c>
      <c r="P14" s="70">
        <f t="shared" si="5"/>
        <v>0</v>
      </c>
      <c r="Q14" s="66"/>
      <c r="R14" s="85"/>
      <c r="S14" s="66">
        <f t="shared" ca="1" si="6"/>
        <v>27300</v>
      </c>
      <c r="T14" s="70">
        <f t="shared" si="7"/>
        <v>0</v>
      </c>
      <c r="U14" s="70">
        <f ca="1">$G$97-SUM($G$11:G14)</f>
        <v>734000</v>
      </c>
      <c r="W14" s="68">
        <f t="shared" si="18"/>
        <v>0</v>
      </c>
      <c r="Z14" s="83">
        <f>IF(MONTH($A14)=PRIN_MATURITY,IF(ISNA(VLOOKUP(DATE(YEAR($A14),PRIN_MATURITY,PRIN_MATURITY_DAY_SENIOR),Summary!$D$14:$CJ$56,COLUMNS(Summary!$D$13:$CJ$15),FALSE))=TRUE,0,VLOOKUP(DATE(YEAR($A14),PRIN_MATURITY,PRIN_MATURITY_DAY_SENIOR),Summary!$D$13:$CJ$56,COLUMNS(Summary!$D$13:$CJ$15),FALSE)),0)</f>
        <v>0</v>
      </c>
      <c r="AA14" s="84">
        <f>IF(ISERROR(IF(ISNA(VLOOKUP($A14,Summary!$D$13:$CJ$54,COLUMNS(Summary!$D$13:$CJ$15),FALSE))=TRUE,0,VLOOKUP($A14,Summary!$D$14:$CJ$54,COLUMNS(Summary!$D$13:$CJ$15),FALSE))/T14),0,IF(ISNA(VLOOKUP($A14,Summary!$C$13:$CJ$54,COLUMNS(Summary!$D$13:$CJ$15)))=TRUE,0,VLOOKUP($A14,Summary!$D$13:$CJ$54,COLUMNS(Summary!$D$13:$CJ$15)))/T14)</f>
        <v>0</v>
      </c>
      <c r="AB14" s="72" t="str">
        <f t="shared" si="15"/>
        <v/>
      </c>
      <c r="AC14" s="83">
        <f ca="1">Z14-G14-J14-L14</f>
        <v>0</v>
      </c>
      <c r="AE14" s="83">
        <f t="shared" si="8"/>
        <v>0</v>
      </c>
      <c r="AF14" s="70">
        <f t="shared" ca="1" si="9"/>
        <v>2203.8233815384765</v>
      </c>
      <c r="AG14" s="83"/>
      <c r="AI14" s="148">
        <f>0%+0</f>
        <v>0</v>
      </c>
      <c r="AJ14" s="83">
        <f t="shared" ref="AJ14:AJ22" ca="1" si="21">NPV(AI14/2,TIC_DEBT_SERVICE_SUB)*(1+AI14/2)^AK14</f>
        <v>2580087.2509024907</v>
      </c>
      <c r="AK14" s="145">
        <f t="shared" ref="AK14:AK22" si="22">$AK$11</f>
        <v>0</v>
      </c>
      <c r="AL14" s="83">
        <f t="shared" ref="AL14:AL22" ca="1" si="23">$AL$11</f>
        <v>734000</v>
      </c>
      <c r="AM14" s="11"/>
      <c r="AN14" s="148">
        <f>0%+0</f>
        <v>0</v>
      </c>
      <c r="AO14" s="83">
        <f t="shared" ca="1" si="20"/>
        <v>2580087.2509024907</v>
      </c>
      <c r="AP14" s="145">
        <f t="shared" ref="AP14:AP22" si="24">$AP$11</f>
        <v>0</v>
      </c>
      <c r="AQ14" s="83">
        <f t="shared" ref="AQ14:AQ22" ca="1" si="25">$AQ$11</f>
        <v>719000</v>
      </c>
    </row>
    <row r="15" spans="1:43" x14ac:dyDescent="0.25">
      <c r="A15" s="67">
        <f t="shared" si="10"/>
        <v>46461</v>
      </c>
      <c r="B15" s="68">
        <f t="shared" si="11"/>
        <v>8.1250000000000003E-2</v>
      </c>
      <c r="C15" s="68">
        <f t="shared" si="16"/>
        <v>8.1250000000000003E-2</v>
      </c>
      <c r="D15" s="68">
        <f t="shared" si="0"/>
        <v>1</v>
      </c>
      <c r="E15" s="66">
        <f t="shared" si="17"/>
        <v>0</v>
      </c>
      <c r="F15" s="66"/>
      <c r="G15" s="66"/>
      <c r="H15" s="66">
        <f t="shared" ca="1" si="12"/>
        <v>27300</v>
      </c>
      <c r="I15" s="66">
        <f t="shared" ca="1" si="1"/>
        <v>54600</v>
      </c>
      <c r="J15" s="153">
        <f ca="1">MAX(MIN(IF(MONTH($A15)=PRIN_MATURITY,IF(ISNA(VLOOKUP(DATE(YEAR($A15),PRIN_MATURITY,PRIN_MATURITY_DAY_SUB),Summary!$D$12:$CJ$57,COLUMNS(Summary!$D$12:$CJ$12))),0,VLOOKUP(DATE(YEAR($A15),PRIN_MATURITY,PRIN_MATURITY_DAY_SUB),Summary!$D$12:$CJ$57,COLUMNS(Summary!$D$12:$CJ$12))),0),$I15),0)</f>
        <v>54600</v>
      </c>
      <c r="K15" s="66">
        <f t="shared" ca="1" si="2"/>
        <v>2293.3537064134798</v>
      </c>
      <c r="L15" s="154">
        <f t="shared" ca="1" si="3"/>
        <v>58745.13724889906</v>
      </c>
      <c r="M15" s="66">
        <f t="shared" ca="1" si="13"/>
        <v>0</v>
      </c>
      <c r="N15" s="66">
        <f t="shared" ca="1" si="4"/>
        <v>113345.13724889906</v>
      </c>
      <c r="O15" s="66">
        <f t="shared" ca="1" si="14"/>
        <v>86045.13724889906</v>
      </c>
      <c r="P15" s="70">
        <f t="shared" ca="1" si="5"/>
        <v>113345.13724889906</v>
      </c>
      <c r="Q15" s="66"/>
      <c r="R15" s="85"/>
      <c r="S15" s="66">
        <f t="shared" ca="1" si="6"/>
        <v>86045.13724889906</v>
      </c>
      <c r="T15" s="70">
        <f t="shared" ca="1" si="7"/>
        <v>113345.13724889906</v>
      </c>
      <c r="U15" s="70">
        <f ca="1">$G$97-SUM($G$11:G15)</f>
        <v>734000</v>
      </c>
      <c r="W15" s="68">
        <f t="shared" si="18"/>
        <v>1</v>
      </c>
      <c r="Z15" s="83">
        <f ca="1">IF(MONTH($A15)=PRIN_MATURITY,IF(ISNA(VLOOKUP(DATE(YEAR($A15),PRIN_MATURITY,PRIN_MATURITY_DAY_SENIOR),Summary!$D$14:$CJ$56,COLUMNS(Summary!$D$13:$CJ$15),FALSE))=TRUE,0,VLOOKUP(DATE(YEAR($A15),PRIN_MATURITY,PRIN_MATURITY_DAY_SENIOR),Summary!$D$13:$CJ$56,COLUMNS(Summary!$D$13:$CJ$15),FALSE)),0)</f>
        <v>170169.50217624599</v>
      </c>
      <c r="AA15" s="84">
        <f ca="1">IF(ISERROR(IF(ISNA(VLOOKUP($A15,Summary!$D$13:$CJ$54,COLUMNS(Summary!$D$13:$CJ$15),FALSE))=TRUE,0,VLOOKUP($A15,Summary!$D$14:$CJ$54,COLUMNS(Summary!$D$13:$CJ$15),FALSE))/T15),0,IF(ISNA(VLOOKUP($A15,Summary!$C$13:$CJ$54,COLUMNS(Summary!$D$13:$CJ$15)))=TRUE,0,VLOOKUP($A15,Summary!$D$13:$CJ$54,COLUMNS(Summary!$D$13:$CJ$15)))/T15)</f>
        <v>1.5013392396584608</v>
      </c>
      <c r="AB15" s="72">
        <f t="shared" si="15"/>
        <v>1</v>
      </c>
      <c r="AC15" s="83">
        <f t="shared" ca="1" si="19"/>
        <v>56824.364927346935</v>
      </c>
      <c r="AE15" s="83">
        <f t="shared" si="8"/>
        <v>0</v>
      </c>
      <c r="AF15" s="70">
        <f t="shared" ca="1" si="9"/>
        <v>61038.49095531254</v>
      </c>
      <c r="AG15" s="83"/>
      <c r="AI15" s="144">
        <f ca="1">IF(AJ13-AJ14=0,AI15,AI14+(AI14-AI13)*((AJ14-AL15)/(AJ13-AJ14)))</f>
        <v>4.2758764709699706E-2</v>
      </c>
      <c r="AJ15" s="83">
        <f t="shared" ca="1" si="21"/>
        <v>1279333.2031859958</v>
      </c>
      <c r="AK15" s="145">
        <f t="shared" si="22"/>
        <v>0</v>
      </c>
      <c r="AL15" s="83">
        <f t="shared" ca="1" si="23"/>
        <v>734000</v>
      </c>
      <c r="AM15" s="11"/>
      <c r="AN15" s="144">
        <f ca="1">IF(AO13-AO14=0,AN15,AN14+(AN14-AN13)*((AO14-AQ15)/(AO13-AO14)))</f>
        <v>4.3106192205519291E-2</v>
      </c>
      <c r="AO15" s="83">
        <f t="shared" ca="1" si="20"/>
        <v>1273143.1637809926</v>
      </c>
      <c r="AP15" s="145">
        <f t="shared" si="24"/>
        <v>0</v>
      </c>
      <c r="AQ15" s="83">
        <f t="shared" ca="1" si="25"/>
        <v>719000</v>
      </c>
    </row>
    <row r="16" spans="1:43" x14ac:dyDescent="0.25">
      <c r="A16" s="67">
        <f t="shared" si="10"/>
        <v>46645</v>
      </c>
      <c r="B16" s="68">
        <f t="shared" si="11"/>
        <v>0</v>
      </c>
      <c r="C16" s="68">
        <f t="shared" si="16"/>
        <v>0</v>
      </c>
      <c r="D16" s="68">
        <f t="shared" si="0"/>
        <v>0</v>
      </c>
      <c r="E16" s="66">
        <f t="shared" si="17"/>
        <v>0</v>
      </c>
      <c r="F16" s="66"/>
      <c r="G16" s="66"/>
      <c r="H16" s="66">
        <f t="shared" ca="1" si="12"/>
        <v>27300</v>
      </c>
      <c r="I16" s="66">
        <f t="shared" si="1"/>
        <v>0</v>
      </c>
      <c r="J16" s="153">
        <f>MAX(MIN(IF(MONTH($A16)=PRIN_MATURITY,IF(ISNA(VLOOKUP(DATE(YEAR($A16),PRIN_MATURITY,PRIN_MATURITY_DAY_SUB),Summary!$D$12:$CJ$57,COLUMNS(Summary!$D$12:$CJ$12))),0,VLOOKUP(DATE(YEAR($A16),PRIN_MATURITY,PRIN_MATURITY_DAY_SUB),Summary!$D$12:$CJ$57,COLUMNS(Summary!$D$12:$CJ$12))),0),$I16),0)</f>
        <v>0</v>
      </c>
      <c r="K16" s="66">
        <f t="shared" ca="1" si="2"/>
        <v>0</v>
      </c>
      <c r="L16" s="154">
        <f t="shared" ca="1" si="3"/>
        <v>0</v>
      </c>
      <c r="M16" s="66">
        <f t="shared" ca="1" si="13"/>
        <v>0</v>
      </c>
      <c r="N16" s="66">
        <f t="shared" ca="1" si="4"/>
        <v>0</v>
      </c>
      <c r="O16" s="66">
        <f t="shared" ca="1" si="14"/>
        <v>27300</v>
      </c>
      <c r="P16" s="70">
        <f t="shared" si="5"/>
        <v>0</v>
      </c>
      <c r="Q16" s="66"/>
      <c r="R16" s="85"/>
      <c r="S16" s="66">
        <f t="shared" ca="1" si="6"/>
        <v>27300</v>
      </c>
      <c r="T16" s="70">
        <f t="shared" si="7"/>
        <v>0</v>
      </c>
      <c r="U16" s="70">
        <f ca="1">$G$97-SUM($G$11:G16)</f>
        <v>734000</v>
      </c>
      <c r="W16" s="68">
        <f t="shared" si="18"/>
        <v>0</v>
      </c>
      <c r="Z16" s="83">
        <f>IF(MONTH($A16)=PRIN_MATURITY,IF(ISNA(VLOOKUP(DATE(YEAR($A16),PRIN_MATURITY,PRIN_MATURITY_DAY_SENIOR),Summary!$D$14:$CJ$56,COLUMNS(Summary!$D$13:$CJ$15),FALSE))=TRUE,0,VLOOKUP(DATE(YEAR($A16),PRIN_MATURITY,PRIN_MATURITY_DAY_SENIOR),Summary!$D$13:$CJ$56,COLUMNS(Summary!$D$13:$CJ$15),FALSE)),0)</f>
        <v>0</v>
      </c>
      <c r="AA16" s="84">
        <f>IF(ISERROR(IF(ISNA(VLOOKUP($A16,Summary!$D$13:$CJ$54,COLUMNS(Summary!$D$13:$CJ$15),FALSE))=TRUE,0,VLOOKUP($A16,Summary!$D$14:$CJ$54,COLUMNS(Summary!$D$13:$CJ$15),FALSE))/T16),0,IF(ISNA(VLOOKUP($A16,Summary!$C$13:$CJ$54,COLUMNS(Summary!$D$13:$CJ$15)))=TRUE,0,VLOOKUP($A16,Summary!$D$13:$CJ$54,COLUMNS(Summary!$D$13:$CJ$15)))/T16)</f>
        <v>0</v>
      </c>
      <c r="AB16" s="72" t="str">
        <f t="shared" si="15"/>
        <v/>
      </c>
      <c r="AC16" s="83">
        <f t="shared" ca="1" si="19"/>
        <v>0</v>
      </c>
      <c r="AE16" s="83">
        <f t="shared" si="8"/>
        <v>0</v>
      </c>
      <c r="AF16" s="70">
        <f t="shared" ca="1" si="9"/>
        <v>0</v>
      </c>
      <c r="AG16" s="83"/>
      <c r="AI16" s="144">
        <f t="shared" ref="AI16:AI21" ca="1" si="26">IF(AJ14-AJ15=0,AI16,AI15+(AI15-AI14)*((AJ15-AL16)/(AJ14-AJ15)))</f>
        <v>6.0685116093615654E-2</v>
      </c>
      <c r="AJ16" s="83">
        <f t="shared" ca="1" si="21"/>
        <v>1012571.3846188837</v>
      </c>
      <c r="AK16" s="145">
        <f t="shared" si="22"/>
        <v>0</v>
      </c>
      <c r="AL16" s="83">
        <f t="shared" ca="1" si="23"/>
        <v>734000</v>
      </c>
      <c r="AM16" s="11"/>
      <c r="AN16" s="144">
        <f t="shared" ref="AN16:AN22" ca="1" si="27">IF(AO14-AO15=0,AN16,AN15+(AN15-AN14)*((AO15-AQ16)/(AO14-AO15)))</f>
        <v>6.1383180458267253E-2</v>
      </c>
      <c r="AO16" s="83">
        <f t="shared" ca="1" si="20"/>
        <v>1004046.7207277998</v>
      </c>
      <c r="AP16" s="145">
        <f t="shared" si="24"/>
        <v>0</v>
      </c>
      <c r="AQ16" s="83">
        <f t="shared" ca="1" si="25"/>
        <v>719000</v>
      </c>
    </row>
    <row r="17" spans="1:43" x14ac:dyDescent="0.25">
      <c r="A17" s="67">
        <f t="shared" si="10"/>
        <v>46827</v>
      </c>
      <c r="B17" s="68">
        <f t="shared" si="11"/>
        <v>8.1250000000000003E-2</v>
      </c>
      <c r="C17" s="68">
        <f t="shared" si="16"/>
        <v>8.1250000000000003E-2</v>
      </c>
      <c r="D17" s="68">
        <f t="shared" si="0"/>
        <v>1</v>
      </c>
      <c r="E17" s="66">
        <f t="shared" si="17"/>
        <v>0</v>
      </c>
      <c r="F17" s="66"/>
      <c r="G17" s="66"/>
      <c r="H17" s="66">
        <f t="shared" ca="1" si="12"/>
        <v>27300</v>
      </c>
      <c r="I17" s="66">
        <f t="shared" ca="1" si="1"/>
        <v>54600</v>
      </c>
      <c r="J17" s="153">
        <f ca="1">MAX(MIN(IF(MONTH($A17)=PRIN_MATURITY,IF(ISNA(VLOOKUP(DATE(YEAR($A17),PRIN_MATURITY,PRIN_MATURITY_DAY_SUB),Summary!$D$12:$CJ$57,COLUMNS(Summary!$D$12:$CJ$12))),0,VLOOKUP(DATE(YEAR($A17),PRIN_MATURITY,PRIN_MATURITY_DAY_SUB),Summary!$D$12:$CJ$57,COLUMNS(Summary!$D$12:$CJ$12))),0),$I17),0)</f>
        <v>0</v>
      </c>
      <c r="K17" s="66">
        <f t="shared" ca="1" si="2"/>
        <v>54600</v>
      </c>
      <c r="L17" s="154">
        <f t="shared" ca="1" si="3"/>
        <v>0</v>
      </c>
      <c r="M17" s="66">
        <f t="shared" ca="1" si="13"/>
        <v>54600</v>
      </c>
      <c r="N17" s="66">
        <f t="shared" ca="1" si="4"/>
        <v>0</v>
      </c>
      <c r="O17" s="66">
        <f t="shared" ca="1" si="14"/>
        <v>27300</v>
      </c>
      <c r="P17" s="70">
        <f t="shared" ca="1" si="5"/>
        <v>54600</v>
      </c>
      <c r="Q17" s="66"/>
      <c r="R17" s="85"/>
      <c r="S17" s="66">
        <f t="shared" ca="1" si="6"/>
        <v>27300</v>
      </c>
      <c r="T17" s="70">
        <f t="shared" ca="1" si="7"/>
        <v>54600</v>
      </c>
      <c r="U17" s="70">
        <f ca="1">$G$97-SUM($G$11:G17)</f>
        <v>734000</v>
      </c>
      <c r="W17" s="68">
        <f t="shared" si="18"/>
        <v>1</v>
      </c>
      <c r="Z17" s="83">
        <f ca="1">IF(MONTH($A17)=PRIN_MATURITY,IF(ISNA(VLOOKUP(DATE(YEAR($A17),PRIN_MATURITY,PRIN_MATURITY_DAY_SENIOR),Summary!$D$14:$CJ$56,COLUMNS(Summary!$D$13:$CJ$15),FALSE))=TRUE,0,VLOOKUP(DATE(YEAR($A17),PRIN_MATURITY,PRIN_MATURITY_DAY_SENIOR),Summary!$D$13:$CJ$56,COLUMNS(Summary!$D$13:$CJ$15),FALSE)),0)</f>
        <v>0</v>
      </c>
      <c r="AA17" s="84">
        <f ca="1">IF(ISERROR(IF(ISNA(VLOOKUP($A17,Summary!$D$13:$CJ$54,COLUMNS(Summary!$D$13:$CJ$15),FALSE))=TRUE,0,VLOOKUP($A17,Summary!$D$14:$CJ$54,COLUMNS(Summary!$D$13:$CJ$15),FALSE))/T17),0,IF(ISNA(VLOOKUP($A17,Summary!$C$13:$CJ$54,COLUMNS(Summary!$D$13:$CJ$15)))=TRUE,0,VLOOKUP($A17,Summary!$D$13:$CJ$54,COLUMNS(Summary!$D$13:$CJ$15)))/T17)</f>
        <v>0</v>
      </c>
      <c r="AB17" s="72">
        <f t="shared" si="15"/>
        <v>1</v>
      </c>
      <c r="AC17" s="83">
        <f t="shared" ca="1" si="19"/>
        <v>0</v>
      </c>
      <c r="AE17" s="83">
        <f t="shared" si="8"/>
        <v>0</v>
      </c>
      <c r="AF17" s="70">
        <f t="shared" ca="1" si="9"/>
        <v>54600</v>
      </c>
      <c r="AG17" s="83"/>
      <c r="AI17" s="144">
        <f t="shared" ca="1" si="26"/>
        <v>7.9405068420398031E-2</v>
      </c>
      <c r="AJ17" s="83">
        <f t="shared" ca="1" si="21"/>
        <v>819734.64492262097</v>
      </c>
      <c r="AK17" s="145">
        <f t="shared" si="22"/>
        <v>0</v>
      </c>
      <c r="AL17" s="83">
        <f t="shared" ca="1" si="23"/>
        <v>734000</v>
      </c>
      <c r="AM17" s="11"/>
      <c r="AN17" s="144">
        <f t="shared" ca="1" si="27"/>
        <v>8.0743509071739467E-2</v>
      </c>
      <c r="AO17" s="83">
        <f t="shared" ca="1" si="20"/>
        <v>808386.8069668255</v>
      </c>
      <c r="AP17" s="145">
        <f t="shared" si="24"/>
        <v>0</v>
      </c>
      <c r="AQ17" s="83">
        <f t="shared" ca="1" si="25"/>
        <v>719000</v>
      </c>
    </row>
    <row r="18" spans="1:43" x14ac:dyDescent="0.25">
      <c r="A18" s="67">
        <f t="shared" si="10"/>
        <v>47011</v>
      </c>
      <c r="B18" s="68">
        <f t="shared" si="11"/>
        <v>0</v>
      </c>
      <c r="C18" s="68">
        <f t="shared" si="16"/>
        <v>0</v>
      </c>
      <c r="D18" s="68">
        <f t="shared" si="0"/>
        <v>0</v>
      </c>
      <c r="E18" s="66">
        <f t="shared" si="17"/>
        <v>0</v>
      </c>
      <c r="F18" s="66"/>
      <c r="G18" s="66"/>
      <c r="H18" s="66">
        <f t="shared" ca="1" si="12"/>
        <v>27300</v>
      </c>
      <c r="I18" s="66">
        <f t="shared" si="1"/>
        <v>0</v>
      </c>
      <c r="J18" s="153">
        <f>MAX(MIN(IF(MONTH($A18)=PRIN_MATURITY,IF(ISNA(VLOOKUP(DATE(YEAR($A18),PRIN_MATURITY,PRIN_MATURITY_DAY_SUB),Summary!$D$12:$CJ$57,COLUMNS(Summary!$D$12:$CJ$12))),0,VLOOKUP(DATE(YEAR($A18),PRIN_MATURITY,PRIN_MATURITY_DAY_SUB),Summary!$D$12:$CJ$57,COLUMNS(Summary!$D$12:$CJ$12))),0),$I18),0)</f>
        <v>0</v>
      </c>
      <c r="K18" s="66">
        <f t="shared" ca="1" si="2"/>
        <v>2218.125</v>
      </c>
      <c r="L18" s="154">
        <f t="shared" ca="1" si="3"/>
        <v>0</v>
      </c>
      <c r="M18" s="66">
        <f ca="1">M17+K18-L18</f>
        <v>56818.125</v>
      </c>
      <c r="N18" s="66">
        <f t="shared" ca="1" si="4"/>
        <v>0</v>
      </c>
      <c r="O18" s="66">
        <f t="shared" ca="1" si="14"/>
        <v>27300</v>
      </c>
      <c r="P18" s="70">
        <f t="shared" si="5"/>
        <v>0</v>
      </c>
      <c r="Q18" s="66"/>
      <c r="R18" s="85"/>
      <c r="S18" s="66">
        <f t="shared" ca="1" si="6"/>
        <v>27300</v>
      </c>
      <c r="T18" s="70">
        <f t="shared" si="7"/>
        <v>0</v>
      </c>
      <c r="U18" s="70">
        <f ca="1">$G$97-SUM($G$11:G18)</f>
        <v>734000</v>
      </c>
      <c r="W18" s="68">
        <f t="shared" si="18"/>
        <v>0</v>
      </c>
      <c r="Z18" s="83">
        <f>IF(MONTH($A18)=PRIN_MATURITY,IF(ISNA(VLOOKUP(DATE(YEAR($A18),PRIN_MATURITY,PRIN_MATURITY_DAY_SENIOR),Summary!$D$14:$CJ$56,COLUMNS(Summary!$D$13:$CJ$15),FALSE))=TRUE,0,VLOOKUP(DATE(YEAR($A18),PRIN_MATURITY,PRIN_MATURITY_DAY_SENIOR),Summary!$D$13:$CJ$56,COLUMNS(Summary!$D$13:$CJ$15),FALSE)),0)</f>
        <v>0</v>
      </c>
      <c r="AA18" s="84">
        <f>IF(ISERROR(IF(ISNA(VLOOKUP($A18,Summary!$D$13:$CJ$54,COLUMNS(Summary!$D$13:$CJ$15),FALSE))=TRUE,0,VLOOKUP($A18,Summary!$D$14:$CJ$54,COLUMNS(Summary!$D$13:$CJ$15),FALSE))/T18),0,IF(ISNA(VLOOKUP($A18,Summary!$C$13:$CJ$54,COLUMNS(Summary!$D$13:$CJ$15)))=TRUE,0,VLOOKUP($A18,Summary!$D$13:$CJ$54,COLUMNS(Summary!$D$13:$CJ$15)))/T18)</f>
        <v>0</v>
      </c>
      <c r="AB18" s="72" t="str">
        <f t="shared" si="15"/>
        <v/>
      </c>
      <c r="AC18" s="83">
        <f t="shared" ca="1" si="19"/>
        <v>0</v>
      </c>
      <c r="AE18" s="83">
        <f t="shared" si="8"/>
        <v>0</v>
      </c>
      <c r="AF18" s="70">
        <f t="shared" ca="1" si="9"/>
        <v>2218.125</v>
      </c>
      <c r="AG18" s="83"/>
      <c r="AI18" s="144">
        <f t="shared" ca="1" si="26"/>
        <v>8.7727903935212445E-2</v>
      </c>
      <c r="AJ18" s="83">
        <f t="shared" ca="1" si="21"/>
        <v>753419.48314082786</v>
      </c>
      <c r="AK18" s="145">
        <f t="shared" si="22"/>
        <v>0</v>
      </c>
      <c r="AL18" s="83">
        <f t="shared" ca="1" si="23"/>
        <v>734000</v>
      </c>
      <c r="AM18" s="11"/>
      <c r="AN18" s="144">
        <f t="shared" ca="1" si="27"/>
        <v>8.9588233181660454E-2</v>
      </c>
      <c r="AO18" s="83">
        <f t="shared" ca="1" si="20"/>
        <v>739890.92216059368</v>
      </c>
      <c r="AP18" s="145">
        <f t="shared" si="24"/>
        <v>0</v>
      </c>
      <c r="AQ18" s="83">
        <f t="shared" ca="1" si="25"/>
        <v>719000</v>
      </c>
    </row>
    <row r="19" spans="1:43" x14ac:dyDescent="0.25">
      <c r="A19" s="67">
        <f t="shared" si="10"/>
        <v>47192</v>
      </c>
      <c r="B19" s="68">
        <f t="shared" si="11"/>
        <v>8.1250000000000003E-2</v>
      </c>
      <c r="C19" s="68">
        <f t="shared" si="16"/>
        <v>8.1250000000000003E-2</v>
      </c>
      <c r="D19" s="68">
        <f t="shared" si="0"/>
        <v>1</v>
      </c>
      <c r="E19" s="66">
        <f t="shared" si="17"/>
        <v>0</v>
      </c>
      <c r="F19" s="66"/>
      <c r="G19" s="66"/>
      <c r="H19" s="66">
        <f t="shared" ca="1" si="12"/>
        <v>27300</v>
      </c>
      <c r="I19" s="66">
        <f t="shared" ca="1" si="1"/>
        <v>54600</v>
      </c>
      <c r="J19" s="153">
        <f ca="1">MAX(MIN(IF(MONTH($A19)=PRIN_MATURITY,IF(ISNA(VLOOKUP(DATE(YEAR($A19),PRIN_MATURITY,PRIN_MATURITY_DAY_SUB),Summary!$D$12:$CJ$57,COLUMNS(Summary!$D$12:$CJ$12))),0,VLOOKUP(DATE(YEAR($A19),PRIN_MATURITY,PRIN_MATURITY_DAY_SUB),Summary!$D$12:$CJ$57,COLUMNS(Summary!$D$12:$CJ$12))),0),$I19),0)</f>
        <v>0</v>
      </c>
      <c r="K19" s="66">
        <f t="shared" ca="1" si="2"/>
        <v>56908.236328125</v>
      </c>
      <c r="L19" s="154">
        <f t="shared" ca="1" si="3"/>
        <v>0</v>
      </c>
      <c r="M19" s="66">
        <f t="shared" ca="1" si="13"/>
        <v>113726.361328125</v>
      </c>
      <c r="N19" s="66">
        <f t="shared" ca="1" si="4"/>
        <v>0</v>
      </c>
      <c r="O19" s="66">
        <f t="shared" ca="1" si="14"/>
        <v>27300</v>
      </c>
      <c r="P19" s="70">
        <f t="shared" ca="1" si="5"/>
        <v>54600</v>
      </c>
      <c r="Q19" s="66"/>
      <c r="R19" s="85"/>
      <c r="S19" s="66">
        <f t="shared" ca="1" si="6"/>
        <v>27300</v>
      </c>
      <c r="T19" s="70">
        <f t="shared" ca="1" si="7"/>
        <v>54600</v>
      </c>
      <c r="U19" s="70">
        <f ca="1">$G$97-SUM($G$11:G19)</f>
        <v>734000</v>
      </c>
      <c r="W19" s="68">
        <f t="shared" si="18"/>
        <v>1</v>
      </c>
      <c r="Z19" s="83">
        <f ca="1">IF(MONTH($A19)=PRIN_MATURITY,IF(ISNA(VLOOKUP(DATE(YEAR($A19),PRIN_MATURITY,PRIN_MATURITY_DAY_SENIOR),Summary!$D$14:$CJ$56,COLUMNS(Summary!$D$13:$CJ$15),FALSE))=TRUE,0,VLOOKUP(DATE(YEAR($A19),PRIN_MATURITY,PRIN_MATURITY_DAY_SENIOR),Summary!$D$13:$CJ$56,COLUMNS(Summary!$D$13:$CJ$15),FALSE)),0)</f>
        <v>0</v>
      </c>
      <c r="AA19" s="84">
        <f ca="1">IF(ISERROR(IF(ISNA(VLOOKUP($A19,Summary!$D$13:$CJ$54,COLUMNS(Summary!$D$13:$CJ$15),FALSE))=TRUE,0,VLOOKUP($A19,Summary!$D$14:$CJ$54,COLUMNS(Summary!$D$13:$CJ$15),FALSE))/T19),0,IF(ISNA(VLOOKUP($A19,Summary!$C$13:$CJ$54,COLUMNS(Summary!$D$13:$CJ$15)))=TRUE,0,VLOOKUP($A19,Summary!$D$13:$CJ$54,COLUMNS(Summary!$D$13:$CJ$15)))/T19)</f>
        <v>0</v>
      </c>
      <c r="AB19" s="72">
        <f t="shared" si="15"/>
        <v>1</v>
      </c>
      <c r="AC19" s="83">
        <f t="shared" ca="1" si="19"/>
        <v>0</v>
      </c>
      <c r="AE19" s="83">
        <f t="shared" si="8"/>
        <v>0</v>
      </c>
      <c r="AF19" s="70">
        <f t="shared" ca="1" si="9"/>
        <v>56908.236328125</v>
      </c>
      <c r="AG19" s="83"/>
      <c r="AI19" s="144">
        <f t="shared" ca="1" si="26"/>
        <v>9.0165131857473144E-2</v>
      </c>
      <c r="AJ19" s="83">
        <f t="shared" ca="1" si="21"/>
        <v>735784.01565196668</v>
      </c>
      <c r="AK19" s="145">
        <f t="shared" si="22"/>
        <v>0</v>
      </c>
      <c r="AL19" s="83">
        <f t="shared" ca="1" si="23"/>
        <v>734000</v>
      </c>
      <c r="AM19" s="11"/>
      <c r="AN19" s="144">
        <f t="shared" ca="1" si="27"/>
        <v>9.228583236495437E-2</v>
      </c>
      <c r="AO19" s="83">
        <f t="shared" ca="1" si="20"/>
        <v>721034.29326082871</v>
      </c>
      <c r="AP19" s="145">
        <f t="shared" si="24"/>
        <v>0</v>
      </c>
      <c r="AQ19" s="83">
        <f t="shared" ca="1" si="25"/>
        <v>719000</v>
      </c>
    </row>
    <row r="20" spans="1:43" x14ac:dyDescent="0.25">
      <c r="A20" s="67">
        <f t="shared" si="10"/>
        <v>47376</v>
      </c>
      <c r="B20" s="68">
        <f t="shared" si="11"/>
        <v>0</v>
      </c>
      <c r="C20" s="68">
        <f t="shared" si="16"/>
        <v>0</v>
      </c>
      <c r="D20" s="68">
        <f t="shared" si="0"/>
        <v>0</v>
      </c>
      <c r="E20" s="66">
        <f t="shared" si="17"/>
        <v>0</v>
      </c>
      <c r="F20" s="66"/>
      <c r="G20" s="66"/>
      <c r="H20" s="66">
        <f t="shared" ca="1" si="12"/>
        <v>27300</v>
      </c>
      <c r="I20" s="66">
        <f t="shared" si="1"/>
        <v>0</v>
      </c>
      <c r="J20" s="153">
        <f>MAX(MIN(IF(MONTH($A20)=PRIN_MATURITY,IF(ISNA(VLOOKUP(DATE(YEAR($A20),PRIN_MATURITY,PRIN_MATURITY_DAY_SUB),Summary!$D$12:$CJ$57,COLUMNS(Summary!$D$12:$CJ$12))),0,VLOOKUP(DATE(YEAR($A20),PRIN_MATURITY,PRIN_MATURITY_DAY_SUB),Summary!$D$12:$CJ$57,COLUMNS(Summary!$D$12:$CJ$12))),0),$I20),0)</f>
        <v>0</v>
      </c>
      <c r="K20" s="66">
        <f t="shared" ca="1" si="2"/>
        <v>4620.1334289550787</v>
      </c>
      <c r="L20" s="154">
        <f t="shared" ca="1" si="3"/>
        <v>0</v>
      </c>
      <c r="M20" s="66">
        <f t="shared" ca="1" si="13"/>
        <v>118346.49475708007</v>
      </c>
      <c r="N20" s="66">
        <f t="shared" ca="1" si="4"/>
        <v>0</v>
      </c>
      <c r="O20" s="66">
        <f t="shared" ca="1" si="14"/>
        <v>27300</v>
      </c>
      <c r="P20" s="70">
        <f t="shared" si="5"/>
        <v>0</v>
      </c>
      <c r="Q20" s="66"/>
      <c r="R20" s="85"/>
      <c r="S20" s="66">
        <f t="shared" ca="1" si="6"/>
        <v>27300</v>
      </c>
      <c r="T20" s="70">
        <f t="shared" si="7"/>
        <v>0</v>
      </c>
      <c r="U20" s="70">
        <f ca="1">$G$97-SUM($G$11:G20)</f>
        <v>734000</v>
      </c>
      <c r="W20" s="68">
        <f t="shared" si="18"/>
        <v>0</v>
      </c>
      <c r="Z20" s="83">
        <f>IF(MONTH($A20)=PRIN_MATURITY,IF(ISNA(VLOOKUP(DATE(YEAR($A20),PRIN_MATURITY,PRIN_MATURITY_DAY_SENIOR),Summary!$D$14:$CJ$56,COLUMNS(Summary!$D$13:$CJ$15),FALSE))=TRUE,0,VLOOKUP(DATE(YEAR($A20),PRIN_MATURITY,PRIN_MATURITY_DAY_SENIOR),Summary!$D$13:$CJ$56,COLUMNS(Summary!$D$13:$CJ$15),FALSE)),0)</f>
        <v>0</v>
      </c>
      <c r="AA20" s="84">
        <f>IF(ISERROR(IF(ISNA(VLOOKUP($A20,Summary!$D$13:$CJ$54,COLUMNS(Summary!$D$13:$CJ$15),FALSE))=TRUE,0,VLOOKUP($A20,Summary!$D$14:$CJ$54,COLUMNS(Summary!$D$13:$CJ$15),FALSE))/T20),0,IF(ISNA(VLOOKUP($A20,Summary!$C$13:$CJ$54,COLUMNS(Summary!$D$13:$CJ$15)))=TRUE,0,VLOOKUP($A20,Summary!$D$13:$CJ$54,COLUMNS(Summary!$D$13:$CJ$15)))/T20)</f>
        <v>0</v>
      </c>
      <c r="AB20" s="72" t="str">
        <f t="shared" si="15"/>
        <v/>
      </c>
      <c r="AC20" s="83">
        <f t="shared" ca="1" si="19"/>
        <v>0</v>
      </c>
      <c r="AE20" s="83">
        <f t="shared" si="8"/>
        <v>0</v>
      </c>
      <c r="AF20" s="70">
        <f t="shared" ca="1" si="9"/>
        <v>4620.1334289550787</v>
      </c>
      <c r="AG20" s="83"/>
      <c r="AI20" s="144">
        <f t="shared" ca="1" si="26"/>
        <v>9.0411683459434913E-2</v>
      </c>
      <c r="AJ20" s="83">
        <f t="shared" ca="1" si="21"/>
        <v>734041.33360500168</v>
      </c>
      <c r="AK20" s="145">
        <f t="shared" si="22"/>
        <v>0</v>
      </c>
      <c r="AL20" s="83">
        <f t="shared" ca="1" si="23"/>
        <v>734000</v>
      </c>
      <c r="AM20" s="11"/>
      <c r="AN20" s="144">
        <f t="shared" ca="1" si="27"/>
        <v>9.2576855106514519E-2</v>
      </c>
      <c r="AO20" s="83">
        <f t="shared" ca="1" si="20"/>
        <v>719051.87022636994</v>
      </c>
      <c r="AP20" s="145">
        <f t="shared" si="24"/>
        <v>0</v>
      </c>
      <c r="AQ20" s="83">
        <f t="shared" ca="1" si="25"/>
        <v>719000</v>
      </c>
    </row>
    <row r="21" spans="1:43" x14ac:dyDescent="0.25">
      <c r="A21" s="67">
        <f t="shared" si="10"/>
        <v>47557</v>
      </c>
      <c r="B21" s="68">
        <f t="shared" si="11"/>
        <v>8.1250000000000003E-2</v>
      </c>
      <c r="C21" s="68">
        <f t="shared" si="16"/>
        <v>8.1250000000000003E-2</v>
      </c>
      <c r="D21" s="68">
        <f t="shared" si="0"/>
        <v>1</v>
      </c>
      <c r="E21" s="66">
        <f t="shared" si="17"/>
        <v>0</v>
      </c>
      <c r="F21" s="66"/>
      <c r="G21" s="66"/>
      <c r="H21" s="66">
        <f t="shared" ca="1" si="12"/>
        <v>27300</v>
      </c>
      <c r="I21" s="66">
        <f t="shared" ca="1" si="1"/>
        <v>54600</v>
      </c>
      <c r="J21" s="153">
        <f ca="1">MAX(MIN(IF(MONTH($A21)=PRIN_MATURITY,IF(ISNA(VLOOKUP(DATE(YEAR($A21),PRIN_MATURITY,PRIN_MATURITY_DAY_SUB),Summary!$D$12:$CJ$57,COLUMNS(Summary!$D$12:$CJ$12))),0,VLOOKUP(DATE(YEAR($A21),PRIN_MATURITY,PRIN_MATURITY_DAY_SUB),Summary!$D$12:$CJ$57,COLUMNS(Summary!$D$12:$CJ$12))),0),$I21),0)</f>
        <v>54600</v>
      </c>
      <c r="K21" s="66">
        <f t="shared" ca="1" si="2"/>
        <v>4807.8263495063802</v>
      </c>
      <c r="L21" s="154">
        <f t="shared" ca="1" si="3"/>
        <v>45971.78971712949</v>
      </c>
      <c r="M21" s="66">
        <f t="shared" ca="1" si="13"/>
        <v>77182.53138945697</v>
      </c>
      <c r="N21" s="66">
        <f t="shared" ca="1" si="4"/>
        <v>100571.78971712949</v>
      </c>
      <c r="O21" s="66">
        <f t="shared" ca="1" si="14"/>
        <v>73271.78971712949</v>
      </c>
      <c r="P21" s="70">
        <f t="shared" ca="1" si="5"/>
        <v>100571.78971712949</v>
      </c>
      <c r="Q21" s="66"/>
      <c r="R21" s="85"/>
      <c r="S21" s="66">
        <f t="shared" ca="1" si="6"/>
        <v>73271.78971712949</v>
      </c>
      <c r="T21" s="70">
        <f t="shared" ca="1" si="7"/>
        <v>100571.78971712949</v>
      </c>
      <c r="U21" s="70">
        <f ca="1">$G$97-SUM($G$11:G21)</f>
        <v>734000</v>
      </c>
      <c r="W21" s="68">
        <f t="shared" si="18"/>
        <v>1</v>
      </c>
      <c r="Z21" s="83">
        <f ca="1">IF(MONTH($A21)=PRIN_MATURITY,IF(ISNA(VLOOKUP(DATE(YEAR($A21),PRIN_MATURITY,PRIN_MATURITY_DAY_SENIOR),Summary!$D$14:$CJ$56,COLUMNS(Summary!$D$13:$CJ$15),FALSE))=TRUE,0,VLOOKUP(DATE(YEAR($A21),PRIN_MATURITY,PRIN_MATURITY_DAY_SENIOR),Summary!$D$13:$CJ$56,COLUMNS(Summary!$D$13:$CJ$15),FALSE)),0)</f>
        <v>100571.78971712949</v>
      </c>
      <c r="AA21" s="84">
        <f ca="1">IF(ISERROR(IF(ISNA(VLOOKUP($A21,Summary!$D$13:$CJ$54,COLUMNS(Summary!$D$13:$CJ$15),FALSE))=TRUE,0,VLOOKUP($A21,Summary!$D$14:$CJ$54,COLUMNS(Summary!$D$13:$CJ$15),FALSE))/T21),0,IF(ISNA(VLOOKUP($A21,Summary!$C$13:$CJ$54,COLUMNS(Summary!$D$13:$CJ$15)))=TRUE,0,VLOOKUP($A21,Summary!$D$13:$CJ$54,COLUMNS(Summary!$D$13:$CJ$15)))/T21)</f>
        <v>1</v>
      </c>
      <c r="AB21" s="72">
        <f t="shared" si="15"/>
        <v>1</v>
      </c>
      <c r="AC21" s="83">
        <f t="shared" ca="1" si="19"/>
        <v>0</v>
      </c>
      <c r="AE21" s="83">
        <f t="shared" si="8"/>
        <v>0</v>
      </c>
      <c r="AF21" s="70">
        <f t="shared" ca="1" si="9"/>
        <v>50779.61606663587</v>
      </c>
      <c r="AG21" s="83"/>
      <c r="AI21" s="144">
        <f t="shared" ca="1" si="26"/>
        <v>9.0417531265433587E-2</v>
      </c>
      <c r="AJ21" s="83">
        <f t="shared" ca="1" si="21"/>
        <v>734000.09033466352</v>
      </c>
      <c r="AK21" s="145">
        <f t="shared" si="22"/>
        <v>0</v>
      </c>
      <c r="AL21" s="83">
        <f t="shared" ca="1" si="23"/>
        <v>734000</v>
      </c>
      <c r="AM21" s="11"/>
      <c r="AN21" s="144">
        <f t="shared" ca="1" si="27"/>
        <v>9.2584469735290081E-2</v>
      </c>
      <c r="AO21" s="83">
        <f t="shared" ca="1" si="20"/>
        <v>719000.13258259185</v>
      </c>
      <c r="AP21" s="145">
        <f t="shared" si="24"/>
        <v>0</v>
      </c>
      <c r="AQ21" s="83">
        <f t="shared" ca="1" si="25"/>
        <v>719000</v>
      </c>
    </row>
    <row r="22" spans="1:43" x14ac:dyDescent="0.25">
      <c r="A22" s="67">
        <f t="shared" si="10"/>
        <v>47741</v>
      </c>
      <c r="B22" s="68">
        <f t="shared" si="11"/>
        <v>0</v>
      </c>
      <c r="C22" s="68">
        <f t="shared" si="16"/>
        <v>0</v>
      </c>
      <c r="D22" s="68">
        <f t="shared" si="0"/>
        <v>0</v>
      </c>
      <c r="E22" s="66">
        <f t="shared" si="17"/>
        <v>0</v>
      </c>
      <c r="F22" s="66"/>
      <c r="G22" s="66"/>
      <c r="H22" s="66">
        <f t="shared" ca="1" si="12"/>
        <v>27300</v>
      </c>
      <c r="I22" s="66">
        <f t="shared" si="1"/>
        <v>0</v>
      </c>
      <c r="J22" s="153">
        <f>MAX(MIN(IF(MONTH($A22)=PRIN_MATURITY,IF(ISNA(VLOOKUP(DATE(YEAR($A22),PRIN_MATURITY,PRIN_MATURITY_DAY_SUB),Summary!$D$12:$CJ$57,COLUMNS(Summary!$D$12:$CJ$12))),0,VLOOKUP(DATE(YEAR($A22),PRIN_MATURITY,PRIN_MATURITY_DAY_SUB),Summary!$D$12:$CJ$57,COLUMNS(Summary!$D$12:$CJ$12))),0),$I22),0)</f>
        <v>0</v>
      </c>
      <c r="K22" s="66">
        <f t="shared" ca="1" si="2"/>
        <v>3135.5403376966897</v>
      </c>
      <c r="L22" s="154">
        <f t="shared" ca="1" si="3"/>
        <v>0</v>
      </c>
      <c r="M22" s="66">
        <f t="shared" ca="1" si="13"/>
        <v>80318.071727153656</v>
      </c>
      <c r="N22" s="66">
        <f t="shared" ca="1" si="4"/>
        <v>0</v>
      </c>
      <c r="O22" s="66">
        <f t="shared" ca="1" si="14"/>
        <v>27300</v>
      </c>
      <c r="P22" s="70">
        <f t="shared" si="5"/>
        <v>0</v>
      </c>
      <c r="Q22" s="66"/>
      <c r="R22" s="85"/>
      <c r="S22" s="66">
        <f t="shared" ca="1" si="6"/>
        <v>27300</v>
      </c>
      <c r="T22" s="70">
        <f t="shared" si="7"/>
        <v>0</v>
      </c>
      <c r="U22" s="70">
        <f ca="1">$G$97-SUM($G$11:G22)</f>
        <v>734000</v>
      </c>
      <c r="W22" s="68">
        <f t="shared" si="18"/>
        <v>0</v>
      </c>
      <c r="Z22" s="83">
        <f>IF(MONTH($A22)=PRIN_MATURITY,IF(ISNA(VLOOKUP(DATE(YEAR($A22),PRIN_MATURITY,PRIN_MATURITY_DAY_SENIOR),Summary!$D$14:$CJ$56,COLUMNS(Summary!$D$13:$CJ$15),FALSE))=TRUE,0,VLOOKUP(DATE(YEAR($A22),PRIN_MATURITY,PRIN_MATURITY_DAY_SENIOR),Summary!$D$13:$CJ$56,COLUMNS(Summary!$D$13:$CJ$15),FALSE)),0)</f>
        <v>0</v>
      </c>
      <c r="AA22" s="84">
        <f>IF(ISERROR(IF(ISNA(VLOOKUP($A22,Summary!$D$13:$CJ$54,COLUMNS(Summary!$D$13:$CJ$15),FALSE))=TRUE,0,VLOOKUP($A22,Summary!$D$14:$CJ$54,COLUMNS(Summary!$D$13:$CJ$15),FALSE))/T22),0,IF(ISNA(VLOOKUP($A22,Summary!$C$13:$CJ$54,COLUMNS(Summary!$D$13:$CJ$15)))=TRUE,0,VLOOKUP($A22,Summary!$D$13:$CJ$54,COLUMNS(Summary!$D$13:$CJ$15)))/T22)</f>
        <v>0</v>
      </c>
      <c r="AB22" s="72" t="str">
        <f t="shared" si="15"/>
        <v/>
      </c>
      <c r="AC22" s="83">
        <f t="shared" ca="1" si="19"/>
        <v>0</v>
      </c>
      <c r="AE22" s="83">
        <f t="shared" si="8"/>
        <v>0</v>
      </c>
      <c r="AF22" s="70">
        <f t="shared" ca="1" si="9"/>
        <v>3135.5403376966897</v>
      </c>
      <c r="AG22" s="83"/>
      <c r="AI22" s="144">
        <f ca="1">IF(AJ20-AJ21=0,AI22,AI21+(AI21-AI20)*((AJ21-AL22)/(AJ20-AJ21)))</f>
        <v>9.0417544073816206E-2</v>
      </c>
      <c r="AJ22" s="83">
        <f t="shared" ca="1" si="21"/>
        <v>734000.0000045842</v>
      </c>
      <c r="AK22" s="145">
        <f t="shared" si="22"/>
        <v>0</v>
      </c>
      <c r="AL22" s="83">
        <f t="shared" ca="1" si="23"/>
        <v>734000</v>
      </c>
      <c r="AM22" s="11"/>
      <c r="AN22" s="144">
        <f t="shared" ca="1" si="27"/>
        <v>9.2584489248494495E-2</v>
      </c>
      <c r="AO22" s="83">
        <f t="shared" ca="1" si="20"/>
        <v>719000.00000866619</v>
      </c>
      <c r="AP22" s="145">
        <f t="shared" si="24"/>
        <v>0</v>
      </c>
      <c r="AQ22" s="83">
        <f t="shared" ca="1" si="25"/>
        <v>719000</v>
      </c>
    </row>
    <row r="23" spans="1:43" x14ac:dyDescent="0.25">
      <c r="A23" s="67">
        <f t="shared" si="10"/>
        <v>47922</v>
      </c>
      <c r="B23" s="68">
        <f t="shared" si="11"/>
        <v>8.1250000000000003E-2</v>
      </c>
      <c r="C23" s="68">
        <f t="shared" si="16"/>
        <v>8.1250000000000003E-2</v>
      </c>
      <c r="D23" s="68">
        <f t="shared" si="0"/>
        <v>1</v>
      </c>
      <c r="E23" s="66">
        <f t="shared" si="17"/>
        <v>0</v>
      </c>
      <c r="F23" s="66"/>
      <c r="G23" s="66"/>
      <c r="H23" s="66">
        <f t="shared" ca="1" si="12"/>
        <v>27300</v>
      </c>
      <c r="I23" s="66">
        <f t="shared" ca="1" si="1"/>
        <v>54600</v>
      </c>
      <c r="J23" s="153">
        <f ca="1">MAX(MIN(IF(MONTH($A23)=PRIN_MATURITY,IF(ISNA(VLOOKUP(DATE(YEAR($A23),PRIN_MATURITY,PRIN_MATURITY_DAY_SUB),Summary!$D$12:$CJ$57,COLUMNS(Summary!$D$12:$CJ$12))),0,VLOOKUP(DATE(YEAR($A23),PRIN_MATURITY,PRIN_MATURITY_DAY_SUB),Summary!$D$12:$CJ$57,COLUMNS(Summary!$D$12:$CJ$12))),0),$I23),0)</f>
        <v>54600</v>
      </c>
      <c r="K23" s="66">
        <f t="shared" ca="1" si="2"/>
        <v>3262.9216639156148</v>
      </c>
      <c r="L23" s="154">
        <f t="shared" ca="1" si="3"/>
        <v>65846.892651105009</v>
      </c>
      <c r="M23" s="66">
        <f ca="1">M22+K23-L23</f>
        <v>17734.100739964255</v>
      </c>
      <c r="N23" s="66">
        <f t="shared" ca="1" si="4"/>
        <v>120446.89265110501</v>
      </c>
      <c r="O23" s="66">
        <f t="shared" ca="1" si="14"/>
        <v>93146.892651105009</v>
      </c>
      <c r="P23" s="70">
        <f t="shared" ca="1" si="5"/>
        <v>120446.89265110501</v>
      </c>
      <c r="Q23" s="66"/>
      <c r="R23" s="85"/>
      <c r="S23" s="66">
        <f t="shared" ca="1" si="6"/>
        <v>93146.892651105009</v>
      </c>
      <c r="T23" s="70">
        <f t="shared" ca="1" si="7"/>
        <v>120446.89265110501</v>
      </c>
      <c r="U23" s="70">
        <f ca="1">$G$97-SUM($G$11:G23)</f>
        <v>734000</v>
      </c>
      <c r="W23" s="68">
        <f t="shared" si="18"/>
        <v>1</v>
      </c>
      <c r="Z23" s="83">
        <f ca="1">IF(MONTH($A23)=PRIN_MATURITY,IF(ISNA(VLOOKUP(DATE(YEAR($A23),PRIN_MATURITY,PRIN_MATURITY_DAY_SENIOR),Summary!$D$14:$CJ$56,COLUMNS(Summary!$D$13:$CJ$15),FALSE))=TRUE,0,VLOOKUP(DATE(YEAR($A23),PRIN_MATURITY,PRIN_MATURITY_DAY_SENIOR),Summary!$D$13:$CJ$56,COLUMNS(Summary!$D$13:$CJ$15),FALSE)),0)</f>
        <v>120446.89265110501</v>
      </c>
      <c r="AA23" s="84">
        <f ca="1">IF(ISERROR(IF(ISNA(VLOOKUP($A23,Summary!$D$13:$CJ$54,COLUMNS(Summary!$D$13:$CJ$15),FALSE))=TRUE,0,VLOOKUP($A23,Summary!$D$14:$CJ$54,COLUMNS(Summary!$D$13:$CJ$15),FALSE))/T23),0,IF(ISNA(VLOOKUP($A23,Summary!$C$13:$CJ$54,COLUMNS(Summary!$D$13:$CJ$15)))=TRUE,0,VLOOKUP($A23,Summary!$D$13:$CJ$54,COLUMNS(Summary!$D$13:$CJ$15)))/T23)</f>
        <v>1</v>
      </c>
      <c r="AB23" s="72">
        <f t="shared" si="15"/>
        <v>1</v>
      </c>
      <c r="AC23" s="83">
        <f t="shared" ca="1" si="19"/>
        <v>0</v>
      </c>
      <c r="AE23" s="83">
        <f t="shared" si="8"/>
        <v>0</v>
      </c>
      <c r="AF23" s="70">
        <f t="shared" ca="1" si="9"/>
        <v>69109.814315020631</v>
      </c>
      <c r="AG23" s="83"/>
      <c r="AN23" s="144"/>
      <c r="AO23" s="83"/>
      <c r="AP23" s="145"/>
      <c r="AQ23" s="83"/>
    </row>
    <row r="24" spans="1:43" x14ac:dyDescent="0.25">
      <c r="A24" s="67">
        <f t="shared" si="10"/>
        <v>48106</v>
      </c>
      <c r="B24" s="68">
        <f t="shared" si="11"/>
        <v>0</v>
      </c>
      <c r="C24" s="68">
        <f t="shared" si="16"/>
        <v>0</v>
      </c>
      <c r="D24" s="68">
        <f t="shared" si="0"/>
        <v>0</v>
      </c>
      <c r="E24" s="66">
        <f t="shared" si="17"/>
        <v>0</v>
      </c>
      <c r="F24" s="66"/>
      <c r="G24" s="66"/>
      <c r="H24" s="66">
        <f t="shared" ca="1" si="12"/>
        <v>27300</v>
      </c>
      <c r="I24" s="66">
        <f t="shared" si="1"/>
        <v>0</v>
      </c>
      <c r="J24" s="153">
        <f>MAX(MIN(IF(MONTH($A24)=PRIN_MATURITY,IF(ISNA(VLOOKUP(DATE(YEAR($A24),PRIN_MATURITY,PRIN_MATURITY_DAY_SUB),Summary!$D$12:$CJ$57,COLUMNS(Summary!$D$12:$CJ$12))),0,VLOOKUP(DATE(YEAR($A24),PRIN_MATURITY,PRIN_MATURITY_DAY_SUB),Summary!$D$12:$CJ$57,COLUMNS(Summary!$D$12:$CJ$12))),0),$I24),0)</f>
        <v>0</v>
      </c>
      <c r="K24" s="66">
        <f t="shared" ca="1" si="2"/>
        <v>720.44784256104788</v>
      </c>
      <c r="L24" s="154">
        <f t="shared" ca="1" si="3"/>
        <v>0</v>
      </c>
      <c r="M24" s="66">
        <f ca="1">M23+K24-L24</f>
        <v>18454.548582525302</v>
      </c>
      <c r="N24" s="66">
        <f t="shared" ca="1" si="4"/>
        <v>0</v>
      </c>
      <c r="O24" s="66">
        <f t="shared" ca="1" si="14"/>
        <v>27300</v>
      </c>
      <c r="P24" s="70">
        <f t="shared" si="5"/>
        <v>0</v>
      </c>
      <c r="Q24" s="66"/>
      <c r="R24" s="85"/>
      <c r="S24" s="66">
        <f t="shared" ca="1" si="6"/>
        <v>27300</v>
      </c>
      <c r="T24" s="70">
        <f t="shared" si="7"/>
        <v>0</v>
      </c>
      <c r="U24" s="70">
        <f ca="1">$G$97-SUM($G$11:G24)</f>
        <v>734000</v>
      </c>
      <c r="W24" s="68">
        <f t="shared" si="18"/>
        <v>0</v>
      </c>
      <c r="Z24" s="83">
        <f>IF(MONTH($A24)=PRIN_MATURITY,IF(ISNA(VLOOKUP(DATE(YEAR($A24),PRIN_MATURITY,PRIN_MATURITY_DAY_SENIOR),Summary!$D$14:$CJ$56,COLUMNS(Summary!$D$13:$CJ$15),FALSE))=TRUE,0,VLOOKUP(DATE(YEAR($A24),PRIN_MATURITY,PRIN_MATURITY_DAY_SENIOR),Summary!$D$13:$CJ$56,COLUMNS(Summary!$D$13:$CJ$15),FALSE)),0)</f>
        <v>0</v>
      </c>
      <c r="AA24" s="84">
        <f>IF(ISERROR(IF(ISNA(VLOOKUP($A24,Summary!$D$13:$CJ$54,COLUMNS(Summary!$D$13:$CJ$15),FALSE))=TRUE,0,VLOOKUP($A24,Summary!$D$14:$CJ$54,COLUMNS(Summary!$D$13:$CJ$15),FALSE))/T24),0,IF(ISNA(VLOOKUP($A24,Summary!$C$13:$CJ$54,COLUMNS(Summary!$D$13:$CJ$15)))=TRUE,0,VLOOKUP($A24,Summary!$D$13:$CJ$54,COLUMNS(Summary!$D$13:$CJ$15)))/T24)</f>
        <v>0</v>
      </c>
      <c r="AB24" s="72" t="str">
        <f t="shared" si="15"/>
        <v/>
      </c>
      <c r="AC24" s="83">
        <f t="shared" ca="1" si="19"/>
        <v>0</v>
      </c>
      <c r="AE24" s="83">
        <f t="shared" si="8"/>
        <v>0</v>
      </c>
      <c r="AF24" s="70">
        <f t="shared" ca="1" si="9"/>
        <v>720.44784256104788</v>
      </c>
      <c r="AG24" s="83"/>
      <c r="AN24" s="144"/>
      <c r="AO24" s="83"/>
      <c r="AP24" s="145"/>
      <c r="AQ24" s="83"/>
    </row>
    <row r="25" spans="1:43" x14ac:dyDescent="0.25">
      <c r="A25" s="67">
        <f t="shared" si="10"/>
        <v>48288</v>
      </c>
      <c r="B25" s="68">
        <f t="shared" si="11"/>
        <v>8.1250000000000003E-2</v>
      </c>
      <c r="C25" s="68">
        <f t="shared" si="16"/>
        <v>8.1250000000000003E-2</v>
      </c>
      <c r="D25" s="68">
        <f t="shared" si="0"/>
        <v>1</v>
      </c>
      <c r="E25" s="66">
        <f t="shared" si="17"/>
        <v>0</v>
      </c>
      <c r="F25" s="66"/>
      <c r="G25" s="66"/>
      <c r="H25" s="66">
        <f t="shared" ca="1" si="12"/>
        <v>27300</v>
      </c>
      <c r="I25" s="66">
        <f t="shared" ca="1" si="1"/>
        <v>54600</v>
      </c>
      <c r="J25" s="153">
        <f ca="1">MAX(MIN(IF(MONTH($A25)=PRIN_MATURITY,IF(ISNA(VLOOKUP(DATE(YEAR($A25),PRIN_MATURITY,PRIN_MATURITY_DAY_SUB),Summary!$D$12:$CJ$57,COLUMNS(Summary!$D$12:$CJ$12))),0,VLOOKUP(DATE(YEAR($A25),PRIN_MATURITY,PRIN_MATURITY_DAY_SUB),Summary!$D$12:$CJ$57,COLUMNS(Summary!$D$12:$CJ$12))),0),$I25),0)</f>
        <v>54600</v>
      </c>
      <c r="K25" s="66">
        <f t="shared" ca="1" si="2"/>
        <v>749.71603616508946</v>
      </c>
      <c r="L25" s="154">
        <f t="shared" ca="1" si="3"/>
        <v>19204.264618690391</v>
      </c>
      <c r="M25" s="66">
        <f t="shared" ca="1" si="13"/>
        <v>0</v>
      </c>
      <c r="N25" s="66">
        <f t="shared" ca="1" si="4"/>
        <v>73804.264618690388</v>
      </c>
      <c r="O25" s="66">
        <f t="shared" ca="1" si="14"/>
        <v>46504.264618690388</v>
      </c>
      <c r="P25" s="70">
        <f t="shared" ca="1" si="5"/>
        <v>73804.264618690388</v>
      </c>
      <c r="Q25" s="66"/>
      <c r="R25" s="85"/>
      <c r="S25" s="66">
        <f t="shared" ca="1" si="6"/>
        <v>46504.264618690388</v>
      </c>
      <c r="T25" s="70">
        <f t="shared" ca="1" si="7"/>
        <v>73804.264618690388</v>
      </c>
      <c r="U25" s="70">
        <f ca="1">$G$97-SUM($G$11:G25)</f>
        <v>734000</v>
      </c>
      <c r="W25" s="68">
        <f t="shared" si="18"/>
        <v>1</v>
      </c>
      <c r="Z25" s="83">
        <f ca="1">IF(MONTH($A25)=PRIN_MATURITY,IF(ISNA(VLOOKUP(DATE(YEAR($A25),PRIN_MATURITY,PRIN_MATURITY_DAY_SENIOR),Summary!$D$14:$CJ$56,COLUMNS(Summary!$D$13:$CJ$15),FALSE))=TRUE,0,VLOOKUP(DATE(YEAR($A25),PRIN_MATURITY,PRIN_MATURITY_DAY_SENIOR),Summary!$D$13:$CJ$56,COLUMNS(Summary!$D$13:$CJ$15),FALSE)),0)</f>
        <v>124154.38422622555</v>
      </c>
      <c r="AA25" s="84">
        <f ca="1">IF(ISERROR(IF(ISNA(VLOOKUP($A25,Summary!$D$13:$CJ$54,COLUMNS(Summary!$D$13:$CJ$15),FALSE))=TRUE,0,VLOOKUP($A25,Summary!$D$14:$CJ$54,COLUMNS(Summary!$D$13:$CJ$15),FALSE))/T25),0,IF(ISNA(VLOOKUP($A25,Summary!$C$13:$CJ$54,COLUMNS(Summary!$D$13:$CJ$15)))=TRUE,0,VLOOKUP($A25,Summary!$D$13:$CJ$54,COLUMNS(Summary!$D$13:$CJ$15)))/T25)</f>
        <v>1.6822115208066766</v>
      </c>
      <c r="AB25" s="72">
        <f t="shared" si="15"/>
        <v>1</v>
      </c>
      <c r="AC25" s="83">
        <f t="shared" ca="1" si="19"/>
        <v>50350.119607535162</v>
      </c>
      <c r="AE25" s="83">
        <f t="shared" si="8"/>
        <v>0</v>
      </c>
      <c r="AF25" s="70">
        <f t="shared" ca="1" si="9"/>
        <v>19953.980654855481</v>
      </c>
      <c r="AG25" s="83"/>
      <c r="AN25" s="144"/>
      <c r="AO25" s="83"/>
      <c r="AP25" s="145"/>
      <c r="AQ25" s="83"/>
    </row>
    <row r="26" spans="1:43" x14ac:dyDescent="0.25">
      <c r="A26" s="67">
        <f t="shared" si="10"/>
        <v>48472</v>
      </c>
      <c r="B26" s="68">
        <f t="shared" si="11"/>
        <v>0</v>
      </c>
      <c r="C26" s="68">
        <f t="shared" si="16"/>
        <v>0</v>
      </c>
      <c r="D26" s="68">
        <f t="shared" si="0"/>
        <v>0</v>
      </c>
      <c r="E26" s="66">
        <f t="shared" si="17"/>
        <v>0</v>
      </c>
      <c r="F26" s="66"/>
      <c r="G26" s="66"/>
      <c r="H26" s="66">
        <f t="shared" ca="1" si="12"/>
        <v>27300</v>
      </c>
      <c r="I26" s="66">
        <f t="shared" si="1"/>
        <v>0</v>
      </c>
      <c r="J26" s="153">
        <f>MAX(MIN(IF(MONTH($A26)=PRIN_MATURITY,IF(ISNA(VLOOKUP(DATE(YEAR($A26),PRIN_MATURITY,PRIN_MATURITY_DAY_SUB),Summary!$D$12:$CJ$57,COLUMNS(Summary!$D$12:$CJ$12))),0,VLOOKUP(DATE(YEAR($A26),PRIN_MATURITY,PRIN_MATURITY_DAY_SUB),Summary!$D$12:$CJ$57,COLUMNS(Summary!$D$12:$CJ$12))),0),$I26),0)</f>
        <v>0</v>
      </c>
      <c r="K26" s="66">
        <f t="shared" ca="1" si="2"/>
        <v>0</v>
      </c>
      <c r="L26" s="154">
        <f t="shared" ca="1" si="3"/>
        <v>0</v>
      </c>
      <c r="M26" s="66">
        <f t="shared" ca="1" si="13"/>
        <v>0</v>
      </c>
      <c r="N26" s="66">
        <f t="shared" ca="1" si="4"/>
        <v>0</v>
      </c>
      <c r="O26" s="66">
        <f t="shared" ca="1" si="14"/>
        <v>27300</v>
      </c>
      <c r="P26" s="70">
        <f t="shared" si="5"/>
        <v>0</v>
      </c>
      <c r="Q26" s="66"/>
      <c r="R26" s="85"/>
      <c r="S26" s="66">
        <f t="shared" ca="1" si="6"/>
        <v>27300</v>
      </c>
      <c r="T26" s="70">
        <f t="shared" si="7"/>
        <v>0</v>
      </c>
      <c r="U26" s="70">
        <f ca="1">$G$97-SUM($G$11:G26)</f>
        <v>734000</v>
      </c>
      <c r="W26" s="68">
        <f t="shared" si="18"/>
        <v>0</v>
      </c>
      <c r="Z26" s="83">
        <f>IF(MONTH($A26)=PRIN_MATURITY,IF(ISNA(VLOOKUP(DATE(YEAR($A26),PRIN_MATURITY,PRIN_MATURITY_DAY_SENIOR),Summary!$D$14:$CJ$56,COLUMNS(Summary!$D$13:$CJ$15),FALSE))=TRUE,0,VLOOKUP(DATE(YEAR($A26),PRIN_MATURITY,PRIN_MATURITY_DAY_SENIOR),Summary!$D$13:$CJ$56,COLUMNS(Summary!$D$13:$CJ$15),FALSE)),0)</f>
        <v>0</v>
      </c>
      <c r="AA26" s="84">
        <f>IF(ISERROR(IF(ISNA(VLOOKUP($A26,Summary!$D$13:$CJ$54,COLUMNS(Summary!$D$13:$CJ$15),FALSE))=TRUE,0,VLOOKUP($A26,Summary!$D$14:$CJ$54,COLUMNS(Summary!$D$13:$CJ$15),FALSE))/T26),0,IF(ISNA(VLOOKUP($A26,Summary!$C$13:$CJ$54,COLUMNS(Summary!$D$13:$CJ$15)))=TRUE,0,VLOOKUP($A26,Summary!$D$13:$CJ$54,COLUMNS(Summary!$D$13:$CJ$15)))/T26)</f>
        <v>0</v>
      </c>
      <c r="AB26" s="72" t="str">
        <f t="shared" si="15"/>
        <v/>
      </c>
      <c r="AC26" s="83">
        <f t="shared" ca="1" si="19"/>
        <v>0</v>
      </c>
      <c r="AE26" s="83">
        <f t="shared" si="8"/>
        <v>0</v>
      </c>
      <c r="AF26" s="70">
        <f t="shared" ca="1" si="9"/>
        <v>0</v>
      </c>
      <c r="AG26" s="83"/>
      <c r="AN26" s="144"/>
      <c r="AO26" s="83"/>
      <c r="AP26" s="145"/>
      <c r="AQ26" s="83"/>
    </row>
    <row r="27" spans="1:43" x14ac:dyDescent="0.25">
      <c r="A27" s="67">
        <f t="shared" si="10"/>
        <v>48653</v>
      </c>
      <c r="B27" s="68">
        <f t="shared" si="11"/>
        <v>8.1250000000000003E-2</v>
      </c>
      <c r="C27" s="68">
        <f t="shared" si="16"/>
        <v>8.1250000000000003E-2</v>
      </c>
      <c r="D27" s="68">
        <f t="shared" si="0"/>
        <v>1</v>
      </c>
      <c r="E27" s="66">
        <f t="shared" si="17"/>
        <v>0</v>
      </c>
      <c r="F27" s="66"/>
      <c r="G27" s="66"/>
      <c r="H27" s="66">
        <f t="shared" ca="1" si="12"/>
        <v>27300</v>
      </c>
      <c r="I27" s="66">
        <f t="shared" ca="1" si="1"/>
        <v>54600</v>
      </c>
      <c r="J27" s="153">
        <f ca="1">MAX(MIN(IF(MONTH($A27)=PRIN_MATURITY,IF(ISNA(VLOOKUP(DATE(YEAR($A27),PRIN_MATURITY,PRIN_MATURITY_DAY_SUB),Summary!$D$12:$CJ$57,COLUMNS(Summary!$D$12:$CJ$12))),0,VLOOKUP(DATE(YEAR($A27),PRIN_MATURITY,PRIN_MATURITY_DAY_SUB),Summary!$D$12:$CJ$57,COLUMNS(Summary!$D$12:$CJ$12))),0),$I27),0)</f>
        <v>54600</v>
      </c>
      <c r="K27" s="66">
        <f t="shared" ca="1" si="2"/>
        <v>0</v>
      </c>
      <c r="L27" s="154">
        <f t="shared" ca="1" si="3"/>
        <v>0</v>
      </c>
      <c r="M27" s="66">
        <f t="shared" ca="1" si="13"/>
        <v>0</v>
      </c>
      <c r="N27" s="66">
        <f t="shared" ca="1" si="4"/>
        <v>54600</v>
      </c>
      <c r="O27" s="66">
        <f t="shared" ca="1" si="14"/>
        <v>27300</v>
      </c>
      <c r="P27" s="70">
        <f t="shared" ca="1" si="5"/>
        <v>54600</v>
      </c>
      <c r="Q27" s="66"/>
      <c r="R27" s="85"/>
      <c r="S27" s="66">
        <f t="shared" ca="1" si="6"/>
        <v>27300</v>
      </c>
      <c r="T27" s="70">
        <f t="shared" ca="1" si="7"/>
        <v>54600</v>
      </c>
      <c r="U27" s="70">
        <f ca="1">$G$97-SUM($G$11:G27)</f>
        <v>734000</v>
      </c>
      <c r="W27" s="68">
        <f t="shared" si="18"/>
        <v>1</v>
      </c>
      <c r="Z27" s="83">
        <f ca="1">IF(MONTH($A27)=PRIN_MATURITY,IF(ISNA(VLOOKUP(DATE(YEAR($A27),PRIN_MATURITY,PRIN_MATURITY_DAY_SENIOR),Summary!$D$14:$CJ$56,COLUMNS(Summary!$D$13:$CJ$15),FALSE))=TRUE,0,VLOOKUP(DATE(YEAR($A27),PRIN_MATURITY,PRIN_MATURITY_DAY_SENIOR),Summary!$D$13:$CJ$56,COLUMNS(Summary!$D$13:$CJ$15),FALSE)),0)</f>
        <v>123190.08894701541</v>
      </c>
      <c r="AA27" s="84">
        <f ca="1">IF(ISERROR(IF(ISNA(VLOOKUP($A27,Summary!$D$13:$CJ$54,COLUMNS(Summary!$D$13:$CJ$15),FALSE))=TRUE,0,VLOOKUP($A27,Summary!$D$14:$CJ$54,COLUMNS(Summary!$D$13:$CJ$15),FALSE))/T27),0,IF(ISNA(VLOOKUP($A27,Summary!$C$13:$CJ$54,COLUMNS(Summary!$D$13:$CJ$15)))=TRUE,0,VLOOKUP($A27,Summary!$D$13:$CJ$54,COLUMNS(Summary!$D$13:$CJ$15)))/T27)</f>
        <v>2.2562287352933224</v>
      </c>
      <c r="AB27" s="72">
        <f t="shared" si="15"/>
        <v>1</v>
      </c>
      <c r="AC27" s="83">
        <f t="shared" ca="1" si="19"/>
        <v>68590.088947015407</v>
      </c>
      <c r="AE27" s="83">
        <f t="shared" si="8"/>
        <v>0</v>
      </c>
      <c r="AF27" s="70">
        <f t="shared" ca="1" si="9"/>
        <v>0</v>
      </c>
      <c r="AG27" s="83"/>
    </row>
    <row r="28" spans="1:43" x14ac:dyDescent="0.25">
      <c r="A28" s="67">
        <f t="shared" si="10"/>
        <v>48837</v>
      </c>
      <c r="B28" s="68">
        <f t="shared" si="11"/>
        <v>0</v>
      </c>
      <c r="C28" s="68">
        <f t="shared" si="16"/>
        <v>0</v>
      </c>
      <c r="D28" s="68">
        <f t="shared" si="0"/>
        <v>0</v>
      </c>
      <c r="E28" s="66">
        <f t="shared" si="17"/>
        <v>0</v>
      </c>
      <c r="F28" s="66"/>
      <c r="G28" s="66"/>
      <c r="H28" s="66">
        <f t="shared" ca="1" si="12"/>
        <v>27300</v>
      </c>
      <c r="I28" s="66">
        <f t="shared" si="1"/>
        <v>0</v>
      </c>
      <c r="J28" s="153">
        <f>MAX(MIN(IF(MONTH($A28)=PRIN_MATURITY,IF(ISNA(VLOOKUP(DATE(YEAR($A28),PRIN_MATURITY,PRIN_MATURITY_DAY_SUB),Summary!$D$12:$CJ$57,COLUMNS(Summary!$D$12:$CJ$12))),0,VLOOKUP(DATE(YEAR($A28),PRIN_MATURITY,PRIN_MATURITY_DAY_SUB),Summary!$D$12:$CJ$57,COLUMNS(Summary!$D$12:$CJ$12))),0),$I28),0)</f>
        <v>0</v>
      </c>
      <c r="K28" s="66">
        <f t="shared" ca="1" si="2"/>
        <v>0</v>
      </c>
      <c r="L28" s="154">
        <f t="shared" ca="1" si="3"/>
        <v>0</v>
      </c>
      <c r="M28" s="66">
        <f t="shared" ca="1" si="13"/>
        <v>0</v>
      </c>
      <c r="N28" s="66">
        <f t="shared" ca="1" si="4"/>
        <v>0</v>
      </c>
      <c r="O28" s="66">
        <f t="shared" ca="1" si="14"/>
        <v>27300</v>
      </c>
      <c r="P28" s="70">
        <f t="shared" si="5"/>
        <v>0</v>
      </c>
      <c r="Q28" s="66"/>
      <c r="R28" s="85"/>
      <c r="S28" s="66">
        <f t="shared" ca="1" si="6"/>
        <v>27300</v>
      </c>
      <c r="T28" s="70">
        <f t="shared" si="7"/>
        <v>0</v>
      </c>
      <c r="U28" s="70">
        <f ca="1">$G$97-SUM($G$11:G28)</f>
        <v>734000</v>
      </c>
      <c r="W28" s="68">
        <f t="shared" si="18"/>
        <v>0</v>
      </c>
      <c r="Z28" s="83">
        <f>IF(MONTH($A28)=PRIN_MATURITY,IF(ISNA(VLOOKUP(DATE(YEAR($A28),PRIN_MATURITY,PRIN_MATURITY_DAY_SENIOR),Summary!$D$14:$CJ$56,COLUMNS(Summary!$D$13:$CJ$15),FALSE))=TRUE,0,VLOOKUP(DATE(YEAR($A28),PRIN_MATURITY,PRIN_MATURITY_DAY_SENIOR),Summary!$D$13:$CJ$56,COLUMNS(Summary!$D$13:$CJ$15),FALSE)),0)</f>
        <v>0</v>
      </c>
      <c r="AA28" s="84">
        <f>IF(ISERROR(IF(ISNA(VLOOKUP($A28,Summary!$D$13:$CJ$54,COLUMNS(Summary!$D$13:$CJ$15),FALSE))=TRUE,0,VLOOKUP($A28,Summary!$D$14:$CJ$54,COLUMNS(Summary!$D$13:$CJ$15),FALSE))/T28),0,IF(ISNA(VLOOKUP($A28,Summary!$C$13:$CJ$54,COLUMNS(Summary!$D$13:$CJ$15)))=TRUE,0,VLOOKUP($A28,Summary!$D$13:$CJ$54,COLUMNS(Summary!$D$13:$CJ$15)))/T28)</f>
        <v>0</v>
      </c>
      <c r="AB28" s="72" t="str">
        <f t="shared" si="15"/>
        <v/>
      </c>
      <c r="AC28" s="83">
        <f t="shared" ca="1" si="19"/>
        <v>0</v>
      </c>
      <c r="AE28" s="83">
        <f t="shared" si="8"/>
        <v>0</v>
      </c>
      <c r="AF28" s="70">
        <f t="shared" ca="1" si="9"/>
        <v>0</v>
      </c>
      <c r="AG28" s="83"/>
    </row>
    <row r="29" spans="1:43" x14ac:dyDescent="0.25">
      <c r="A29" s="67">
        <f t="shared" si="10"/>
        <v>49018</v>
      </c>
      <c r="B29" s="68">
        <f t="shared" si="11"/>
        <v>8.1250000000000003E-2</v>
      </c>
      <c r="C29" s="68">
        <f t="shared" si="16"/>
        <v>8.1250000000000003E-2</v>
      </c>
      <c r="D29" s="68">
        <f t="shared" si="0"/>
        <v>1</v>
      </c>
      <c r="E29" s="66">
        <f t="shared" si="17"/>
        <v>0</v>
      </c>
      <c r="F29" s="66"/>
      <c r="G29" s="66"/>
      <c r="H29" s="66">
        <f t="shared" ca="1" si="12"/>
        <v>27300</v>
      </c>
      <c r="I29" s="66">
        <f t="shared" ca="1" si="1"/>
        <v>54600</v>
      </c>
      <c r="J29" s="153">
        <f ca="1">MAX(MIN(IF(MONTH($A29)=PRIN_MATURITY,IF(ISNA(VLOOKUP(DATE(YEAR($A29),PRIN_MATURITY,PRIN_MATURITY_DAY_SUB),Summary!$D$12:$CJ$57,COLUMNS(Summary!$D$12:$CJ$12))),0,VLOOKUP(DATE(YEAR($A29),PRIN_MATURITY,PRIN_MATURITY_DAY_SUB),Summary!$D$12:$CJ$57,COLUMNS(Summary!$D$12:$CJ$12))),0),$I29),0)</f>
        <v>54600</v>
      </c>
      <c r="K29" s="66">
        <f t="shared" ca="1" si="2"/>
        <v>0</v>
      </c>
      <c r="L29" s="154">
        <f t="shared" ca="1" si="3"/>
        <v>0</v>
      </c>
      <c r="M29" s="66">
        <f t="shared" ca="1" si="13"/>
        <v>0</v>
      </c>
      <c r="N29" s="66">
        <f t="shared" ca="1" si="4"/>
        <v>54600</v>
      </c>
      <c r="O29" s="66">
        <f t="shared" ca="1" si="14"/>
        <v>27300</v>
      </c>
      <c r="P29" s="70">
        <f t="shared" ca="1" si="5"/>
        <v>54600</v>
      </c>
      <c r="Q29" s="66"/>
      <c r="R29" s="85"/>
      <c r="S29" s="66">
        <f t="shared" ca="1" si="6"/>
        <v>27300</v>
      </c>
      <c r="T29" s="70">
        <f t="shared" ca="1" si="7"/>
        <v>54600</v>
      </c>
      <c r="U29" s="70">
        <f ca="1">$G$97-SUM($G$11:G29)</f>
        <v>734000</v>
      </c>
      <c r="W29" s="68">
        <f t="shared" si="18"/>
        <v>1</v>
      </c>
      <c r="Z29" s="83">
        <f ca="1">IF(MONTH($A29)=PRIN_MATURITY,IF(ISNA(VLOOKUP(DATE(YEAR($A29),PRIN_MATURITY,PRIN_MATURITY_DAY_SENIOR),Summary!$D$14:$CJ$56,COLUMNS(Summary!$D$13:$CJ$15),FALSE))=TRUE,0,VLOOKUP(DATE(YEAR($A29),PRIN_MATURITY,PRIN_MATURITY_DAY_SENIOR),Summary!$D$13:$CJ$56,COLUMNS(Summary!$D$13:$CJ$15),FALSE)),0)</f>
        <v>122847.87170952943</v>
      </c>
      <c r="AA29" s="84">
        <f ca="1">IF(ISERROR(IF(ISNA(VLOOKUP($A29,Summary!$D$13:$CJ$54,COLUMNS(Summary!$D$13:$CJ$15),FALSE))=TRUE,0,VLOOKUP($A29,Summary!$D$14:$CJ$54,COLUMNS(Summary!$D$13:$CJ$15),FALSE))/T29),0,IF(ISNA(VLOOKUP($A29,Summary!$C$13:$CJ$54,COLUMNS(Summary!$D$13:$CJ$15)))=TRUE,0,VLOOKUP($A29,Summary!$D$13:$CJ$54,COLUMNS(Summary!$D$13:$CJ$15)))/T29)</f>
        <v>2.2499610203210518</v>
      </c>
      <c r="AB29" s="72">
        <f t="shared" si="15"/>
        <v>1</v>
      </c>
      <c r="AC29" s="83">
        <f t="shared" ca="1" si="19"/>
        <v>68247.871709529427</v>
      </c>
      <c r="AE29" s="83">
        <f t="shared" si="8"/>
        <v>0</v>
      </c>
      <c r="AF29" s="70">
        <f t="shared" ca="1" si="9"/>
        <v>0</v>
      </c>
      <c r="AG29" s="83"/>
    </row>
    <row r="30" spans="1:43" x14ac:dyDescent="0.25">
      <c r="A30" s="67">
        <f t="shared" si="10"/>
        <v>49202</v>
      </c>
      <c r="B30" s="68">
        <f t="shared" si="11"/>
        <v>0</v>
      </c>
      <c r="C30" s="68">
        <f t="shared" si="16"/>
        <v>0</v>
      </c>
      <c r="D30" s="68">
        <f t="shared" si="0"/>
        <v>0</v>
      </c>
      <c r="E30" s="66">
        <f t="shared" si="17"/>
        <v>0</v>
      </c>
      <c r="F30" s="66"/>
      <c r="G30" s="66"/>
      <c r="H30" s="66">
        <f t="shared" ca="1" si="12"/>
        <v>27300</v>
      </c>
      <c r="I30" s="66">
        <f t="shared" si="1"/>
        <v>0</v>
      </c>
      <c r="J30" s="153">
        <f>MAX(MIN(IF(MONTH($A30)=PRIN_MATURITY,IF(ISNA(VLOOKUP(DATE(YEAR($A30),PRIN_MATURITY,PRIN_MATURITY_DAY_SUB),Summary!$D$12:$CJ$57,COLUMNS(Summary!$D$12:$CJ$12))),0,VLOOKUP(DATE(YEAR($A30),PRIN_MATURITY,PRIN_MATURITY_DAY_SUB),Summary!$D$12:$CJ$57,COLUMNS(Summary!$D$12:$CJ$12))),0),$I30),0)</f>
        <v>0</v>
      </c>
      <c r="K30" s="66">
        <f t="shared" ca="1" si="2"/>
        <v>0</v>
      </c>
      <c r="L30" s="154">
        <f t="shared" ca="1" si="3"/>
        <v>0</v>
      </c>
      <c r="M30" s="66">
        <f t="shared" ca="1" si="13"/>
        <v>0</v>
      </c>
      <c r="N30" s="66">
        <f t="shared" ca="1" si="4"/>
        <v>0</v>
      </c>
      <c r="O30" s="66">
        <f t="shared" ca="1" si="14"/>
        <v>27300</v>
      </c>
      <c r="P30" s="70">
        <f t="shared" si="5"/>
        <v>0</v>
      </c>
      <c r="Q30" s="66"/>
      <c r="R30" s="85"/>
      <c r="S30" s="66">
        <f t="shared" ca="1" si="6"/>
        <v>27300</v>
      </c>
      <c r="T30" s="70">
        <f t="shared" si="7"/>
        <v>0</v>
      </c>
      <c r="U30" s="70">
        <f ca="1">$G$97-SUM($G$11:G30)</f>
        <v>734000</v>
      </c>
      <c r="W30" s="68">
        <f t="shared" si="18"/>
        <v>0</v>
      </c>
      <c r="Z30" s="83">
        <f>IF(MONTH($A30)=PRIN_MATURITY,IF(ISNA(VLOOKUP(DATE(YEAR($A30),PRIN_MATURITY,PRIN_MATURITY_DAY_SENIOR),Summary!$D$14:$CJ$56,COLUMNS(Summary!$D$13:$CJ$15),FALSE))=TRUE,0,VLOOKUP(DATE(YEAR($A30),PRIN_MATURITY,PRIN_MATURITY_DAY_SENIOR),Summary!$D$13:$CJ$56,COLUMNS(Summary!$D$13:$CJ$15),FALSE)),0)</f>
        <v>0</v>
      </c>
      <c r="AA30" s="84">
        <f>IF(ISERROR(IF(ISNA(VLOOKUP($A30,Summary!$D$13:$CJ$54,COLUMNS(Summary!$D$13:$CJ$15),FALSE))=TRUE,0,VLOOKUP($A30,Summary!$D$14:$CJ$54,COLUMNS(Summary!$D$13:$CJ$15),FALSE))/T30),0,IF(ISNA(VLOOKUP($A30,Summary!$C$13:$CJ$54,COLUMNS(Summary!$D$13:$CJ$15)))=TRUE,0,VLOOKUP($A30,Summary!$D$13:$CJ$54,COLUMNS(Summary!$D$13:$CJ$15)))/T30)</f>
        <v>0</v>
      </c>
      <c r="AB30" s="72" t="str">
        <f t="shared" si="15"/>
        <v/>
      </c>
      <c r="AC30" s="83">
        <f t="shared" ca="1" si="19"/>
        <v>0</v>
      </c>
      <c r="AE30" s="83">
        <f t="shared" si="8"/>
        <v>0</v>
      </c>
      <c r="AF30" s="70">
        <f t="shared" ca="1" si="9"/>
        <v>0</v>
      </c>
      <c r="AG30" s="83"/>
    </row>
    <row r="31" spans="1:43" x14ac:dyDescent="0.25">
      <c r="A31" s="67">
        <f t="shared" si="10"/>
        <v>49383</v>
      </c>
      <c r="B31" s="68">
        <f t="shared" si="11"/>
        <v>8.1250000000000003E-2</v>
      </c>
      <c r="C31" s="68">
        <f t="shared" si="16"/>
        <v>8.1250000000000003E-2</v>
      </c>
      <c r="D31" s="68">
        <f t="shared" si="0"/>
        <v>1</v>
      </c>
      <c r="E31" s="66">
        <f t="shared" si="17"/>
        <v>0</v>
      </c>
      <c r="F31" s="66"/>
      <c r="G31" s="66"/>
      <c r="H31" s="66">
        <f t="shared" ca="1" si="12"/>
        <v>27300</v>
      </c>
      <c r="I31" s="66">
        <f t="shared" ca="1" si="1"/>
        <v>54600</v>
      </c>
      <c r="J31" s="153">
        <f ca="1">MAX(MIN(IF(MONTH($A31)=PRIN_MATURITY,IF(ISNA(VLOOKUP(DATE(YEAR($A31),PRIN_MATURITY,PRIN_MATURITY_DAY_SUB),Summary!$D$12:$CJ$57,COLUMNS(Summary!$D$12:$CJ$12))),0,VLOOKUP(DATE(YEAR($A31),PRIN_MATURITY,PRIN_MATURITY_DAY_SUB),Summary!$D$12:$CJ$57,COLUMNS(Summary!$D$12:$CJ$12))),0),$I31),0)</f>
        <v>54600</v>
      </c>
      <c r="K31" s="66">
        <f t="shared" ca="1" si="2"/>
        <v>0</v>
      </c>
      <c r="L31" s="154">
        <f t="shared" ca="1" si="3"/>
        <v>0</v>
      </c>
      <c r="M31" s="66">
        <f ca="1">M30+K31-L31</f>
        <v>0</v>
      </c>
      <c r="N31" s="66">
        <f t="shared" ca="1" si="4"/>
        <v>54600</v>
      </c>
      <c r="O31" s="66">
        <f t="shared" ca="1" si="14"/>
        <v>27300</v>
      </c>
      <c r="P31" s="70">
        <f t="shared" ca="1" si="5"/>
        <v>54600</v>
      </c>
      <c r="Q31" s="66"/>
      <c r="R31" s="85"/>
      <c r="S31" s="66">
        <f t="shared" ca="1" si="6"/>
        <v>27300</v>
      </c>
      <c r="T31" s="70">
        <f t="shared" ca="1" si="7"/>
        <v>54600</v>
      </c>
      <c r="U31" s="70">
        <f ca="1">$G$97-SUM($G$11:G31)</f>
        <v>734000</v>
      </c>
      <c r="W31" s="68">
        <f t="shared" si="18"/>
        <v>1</v>
      </c>
      <c r="Z31" s="83">
        <f ca="1">IF(MONTH($A31)=PRIN_MATURITY,IF(ISNA(VLOOKUP(DATE(YEAR($A31),PRIN_MATURITY,PRIN_MATURITY_DAY_SENIOR),Summary!$D$14:$CJ$56,COLUMNS(Summary!$D$13:$CJ$15),FALSE))=TRUE,0,VLOOKUP(DATE(YEAR($A31),PRIN_MATURITY,PRIN_MATURITY_DAY_SENIOR),Summary!$D$13:$CJ$56,COLUMNS(Summary!$D$13:$CJ$15),FALSE)),0)</f>
        <v>123127.84396407555</v>
      </c>
      <c r="AA31" s="84">
        <f ca="1">IF(ISERROR(IF(ISNA(VLOOKUP($A31,Summary!$D$13:$CJ$54,COLUMNS(Summary!$D$13:$CJ$15),FALSE))=TRUE,0,VLOOKUP($A31,Summary!$D$14:$CJ$54,COLUMNS(Summary!$D$13:$CJ$15),FALSE))/T31),0,IF(ISNA(VLOOKUP($A31,Summary!$C$13:$CJ$54,COLUMNS(Summary!$D$13:$CJ$15)))=TRUE,0,VLOOKUP($A31,Summary!$D$13:$CJ$54,COLUMNS(Summary!$D$13:$CJ$15)))/T31)</f>
        <v>2.2550887172907612</v>
      </c>
      <c r="AB31" s="72">
        <f t="shared" si="15"/>
        <v>1</v>
      </c>
      <c r="AC31" s="83">
        <f t="shared" ca="1" si="19"/>
        <v>68527.843964075553</v>
      </c>
      <c r="AE31" s="83">
        <f t="shared" si="8"/>
        <v>0</v>
      </c>
      <c r="AF31" s="70">
        <f t="shared" ca="1" si="9"/>
        <v>0</v>
      </c>
      <c r="AG31" s="83"/>
    </row>
    <row r="32" spans="1:43" x14ac:dyDescent="0.25">
      <c r="A32" s="67">
        <f t="shared" si="10"/>
        <v>49567</v>
      </c>
      <c r="B32" s="68">
        <f t="shared" si="11"/>
        <v>0</v>
      </c>
      <c r="C32" s="68">
        <f t="shared" si="16"/>
        <v>0</v>
      </c>
      <c r="D32" s="68">
        <f t="shared" si="0"/>
        <v>0</v>
      </c>
      <c r="E32" s="66">
        <f t="shared" si="17"/>
        <v>0</v>
      </c>
      <c r="F32" s="66"/>
      <c r="G32" s="66"/>
      <c r="H32" s="66">
        <f t="shared" ca="1" si="12"/>
        <v>27300</v>
      </c>
      <c r="I32" s="66">
        <f t="shared" si="1"/>
        <v>0</v>
      </c>
      <c r="J32" s="153">
        <f>MAX(MIN(IF(MONTH($A32)=PRIN_MATURITY,IF(ISNA(VLOOKUP(DATE(YEAR($A32),PRIN_MATURITY,PRIN_MATURITY_DAY_SUB),Summary!$D$12:$CJ$57,COLUMNS(Summary!$D$12:$CJ$12))),0,VLOOKUP(DATE(YEAR($A32),PRIN_MATURITY,PRIN_MATURITY_DAY_SUB),Summary!$D$12:$CJ$57,COLUMNS(Summary!$D$12:$CJ$12))),0),$I32),0)</f>
        <v>0</v>
      </c>
      <c r="K32" s="66">
        <f t="shared" ca="1" si="2"/>
        <v>0</v>
      </c>
      <c r="L32" s="154">
        <f t="shared" ca="1" si="3"/>
        <v>0</v>
      </c>
      <c r="M32" s="66">
        <f t="shared" ca="1" si="13"/>
        <v>0</v>
      </c>
      <c r="N32" s="66">
        <f t="shared" ca="1" si="4"/>
        <v>0</v>
      </c>
      <c r="O32" s="66">
        <f t="shared" ca="1" si="14"/>
        <v>27300</v>
      </c>
      <c r="P32" s="70">
        <f t="shared" si="5"/>
        <v>0</v>
      </c>
      <c r="Q32" s="66"/>
      <c r="R32" s="85"/>
      <c r="S32" s="66">
        <f t="shared" ca="1" si="6"/>
        <v>27300</v>
      </c>
      <c r="T32" s="70">
        <f t="shared" si="7"/>
        <v>0</v>
      </c>
      <c r="U32" s="70">
        <f ca="1">$G$97-SUM($G$11:G32)</f>
        <v>734000</v>
      </c>
      <c r="W32" s="68">
        <f t="shared" si="18"/>
        <v>0</v>
      </c>
      <c r="Z32" s="83">
        <f>IF(MONTH($A32)=PRIN_MATURITY,IF(ISNA(VLOOKUP(DATE(YEAR($A32),PRIN_MATURITY,PRIN_MATURITY_DAY_SENIOR),Summary!$D$14:$CJ$56,COLUMNS(Summary!$D$13:$CJ$15),FALSE))=TRUE,0,VLOOKUP(DATE(YEAR($A32),PRIN_MATURITY,PRIN_MATURITY_DAY_SENIOR),Summary!$D$13:$CJ$56,COLUMNS(Summary!$D$13:$CJ$15),FALSE)),0)</f>
        <v>0</v>
      </c>
      <c r="AA32" s="84">
        <f>IF(ISERROR(IF(ISNA(VLOOKUP($A32,Summary!$D$13:$CJ$54,COLUMNS(Summary!$D$13:$CJ$15),FALSE))=TRUE,0,VLOOKUP($A32,Summary!$D$14:$CJ$54,COLUMNS(Summary!$D$13:$CJ$15),FALSE))/T32),0,IF(ISNA(VLOOKUP($A32,Summary!$C$13:$CJ$54,COLUMNS(Summary!$D$13:$CJ$15)))=TRUE,0,VLOOKUP($A32,Summary!$D$13:$CJ$54,COLUMNS(Summary!$D$13:$CJ$15)))/T32)</f>
        <v>0</v>
      </c>
      <c r="AB32" s="72" t="str">
        <f t="shared" si="15"/>
        <v/>
      </c>
      <c r="AC32" s="83">
        <f t="shared" ca="1" si="19"/>
        <v>0</v>
      </c>
      <c r="AE32" s="83">
        <f t="shared" si="8"/>
        <v>0</v>
      </c>
      <c r="AF32" s="70">
        <f t="shared" ca="1" si="9"/>
        <v>0</v>
      </c>
      <c r="AG32" s="83"/>
    </row>
    <row r="33" spans="1:33" x14ac:dyDescent="0.25">
      <c r="A33" s="67">
        <f t="shared" si="10"/>
        <v>49749</v>
      </c>
      <c r="B33" s="68">
        <f t="shared" si="11"/>
        <v>8.1250000000000003E-2</v>
      </c>
      <c r="C33" s="68">
        <f t="shared" si="16"/>
        <v>8.1250000000000003E-2</v>
      </c>
      <c r="D33" s="68">
        <f t="shared" si="0"/>
        <v>1</v>
      </c>
      <c r="E33" s="66">
        <f t="shared" si="17"/>
        <v>0</v>
      </c>
      <c r="F33" s="66"/>
      <c r="G33" s="66"/>
      <c r="H33" s="66">
        <f t="shared" ca="1" si="12"/>
        <v>27300</v>
      </c>
      <c r="I33" s="66">
        <f t="shared" ca="1" si="1"/>
        <v>54600</v>
      </c>
      <c r="J33" s="153">
        <f ca="1">MAX(MIN(IF(MONTH($A33)=PRIN_MATURITY,IF(ISNA(VLOOKUP(DATE(YEAR($A33),PRIN_MATURITY,PRIN_MATURITY_DAY_SUB),Summary!$D$12:$CJ$57,COLUMNS(Summary!$D$12:$CJ$12))),0,VLOOKUP(DATE(YEAR($A33),PRIN_MATURITY,PRIN_MATURITY_DAY_SUB),Summary!$D$12:$CJ$57,COLUMNS(Summary!$D$12:$CJ$12))),0),$I33),0)</f>
        <v>54600</v>
      </c>
      <c r="K33" s="66">
        <f t="shared" ca="1" si="2"/>
        <v>0</v>
      </c>
      <c r="L33" s="154">
        <f t="shared" ca="1" si="3"/>
        <v>0</v>
      </c>
      <c r="M33" s="66">
        <f t="shared" ca="1" si="13"/>
        <v>0</v>
      </c>
      <c r="N33" s="66">
        <f t="shared" ca="1" si="4"/>
        <v>54600</v>
      </c>
      <c r="O33" s="66">
        <f t="shared" ca="1" si="14"/>
        <v>27300</v>
      </c>
      <c r="P33" s="70">
        <f t="shared" ca="1" si="5"/>
        <v>54600</v>
      </c>
      <c r="Q33" s="66"/>
      <c r="R33" s="85"/>
      <c r="S33" s="66">
        <f t="shared" ca="1" si="6"/>
        <v>27300</v>
      </c>
      <c r="T33" s="70">
        <f t="shared" ca="1" si="7"/>
        <v>54600</v>
      </c>
      <c r="U33" s="70">
        <f ca="1">$G$97-SUM($G$11:G33)</f>
        <v>734000</v>
      </c>
      <c r="W33" s="68">
        <f t="shared" si="18"/>
        <v>1</v>
      </c>
      <c r="Z33" s="83">
        <f ca="1">IF(MONTH($A33)=PRIN_MATURITY,IF(ISNA(VLOOKUP(DATE(YEAR($A33),PRIN_MATURITY,PRIN_MATURITY_DAY_SENIOR),Summary!$D$14:$CJ$56,COLUMNS(Summary!$D$13:$CJ$15),FALSE))=TRUE,0,VLOOKUP(DATE(YEAR($A33),PRIN_MATURITY,PRIN_MATURITY_DAY_SENIOR),Summary!$D$13:$CJ$56,COLUMNS(Summary!$D$13:$CJ$15),FALSE)),0)</f>
        <v>129030.11358886189</v>
      </c>
      <c r="AA33" s="84">
        <f ca="1">IF(ISERROR(IF(ISNA(VLOOKUP($A33,Summary!$D$13:$CJ$54,COLUMNS(Summary!$D$13:$CJ$15),FALSE))=TRUE,0,VLOOKUP($A33,Summary!$D$14:$CJ$54,COLUMNS(Summary!$D$13:$CJ$15),FALSE))/T33),0,IF(ISNA(VLOOKUP($A33,Summary!$C$13:$CJ$54,COLUMNS(Summary!$D$13:$CJ$15)))=TRUE,0,VLOOKUP($A33,Summary!$D$13:$CJ$54,COLUMNS(Summary!$D$13:$CJ$15)))/T33)</f>
        <v>2.3631888935688989</v>
      </c>
      <c r="AB33" s="72">
        <f t="shared" si="15"/>
        <v>1</v>
      </c>
      <c r="AC33" s="83">
        <f t="shared" ca="1" si="19"/>
        <v>74430.113588861888</v>
      </c>
      <c r="AE33" s="83">
        <f t="shared" si="8"/>
        <v>0</v>
      </c>
      <c r="AF33" s="70">
        <f t="shared" ca="1" si="9"/>
        <v>0</v>
      </c>
      <c r="AG33" s="83"/>
    </row>
    <row r="34" spans="1:33" x14ac:dyDescent="0.25">
      <c r="A34" s="67">
        <f t="shared" si="10"/>
        <v>49933</v>
      </c>
      <c r="B34" s="68">
        <f t="shared" si="11"/>
        <v>0</v>
      </c>
      <c r="C34" s="68">
        <f t="shared" si="16"/>
        <v>0</v>
      </c>
      <c r="D34" s="68">
        <f t="shared" si="0"/>
        <v>0</v>
      </c>
      <c r="E34" s="66">
        <f t="shared" si="17"/>
        <v>0</v>
      </c>
      <c r="F34" s="66"/>
      <c r="G34" s="66"/>
      <c r="H34" s="66">
        <f t="shared" ca="1" si="12"/>
        <v>27300</v>
      </c>
      <c r="I34" s="66">
        <f t="shared" si="1"/>
        <v>0</v>
      </c>
      <c r="J34" s="153">
        <f>MAX(MIN(IF(MONTH($A34)=PRIN_MATURITY,IF(ISNA(VLOOKUP(DATE(YEAR($A34),PRIN_MATURITY,PRIN_MATURITY_DAY_SUB),Summary!$D$12:$CJ$57,COLUMNS(Summary!$D$12:$CJ$12))),0,VLOOKUP(DATE(YEAR($A34),PRIN_MATURITY,PRIN_MATURITY_DAY_SUB),Summary!$D$12:$CJ$57,COLUMNS(Summary!$D$12:$CJ$12))),0),$I34),0)</f>
        <v>0</v>
      </c>
      <c r="K34" s="66">
        <f t="shared" ca="1" si="2"/>
        <v>0</v>
      </c>
      <c r="L34" s="154">
        <f t="shared" ca="1" si="3"/>
        <v>0</v>
      </c>
      <c r="M34" s="66">
        <f t="shared" ca="1" si="13"/>
        <v>0</v>
      </c>
      <c r="N34" s="66">
        <f t="shared" ca="1" si="4"/>
        <v>0</v>
      </c>
      <c r="O34" s="66">
        <f t="shared" ca="1" si="14"/>
        <v>27300</v>
      </c>
      <c r="P34" s="70">
        <f t="shared" si="5"/>
        <v>0</v>
      </c>
      <c r="Q34" s="66"/>
      <c r="R34" s="85"/>
      <c r="S34" s="66">
        <f t="shared" ca="1" si="6"/>
        <v>27300</v>
      </c>
      <c r="T34" s="70">
        <f t="shared" si="7"/>
        <v>0</v>
      </c>
      <c r="U34" s="70">
        <f ca="1">$G$97-SUM($G$11:G34)</f>
        <v>734000</v>
      </c>
      <c r="W34" s="68">
        <f t="shared" si="18"/>
        <v>0</v>
      </c>
      <c r="Z34" s="83">
        <f>IF(MONTH($A34)=PRIN_MATURITY,IF(ISNA(VLOOKUP(DATE(YEAR($A34),PRIN_MATURITY,PRIN_MATURITY_DAY_SENIOR),Summary!$D$14:$CJ$56,COLUMNS(Summary!$D$13:$CJ$15),FALSE))=TRUE,0,VLOOKUP(DATE(YEAR($A34),PRIN_MATURITY,PRIN_MATURITY_DAY_SENIOR),Summary!$D$13:$CJ$56,COLUMNS(Summary!$D$13:$CJ$15),FALSE)),0)</f>
        <v>0</v>
      </c>
      <c r="AA34" s="84">
        <f>IF(ISERROR(IF(ISNA(VLOOKUP($A34,Summary!$D$13:$CJ$54,COLUMNS(Summary!$D$13:$CJ$15),FALSE))=TRUE,0,VLOOKUP($A34,Summary!$D$14:$CJ$54,COLUMNS(Summary!$D$13:$CJ$15),FALSE))/T34),0,IF(ISNA(VLOOKUP($A34,Summary!$C$13:$CJ$54,COLUMNS(Summary!$D$13:$CJ$15)))=TRUE,0,VLOOKUP($A34,Summary!$D$13:$CJ$54,COLUMNS(Summary!$D$13:$CJ$15)))/T34)</f>
        <v>0</v>
      </c>
      <c r="AB34" s="72" t="str">
        <f t="shared" si="15"/>
        <v/>
      </c>
      <c r="AC34" s="83">
        <f t="shared" ca="1" si="19"/>
        <v>0</v>
      </c>
      <c r="AE34" s="83">
        <f t="shared" si="8"/>
        <v>0</v>
      </c>
      <c r="AF34" s="70">
        <f t="shared" ca="1" si="9"/>
        <v>0</v>
      </c>
      <c r="AG34" s="83"/>
    </row>
    <row r="35" spans="1:33" x14ac:dyDescent="0.25">
      <c r="A35" s="67">
        <f t="shared" si="10"/>
        <v>50114</v>
      </c>
      <c r="B35" s="68">
        <f t="shared" si="11"/>
        <v>8.1250000000000003E-2</v>
      </c>
      <c r="C35" s="68">
        <f t="shared" si="16"/>
        <v>8.1250000000000003E-2</v>
      </c>
      <c r="D35" s="68">
        <f t="shared" si="0"/>
        <v>1</v>
      </c>
      <c r="E35" s="66">
        <f t="shared" si="17"/>
        <v>0</v>
      </c>
      <c r="F35" s="66"/>
      <c r="G35" s="66"/>
      <c r="H35" s="66">
        <f t="shared" ca="1" si="12"/>
        <v>27300</v>
      </c>
      <c r="I35" s="66">
        <f t="shared" ca="1" si="1"/>
        <v>54600</v>
      </c>
      <c r="J35" s="153">
        <f ca="1">MAX(MIN(IF(MONTH($A35)=PRIN_MATURITY,IF(ISNA(VLOOKUP(DATE(YEAR($A35),PRIN_MATURITY,PRIN_MATURITY_DAY_SUB),Summary!$D$12:$CJ$57,COLUMNS(Summary!$D$12:$CJ$12))),0,VLOOKUP(DATE(YEAR($A35),PRIN_MATURITY,PRIN_MATURITY_DAY_SUB),Summary!$D$12:$CJ$57,COLUMNS(Summary!$D$12:$CJ$12))),0),$I35),0)</f>
        <v>54600</v>
      </c>
      <c r="K35" s="66">
        <f t="shared" ca="1" si="2"/>
        <v>0</v>
      </c>
      <c r="L35" s="154">
        <f t="shared" ca="1" si="3"/>
        <v>0</v>
      </c>
      <c r="M35" s="66">
        <f t="shared" ca="1" si="13"/>
        <v>0</v>
      </c>
      <c r="N35" s="66">
        <f t="shared" ca="1" si="4"/>
        <v>54600</v>
      </c>
      <c r="O35" s="66">
        <f t="shared" ca="1" si="14"/>
        <v>27300</v>
      </c>
      <c r="P35" s="70">
        <f t="shared" ca="1" si="5"/>
        <v>54600</v>
      </c>
      <c r="Q35" s="66"/>
      <c r="R35" s="85"/>
      <c r="S35" s="66">
        <f t="shared" ca="1" si="6"/>
        <v>27300</v>
      </c>
      <c r="T35" s="70">
        <f t="shared" ca="1" si="7"/>
        <v>54600</v>
      </c>
      <c r="U35" s="70">
        <f ca="1">$G$97-SUM($G$11:G35)</f>
        <v>734000</v>
      </c>
      <c r="W35" s="68">
        <f t="shared" si="18"/>
        <v>1</v>
      </c>
      <c r="Z35" s="83">
        <f ca="1">IF(MONTH($A35)=PRIN_MATURITY,IF(ISNA(VLOOKUP(DATE(YEAR($A35),PRIN_MATURITY,PRIN_MATURITY_DAY_SENIOR),Summary!$D$14:$CJ$56,COLUMNS(Summary!$D$13:$CJ$15),FALSE))=TRUE,0,VLOOKUP(DATE(YEAR($A35),PRIN_MATURITY,PRIN_MATURITY_DAY_SENIOR),Summary!$D$13:$CJ$56,COLUMNS(Summary!$D$13:$CJ$15),FALSE)),0)</f>
        <v>125261.03476054501</v>
      </c>
      <c r="AA35" s="84">
        <f ca="1">IF(ISERROR(IF(ISNA(VLOOKUP($A35,Summary!$D$13:$CJ$54,COLUMNS(Summary!$D$13:$CJ$15),FALSE))=TRUE,0,VLOOKUP($A35,Summary!$D$14:$CJ$54,COLUMNS(Summary!$D$13:$CJ$15),FALSE))/T35),0,IF(ISNA(VLOOKUP($A35,Summary!$C$13:$CJ$54,COLUMNS(Summary!$D$13:$CJ$15)))=TRUE,0,VLOOKUP($A35,Summary!$D$13:$CJ$54,COLUMNS(Summary!$D$13:$CJ$15)))/T35)</f>
        <v>2.2941581457975277</v>
      </c>
      <c r="AB35" s="72">
        <f t="shared" si="15"/>
        <v>1</v>
      </c>
      <c r="AC35" s="83">
        <f t="shared" ca="1" si="19"/>
        <v>70661.034760545008</v>
      </c>
      <c r="AE35" s="83">
        <f t="shared" si="8"/>
        <v>0</v>
      </c>
      <c r="AF35" s="70">
        <f t="shared" ca="1" si="9"/>
        <v>0</v>
      </c>
      <c r="AG35" s="83"/>
    </row>
    <row r="36" spans="1:33" x14ac:dyDescent="0.25">
      <c r="A36" s="67">
        <f t="shared" si="10"/>
        <v>50298</v>
      </c>
      <c r="B36" s="68">
        <f t="shared" si="11"/>
        <v>0</v>
      </c>
      <c r="C36" s="68">
        <f t="shared" si="16"/>
        <v>0</v>
      </c>
      <c r="D36" s="68">
        <f t="shared" si="0"/>
        <v>0</v>
      </c>
      <c r="E36" s="66">
        <f t="shared" si="17"/>
        <v>0</v>
      </c>
      <c r="F36" s="66"/>
      <c r="G36" s="66"/>
      <c r="H36" s="66">
        <f t="shared" ca="1" si="12"/>
        <v>27300</v>
      </c>
      <c r="I36" s="66">
        <f t="shared" si="1"/>
        <v>0</v>
      </c>
      <c r="J36" s="153">
        <f>MAX(MIN(IF(MONTH($A36)=PRIN_MATURITY,IF(ISNA(VLOOKUP(DATE(YEAR($A36),PRIN_MATURITY,PRIN_MATURITY_DAY_SUB),Summary!$D$12:$CJ$57,COLUMNS(Summary!$D$12:$CJ$12))),0,VLOOKUP(DATE(YEAR($A36),PRIN_MATURITY,PRIN_MATURITY_DAY_SUB),Summary!$D$12:$CJ$57,COLUMNS(Summary!$D$12:$CJ$12))),0),$I36),0)</f>
        <v>0</v>
      </c>
      <c r="K36" s="66">
        <f t="shared" ca="1" si="2"/>
        <v>0</v>
      </c>
      <c r="L36" s="154">
        <f t="shared" ca="1" si="3"/>
        <v>0</v>
      </c>
      <c r="M36" s="66">
        <f ca="1">M35+K36-L36</f>
        <v>0</v>
      </c>
      <c r="N36" s="66">
        <f t="shared" ca="1" si="4"/>
        <v>0</v>
      </c>
      <c r="O36" s="66">
        <f t="shared" ca="1" si="14"/>
        <v>27300</v>
      </c>
      <c r="P36" s="70">
        <f t="shared" si="5"/>
        <v>0</v>
      </c>
      <c r="Q36" s="66"/>
      <c r="R36" s="85"/>
      <c r="S36" s="66">
        <f t="shared" ca="1" si="6"/>
        <v>27300</v>
      </c>
      <c r="T36" s="70">
        <f t="shared" si="7"/>
        <v>0</v>
      </c>
      <c r="U36" s="70">
        <f ca="1">$G$97-SUM($G$11:G36)</f>
        <v>734000</v>
      </c>
      <c r="W36" s="68">
        <f t="shared" si="18"/>
        <v>0</v>
      </c>
      <c r="Z36" s="83">
        <f>IF(MONTH($A36)=PRIN_MATURITY,IF(ISNA(VLOOKUP(DATE(YEAR($A36),PRIN_MATURITY,PRIN_MATURITY_DAY_SENIOR),Summary!$D$14:$CJ$56,COLUMNS(Summary!$D$13:$CJ$15),FALSE))=TRUE,0,VLOOKUP(DATE(YEAR($A36),PRIN_MATURITY,PRIN_MATURITY_DAY_SENIOR),Summary!$D$13:$CJ$56,COLUMNS(Summary!$D$13:$CJ$15),FALSE)),0)</f>
        <v>0</v>
      </c>
      <c r="AA36" s="84">
        <f>IF(ISERROR(IF(ISNA(VLOOKUP($A36,Summary!$D$13:$CJ$54,COLUMNS(Summary!$D$13:$CJ$15),FALSE))=TRUE,0,VLOOKUP($A36,Summary!$D$14:$CJ$54,COLUMNS(Summary!$D$13:$CJ$15),FALSE))/T36),0,IF(ISNA(VLOOKUP($A36,Summary!$C$13:$CJ$54,COLUMNS(Summary!$D$13:$CJ$15)))=TRUE,0,VLOOKUP($A36,Summary!$D$13:$CJ$54,COLUMNS(Summary!$D$13:$CJ$15)))/T36)</f>
        <v>0</v>
      </c>
      <c r="AB36" s="72" t="str">
        <f t="shared" si="15"/>
        <v/>
      </c>
      <c r="AC36" s="83">
        <f t="shared" ca="1" si="19"/>
        <v>0</v>
      </c>
      <c r="AE36" s="83">
        <f t="shared" si="8"/>
        <v>0</v>
      </c>
      <c r="AF36" s="70">
        <f t="shared" ca="1" si="9"/>
        <v>0</v>
      </c>
      <c r="AG36" s="83"/>
    </row>
    <row r="37" spans="1:33" x14ac:dyDescent="0.25">
      <c r="A37" s="67">
        <f t="shared" si="10"/>
        <v>50479</v>
      </c>
      <c r="B37" s="68">
        <f t="shared" si="11"/>
        <v>8.1250000000000003E-2</v>
      </c>
      <c r="C37" s="68">
        <f t="shared" si="16"/>
        <v>8.1250000000000003E-2</v>
      </c>
      <c r="D37" s="68">
        <f t="shared" si="0"/>
        <v>1</v>
      </c>
      <c r="E37" s="66">
        <f t="shared" si="17"/>
        <v>0</v>
      </c>
      <c r="F37" s="66"/>
      <c r="G37" s="66"/>
      <c r="H37" s="66">
        <f t="shared" ca="1" si="12"/>
        <v>27300</v>
      </c>
      <c r="I37" s="66">
        <f t="shared" ca="1" si="1"/>
        <v>54600</v>
      </c>
      <c r="J37" s="153">
        <f ca="1">MAX(MIN(IF(MONTH($A37)=PRIN_MATURITY,IF(ISNA(VLOOKUP(DATE(YEAR($A37),PRIN_MATURITY,PRIN_MATURITY_DAY_SUB),Summary!$D$12:$CJ$57,COLUMNS(Summary!$D$12:$CJ$12))),0,VLOOKUP(DATE(YEAR($A37),PRIN_MATURITY,PRIN_MATURITY_DAY_SUB),Summary!$D$12:$CJ$57,COLUMNS(Summary!$D$12:$CJ$12))),0),$I37),0)</f>
        <v>54600</v>
      </c>
      <c r="K37" s="66">
        <f t="shared" ca="1" si="2"/>
        <v>0</v>
      </c>
      <c r="L37" s="154">
        <f t="shared" ca="1" si="3"/>
        <v>0</v>
      </c>
      <c r="M37" s="66">
        <f t="shared" ca="1" si="13"/>
        <v>0</v>
      </c>
      <c r="N37" s="66">
        <f t="shared" ca="1" si="4"/>
        <v>54600</v>
      </c>
      <c r="O37" s="66">
        <f t="shared" ca="1" si="14"/>
        <v>27300</v>
      </c>
      <c r="P37" s="70">
        <f t="shared" ca="1" si="5"/>
        <v>54600</v>
      </c>
      <c r="Q37" s="66"/>
      <c r="R37" s="85"/>
      <c r="S37" s="66">
        <f t="shared" ca="1" si="6"/>
        <v>27300</v>
      </c>
      <c r="T37" s="70">
        <f t="shared" ca="1" si="7"/>
        <v>54600</v>
      </c>
      <c r="U37" s="70">
        <f ca="1">$G$97-SUM($G$11:G37)</f>
        <v>734000</v>
      </c>
      <c r="W37" s="68">
        <f t="shared" si="18"/>
        <v>1</v>
      </c>
      <c r="Z37" s="83">
        <f ca="1">IF(MONTH($A37)=PRIN_MATURITY,IF(ISNA(VLOOKUP(DATE(YEAR($A37),PRIN_MATURITY,PRIN_MATURITY_DAY_SENIOR),Summary!$D$14:$CJ$56,COLUMNS(Summary!$D$13:$CJ$15),FALSE))=TRUE,0,VLOOKUP(DATE(YEAR($A37),PRIN_MATURITY,PRIN_MATURITY_DAY_SENIOR),Summary!$D$13:$CJ$56,COLUMNS(Summary!$D$13:$CJ$15),FALSE)),0)</f>
        <v>127408.20782160654</v>
      </c>
      <c r="AA37" s="84">
        <f ca="1">IF(ISERROR(IF(ISNA(VLOOKUP($A37,Summary!$D$13:$CJ$54,COLUMNS(Summary!$D$13:$CJ$15),FALSE))=TRUE,0,VLOOKUP($A37,Summary!$D$14:$CJ$54,COLUMNS(Summary!$D$13:$CJ$15),FALSE))/T37),0,IF(ISNA(VLOOKUP($A37,Summary!$C$13:$CJ$54,COLUMNS(Summary!$D$13:$CJ$15)))=TRUE,0,VLOOKUP($A37,Summary!$D$13:$CJ$54,COLUMNS(Summary!$D$13:$CJ$15)))/T37)</f>
        <v>2.3334836597363835</v>
      </c>
      <c r="AB37" s="72">
        <f t="shared" si="15"/>
        <v>1</v>
      </c>
      <c r="AC37" s="83">
        <f t="shared" ca="1" si="19"/>
        <v>72808.207821606542</v>
      </c>
      <c r="AE37" s="83">
        <f t="shared" si="8"/>
        <v>0</v>
      </c>
      <c r="AF37" s="70">
        <f t="shared" ca="1" si="9"/>
        <v>0</v>
      </c>
      <c r="AG37" s="83"/>
    </row>
    <row r="38" spans="1:33" x14ac:dyDescent="0.25">
      <c r="A38" s="67">
        <f t="shared" si="10"/>
        <v>50663</v>
      </c>
      <c r="B38" s="68">
        <f t="shared" si="11"/>
        <v>0</v>
      </c>
      <c r="C38" s="68">
        <f t="shared" si="16"/>
        <v>0</v>
      </c>
      <c r="D38" s="68">
        <f t="shared" si="0"/>
        <v>0</v>
      </c>
      <c r="E38" s="66">
        <f t="shared" si="17"/>
        <v>0</v>
      </c>
      <c r="F38" s="66"/>
      <c r="G38" s="66"/>
      <c r="H38" s="66">
        <f t="shared" ca="1" si="12"/>
        <v>27300</v>
      </c>
      <c r="I38" s="66">
        <f t="shared" si="1"/>
        <v>0</v>
      </c>
      <c r="J38" s="153">
        <f>MAX(MIN(IF(MONTH($A38)=PRIN_MATURITY,IF(ISNA(VLOOKUP(DATE(YEAR($A38),PRIN_MATURITY,PRIN_MATURITY_DAY_SUB),Summary!$D$12:$CJ$57,COLUMNS(Summary!$D$12:$CJ$12))),0,VLOOKUP(DATE(YEAR($A38),PRIN_MATURITY,PRIN_MATURITY_DAY_SUB),Summary!$D$12:$CJ$57,COLUMNS(Summary!$D$12:$CJ$12))),0),$I38),0)</f>
        <v>0</v>
      </c>
      <c r="K38" s="66">
        <f t="shared" ca="1" si="2"/>
        <v>0</v>
      </c>
      <c r="L38" s="154">
        <f t="shared" ca="1" si="3"/>
        <v>0</v>
      </c>
      <c r="M38" s="66">
        <f t="shared" ca="1" si="13"/>
        <v>0</v>
      </c>
      <c r="N38" s="66">
        <f t="shared" ca="1" si="4"/>
        <v>0</v>
      </c>
      <c r="O38" s="66">
        <f t="shared" ca="1" si="14"/>
        <v>27300</v>
      </c>
      <c r="P38" s="70">
        <f t="shared" si="5"/>
        <v>0</v>
      </c>
      <c r="Q38" s="66"/>
      <c r="R38" s="85"/>
      <c r="S38" s="66">
        <f t="shared" ca="1" si="6"/>
        <v>27300</v>
      </c>
      <c r="T38" s="70">
        <f t="shared" si="7"/>
        <v>0</v>
      </c>
      <c r="U38" s="70">
        <f ca="1">$G$97-SUM($G$11:G38)</f>
        <v>734000</v>
      </c>
      <c r="W38" s="68">
        <f t="shared" si="18"/>
        <v>0</v>
      </c>
      <c r="Z38" s="83">
        <f>IF(MONTH($A38)=PRIN_MATURITY,IF(ISNA(VLOOKUP(DATE(YEAR($A38),PRIN_MATURITY,PRIN_MATURITY_DAY_SENIOR),Summary!$D$14:$CJ$56,COLUMNS(Summary!$D$13:$CJ$15),FALSE))=TRUE,0,VLOOKUP(DATE(YEAR($A38),PRIN_MATURITY,PRIN_MATURITY_DAY_SENIOR),Summary!$D$13:$CJ$56,COLUMNS(Summary!$D$13:$CJ$15),FALSE)),0)</f>
        <v>0</v>
      </c>
      <c r="AA38" s="84">
        <f>IF(ISERROR(IF(ISNA(VLOOKUP($A38,Summary!$D$13:$CJ$54,COLUMNS(Summary!$D$13:$CJ$15),FALSE))=TRUE,0,VLOOKUP($A38,Summary!$D$14:$CJ$54,COLUMNS(Summary!$D$13:$CJ$15),FALSE))/T38),0,IF(ISNA(VLOOKUP($A38,Summary!$C$13:$CJ$54,COLUMNS(Summary!$D$13:$CJ$15)))=TRUE,0,VLOOKUP($A38,Summary!$D$13:$CJ$54,COLUMNS(Summary!$D$13:$CJ$15)))/T38)</f>
        <v>0</v>
      </c>
      <c r="AB38" s="72" t="str">
        <f t="shared" si="15"/>
        <v/>
      </c>
      <c r="AC38" s="83">
        <f t="shared" ca="1" si="19"/>
        <v>0</v>
      </c>
      <c r="AE38" s="83">
        <f t="shared" si="8"/>
        <v>0</v>
      </c>
      <c r="AF38" s="70">
        <f t="shared" ca="1" si="9"/>
        <v>0</v>
      </c>
      <c r="AG38" s="83"/>
    </row>
    <row r="39" spans="1:33" x14ac:dyDescent="0.25">
      <c r="A39" s="67">
        <f t="shared" si="10"/>
        <v>50844</v>
      </c>
      <c r="B39" s="68">
        <f t="shared" si="11"/>
        <v>8.1250000000000003E-2</v>
      </c>
      <c r="C39" s="68">
        <f t="shared" si="16"/>
        <v>8.1250000000000003E-2</v>
      </c>
      <c r="D39" s="68">
        <f t="shared" si="0"/>
        <v>1</v>
      </c>
      <c r="E39" s="66">
        <f t="shared" si="17"/>
        <v>0</v>
      </c>
      <c r="F39" s="66"/>
      <c r="G39" s="66"/>
      <c r="H39" s="66">
        <f t="shared" ca="1" si="12"/>
        <v>27300</v>
      </c>
      <c r="I39" s="66">
        <f t="shared" ca="1" si="1"/>
        <v>54600</v>
      </c>
      <c r="J39" s="153">
        <f ca="1">MAX(MIN(IF(MONTH($A39)=PRIN_MATURITY,IF(ISNA(VLOOKUP(DATE(YEAR($A39),PRIN_MATURITY,PRIN_MATURITY_DAY_SUB),Summary!$D$12:$CJ$57,COLUMNS(Summary!$D$12:$CJ$12))),0,VLOOKUP(DATE(YEAR($A39),PRIN_MATURITY,PRIN_MATURITY_DAY_SUB),Summary!$D$12:$CJ$57,COLUMNS(Summary!$D$12:$CJ$12))),0),$I39),0)</f>
        <v>54600</v>
      </c>
      <c r="K39" s="66">
        <f t="shared" ca="1" si="2"/>
        <v>0</v>
      </c>
      <c r="L39" s="154">
        <f t="shared" ca="1" si="3"/>
        <v>0</v>
      </c>
      <c r="M39" s="66">
        <f t="shared" ca="1" si="13"/>
        <v>0</v>
      </c>
      <c r="N39" s="66">
        <f t="shared" ca="1" si="4"/>
        <v>54600</v>
      </c>
      <c r="O39" s="66">
        <f t="shared" ca="1" si="14"/>
        <v>27300</v>
      </c>
      <c r="P39" s="70">
        <f t="shared" ca="1" si="5"/>
        <v>54600</v>
      </c>
      <c r="Q39" s="66"/>
      <c r="R39" s="85"/>
      <c r="S39" s="66">
        <f t="shared" ca="1" si="6"/>
        <v>27300</v>
      </c>
      <c r="T39" s="70">
        <f t="shared" ca="1" si="7"/>
        <v>54600</v>
      </c>
      <c r="U39" s="70">
        <f ca="1">$G$97-SUM($G$11:G39)</f>
        <v>734000</v>
      </c>
      <c r="W39" s="68">
        <f t="shared" si="18"/>
        <v>1</v>
      </c>
      <c r="Z39" s="83">
        <f ca="1">IF(MONTH($A39)=PRIN_MATURITY,IF(ISNA(VLOOKUP(DATE(YEAR($A39),PRIN_MATURITY,PRIN_MATURITY_DAY_SENIOR),Summary!$D$14:$CJ$56,COLUMNS(Summary!$D$13:$CJ$15),FALSE))=TRUE,0,VLOOKUP(DATE(YEAR($A39),PRIN_MATURITY,PRIN_MATURITY_DAY_SENIOR),Summary!$D$13:$CJ$56,COLUMNS(Summary!$D$13:$CJ$15),FALSE)),0)</f>
        <v>130177.97914449405</v>
      </c>
      <c r="AA39" s="84">
        <f ca="1">IF(ISERROR(IF(ISNA(VLOOKUP($A39,Summary!$D$13:$CJ$54,COLUMNS(Summary!$D$13:$CJ$15),FALSE))=TRUE,0,VLOOKUP($A39,Summary!$D$14:$CJ$54,COLUMNS(Summary!$D$13:$CJ$15),FALSE))/T39),0,IF(ISNA(VLOOKUP($A39,Summary!$C$13:$CJ$54,COLUMNS(Summary!$D$13:$CJ$15)))=TRUE,0,VLOOKUP($A39,Summary!$D$13:$CJ$54,COLUMNS(Summary!$D$13:$CJ$15)))/T39)</f>
        <v>2.3842120722434808</v>
      </c>
      <c r="AB39" s="72">
        <f t="shared" si="15"/>
        <v>1</v>
      </c>
      <c r="AC39" s="83">
        <f t="shared" ca="1" si="19"/>
        <v>75577.979144494049</v>
      </c>
      <c r="AE39" s="83">
        <f t="shared" si="8"/>
        <v>0</v>
      </c>
      <c r="AF39" s="70">
        <f t="shared" ca="1" si="9"/>
        <v>0</v>
      </c>
      <c r="AG39" s="83"/>
    </row>
    <row r="40" spans="1:33" x14ac:dyDescent="0.25">
      <c r="A40" s="67">
        <f t="shared" si="10"/>
        <v>51028</v>
      </c>
      <c r="B40" s="68">
        <f t="shared" si="11"/>
        <v>0</v>
      </c>
      <c r="C40" s="68">
        <f t="shared" si="16"/>
        <v>0</v>
      </c>
      <c r="D40" s="68">
        <f t="shared" si="0"/>
        <v>0</v>
      </c>
      <c r="E40" s="66">
        <f t="shared" si="17"/>
        <v>0</v>
      </c>
      <c r="F40" s="66"/>
      <c r="G40" s="66"/>
      <c r="H40" s="66">
        <f t="shared" ca="1" si="12"/>
        <v>27300</v>
      </c>
      <c r="I40" s="66">
        <f t="shared" si="1"/>
        <v>0</v>
      </c>
      <c r="J40" s="153">
        <f>MAX(MIN(IF(MONTH($A40)=PRIN_MATURITY,IF(ISNA(VLOOKUP(DATE(YEAR($A40),PRIN_MATURITY,PRIN_MATURITY_DAY_SUB),Summary!$D$12:$CJ$57,COLUMNS(Summary!$D$12:$CJ$12))),0,VLOOKUP(DATE(YEAR($A40),PRIN_MATURITY,PRIN_MATURITY_DAY_SUB),Summary!$D$12:$CJ$57,COLUMNS(Summary!$D$12:$CJ$12))),0),$I40),0)</f>
        <v>0</v>
      </c>
      <c r="K40" s="66">
        <f t="shared" ca="1" si="2"/>
        <v>0</v>
      </c>
      <c r="L40" s="154">
        <f t="shared" ca="1" si="3"/>
        <v>0</v>
      </c>
      <c r="M40" s="66">
        <f t="shared" ca="1" si="13"/>
        <v>0</v>
      </c>
      <c r="N40" s="66">
        <f t="shared" ca="1" si="4"/>
        <v>0</v>
      </c>
      <c r="O40" s="66">
        <f t="shared" ca="1" si="14"/>
        <v>27300</v>
      </c>
      <c r="P40" s="70">
        <f t="shared" si="5"/>
        <v>0</v>
      </c>
      <c r="Q40" s="66"/>
      <c r="R40" s="85"/>
      <c r="S40" s="66">
        <f t="shared" ca="1" si="6"/>
        <v>27300</v>
      </c>
      <c r="T40" s="70">
        <f t="shared" si="7"/>
        <v>0</v>
      </c>
      <c r="U40" s="70">
        <f ca="1">$G$97-SUM($G$11:G40)</f>
        <v>734000</v>
      </c>
      <c r="W40" s="68">
        <f t="shared" si="18"/>
        <v>0</v>
      </c>
      <c r="Z40" s="83">
        <f>IF(MONTH($A40)=PRIN_MATURITY,IF(ISNA(VLOOKUP(DATE(YEAR($A40),PRIN_MATURITY,PRIN_MATURITY_DAY_SENIOR),Summary!$D$14:$CJ$56,COLUMNS(Summary!$D$13:$CJ$15),FALSE))=TRUE,0,VLOOKUP(DATE(YEAR($A40),PRIN_MATURITY,PRIN_MATURITY_DAY_SENIOR),Summary!$D$13:$CJ$56,COLUMNS(Summary!$D$13:$CJ$15),FALSE)),0)</f>
        <v>0</v>
      </c>
      <c r="AA40" s="84">
        <f>IF(ISERROR(IF(ISNA(VLOOKUP($A40,Summary!$D$13:$CJ$54,COLUMNS(Summary!$D$13:$CJ$15),FALSE))=TRUE,0,VLOOKUP($A40,Summary!$D$14:$CJ$54,COLUMNS(Summary!$D$13:$CJ$15),FALSE))/T40),0,IF(ISNA(VLOOKUP($A40,Summary!$C$13:$CJ$54,COLUMNS(Summary!$D$13:$CJ$15)))=TRUE,0,VLOOKUP($A40,Summary!$D$13:$CJ$54,COLUMNS(Summary!$D$13:$CJ$15)))/T40)</f>
        <v>0</v>
      </c>
      <c r="AB40" s="72" t="str">
        <f t="shared" si="15"/>
        <v/>
      </c>
      <c r="AC40" s="83">
        <f t="shared" ca="1" si="19"/>
        <v>0</v>
      </c>
      <c r="AE40" s="83">
        <f t="shared" si="8"/>
        <v>0</v>
      </c>
      <c r="AF40" s="70">
        <f t="shared" ca="1" si="9"/>
        <v>0</v>
      </c>
      <c r="AG40" s="83"/>
    </row>
    <row r="41" spans="1:33" x14ac:dyDescent="0.25">
      <c r="A41" s="67">
        <f t="shared" si="10"/>
        <v>51210</v>
      </c>
      <c r="B41" s="68">
        <f t="shared" si="11"/>
        <v>8.1250000000000003E-2</v>
      </c>
      <c r="C41" s="68">
        <f t="shared" si="16"/>
        <v>8.1250000000000003E-2</v>
      </c>
      <c r="D41" s="68">
        <f t="shared" si="0"/>
        <v>1</v>
      </c>
      <c r="E41" s="66">
        <f t="shared" si="17"/>
        <v>0</v>
      </c>
      <c r="F41" s="66"/>
      <c r="G41" s="66"/>
      <c r="H41" s="66">
        <f t="shared" ca="1" si="12"/>
        <v>27300</v>
      </c>
      <c r="I41" s="66">
        <f t="shared" ca="1" si="1"/>
        <v>54600</v>
      </c>
      <c r="J41" s="153">
        <f ca="1">MAX(MIN(IF(MONTH($A41)=PRIN_MATURITY,IF(ISNA(VLOOKUP(DATE(YEAR($A41),PRIN_MATURITY,PRIN_MATURITY_DAY_SUB),Summary!$D$12:$CJ$57,COLUMNS(Summary!$D$12:$CJ$12))),0,VLOOKUP(DATE(YEAR($A41),PRIN_MATURITY,PRIN_MATURITY_DAY_SUB),Summary!$D$12:$CJ$57,COLUMNS(Summary!$D$12:$CJ$12))),0),$I41),0)</f>
        <v>54600</v>
      </c>
      <c r="K41" s="66">
        <f t="shared" ca="1" si="2"/>
        <v>0</v>
      </c>
      <c r="L41" s="154">
        <f t="shared" ca="1" si="3"/>
        <v>0</v>
      </c>
      <c r="M41" s="66">
        <f t="shared" ca="1" si="13"/>
        <v>0</v>
      </c>
      <c r="N41" s="66">
        <f t="shared" ca="1" si="4"/>
        <v>54600</v>
      </c>
      <c r="O41" s="66">
        <f t="shared" ca="1" si="14"/>
        <v>27300</v>
      </c>
      <c r="P41" s="70">
        <f t="shared" ca="1" si="5"/>
        <v>54600</v>
      </c>
      <c r="Q41" s="66"/>
      <c r="R41" s="85"/>
      <c r="S41" s="66">
        <f t="shared" ca="1" si="6"/>
        <v>27300</v>
      </c>
      <c r="T41" s="70">
        <f t="shared" ca="1" si="7"/>
        <v>54600</v>
      </c>
      <c r="U41" s="70">
        <f ca="1">$G$97-SUM($G$11:G41)</f>
        <v>734000</v>
      </c>
      <c r="W41" s="68">
        <f t="shared" si="18"/>
        <v>1</v>
      </c>
      <c r="Z41" s="83">
        <f ca="1">IF(MONTH($A41)=PRIN_MATURITY,IF(ISNA(VLOOKUP(DATE(YEAR($A41),PRIN_MATURITY,PRIN_MATURITY_DAY_SENIOR),Summary!$D$14:$CJ$56,COLUMNS(Summary!$D$13:$CJ$15),FALSE))=TRUE,0,VLOOKUP(DATE(YEAR($A41),PRIN_MATURITY,PRIN_MATURITY_DAY_SENIOR),Summary!$D$13:$CJ$56,COLUMNS(Summary!$D$13:$CJ$15),FALSE)),0)</f>
        <v>128570.44099244953</v>
      </c>
      <c r="AA41" s="84">
        <f ca="1">IF(ISERROR(IF(ISNA(VLOOKUP($A41,Summary!$D$13:$CJ$54,COLUMNS(Summary!$D$13:$CJ$15),FALSE))=TRUE,0,VLOOKUP($A41,Summary!$D$14:$CJ$54,COLUMNS(Summary!$D$13:$CJ$15),FALSE))/T41),0,IF(ISNA(VLOOKUP($A41,Summary!$C$13:$CJ$54,COLUMNS(Summary!$D$13:$CJ$15)))=TRUE,0,VLOOKUP($A41,Summary!$D$13:$CJ$54,COLUMNS(Summary!$D$13:$CJ$15)))/T41)</f>
        <v>2.3547699815466947</v>
      </c>
      <c r="AB41" s="72">
        <f t="shared" si="15"/>
        <v>1</v>
      </c>
      <c r="AC41" s="83">
        <f t="shared" ca="1" si="19"/>
        <v>73970.440992449527</v>
      </c>
      <c r="AE41" s="83">
        <f t="shared" si="8"/>
        <v>0</v>
      </c>
      <c r="AF41" s="70">
        <f t="shared" ca="1" si="9"/>
        <v>0</v>
      </c>
      <c r="AG41" s="83"/>
    </row>
    <row r="42" spans="1:33" x14ac:dyDescent="0.25">
      <c r="A42" s="67">
        <f t="shared" si="10"/>
        <v>51394</v>
      </c>
      <c r="B42" s="68">
        <f t="shared" si="11"/>
        <v>0</v>
      </c>
      <c r="C42" s="68">
        <f t="shared" si="16"/>
        <v>0</v>
      </c>
      <c r="D42" s="68">
        <f t="shared" si="0"/>
        <v>0</v>
      </c>
      <c r="E42" s="66">
        <f t="shared" si="17"/>
        <v>0</v>
      </c>
      <c r="F42" s="66"/>
      <c r="G42" s="66"/>
      <c r="H42" s="66">
        <f t="shared" ca="1" si="12"/>
        <v>27300</v>
      </c>
      <c r="I42" s="66">
        <f t="shared" si="1"/>
        <v>0</v>
      </c>
      <c r="J42" s="153">
        <f>MAX(MIN(IF(MONTH($A42)=PRIN_MATURITY,IF(ISNA(VLOOKUP(DATE(YEAR($A42),PRIN_MATURITY,PRIN_MATURITY_DAY_SUB),Summary!$D$12:$CJ$57,COLUMNS(Summary!$D$12:$CJ$12))),0,VLOOKUP(DATE(YEAR($A42),PRIN_MATURITY,PRIN_MATURITY_DAY_SUB),Summary!$D$12:$CJ$57,COLUMNS(Summary!$D$12:$CJ$12))),0),$I42),0)</f>
        <v>0</v>
      </c>
      <c r="K42" s="66">
        <f t="shared" ca="1" si="2"/>
        <v>0</v>
      </c>
      <c r="L42" s="154">
        <f t="shared" ca="1" si="3"/>
        <v>0</v>
      </c>
      <c r="M42" s="66">
        <f t="shared" ca="1" si="13"/>
        <v>0</v>
      </c>
      <c r="N42" s="66">
        <f t="shared" ca="1" si="4"/>
        <v>0</v>
      </c>
      <c r="O42" s="66">
        <f t="shared" ca="1" si="14"/>
        <v>27300</v>
      </c>
      <c r="P42" s="70">
        <f t="shared" si="5"/>
        <v>0</v>
      </c>
      <c r="Q42" s="66"/>
      <c r="R42" s="85"/>
      <c r="S42" s="66">
        <f t="shared" ca="1" si="6"/>
        <v>27300</v>
      </c>
      <c r="T42" s="70">
        <f t="shared" si="7"/>
        <v>0</v>
      </c>
      <c r="U42" s="70">
        <f ca="1">$G$97-SUM($G$11:G42)</f>
        <v>734000</v>
      </c>
      <c r="W42" s="68">
        <f t="shared" si="18"/>
        <v>0</v>
      </c>
      <c r="Z42" s="83">
        <f>IF(MONTH($A42)=PRIN_MATURITY,IF(ISNA(VLOOKUP(DATE(YEAR($A42),PRIN_MATURITY,PRIN_MATURITY_DAY_SENIOR),Summary!$D$14:$CJ$56,COLUMNS(Summary!$D$13:$CJ$15),FALSE))=TRUE,0,VLOOKUP(DATE(YEAR($A42),PRIN_MATURITY,PRIN_MATURITY_DAY_SENIOR),Summary!$D$13:$CJ$56,COLUMNS(Summary!$D$13:$CJ$15),FALSE)),0)</f>
        <v>0</v>
      </c>
      <c r="AA42" s="84">
        <f>IF(ISERROR(IF(ISNA(VLOOKUP($A42,Summary!$D$13:$CJ$54,COLUMNS(Summary!$D$13:$CJ$15),FALSE))=TRUE,0,VLOOKUP($A42,Summary!$D$14:$CJ$54,COLUMNS(Summary!$D$13:$CJ$15),FALSE))/T42),0,IF(ISNA(VLOOKUP($A42,Summary!$C$13:$CJ$54,COLUMNS(Summary!$D$13:$CJ$15)))=TRUE,0,VLOOKUP($A42,Summary!$D$13:$CJ$54,COLUMNS(Summary!$D$13:$CJ$15)))/T42)</f>
        <v>0</v>
      </c>
      <c r="AB42" s="72" t="str">
        <f t="shared" si="15"/>
        <v/>
      </c>
      <c r="AC42" s="83">
        <f t="shared" ca="1" si="19"/>
        <v>0</v>
      </c>
      <c r="AE42" s="83">
        <f t="shared" si="8"/>
        <v>0</v>
      </c>
      <c r="AF42" s="70">
        <f t="shared" ca="1" si="9"/>
        <v>0</v>
      </c>
      <c r="AG42" s="83"/>
    </row>
    <row r="43" spans="1:33" x14ac:dyDescent="0.25">
      <c r="A43" s="67">
        <f t="shared" si="10"/>
        <v>51575</v>
      </c>
      <c r="B43" s="68">
        <f t="shared" si="11"/>
        <v>8.1250000000000003E-2</v>
      </c>
      <c r="C43" s="68">
        <f t="shared" si="16"/>
        <v>8.1250000000000003E-2</v>
      </c>
      <c r="D43" s="68">
        <f t="shared" ref="D43:D74" si="28">IF(C43=0,0,TRUNC(IF(B43=C43,100,IF(A43&lt;=PAR_CALL_FIRST,PRICE(DELIVERY,A43,B43,C43,100,2,0),MIN(PRICE(DELIVERY,A43,B43,C43,100,2,0),PRICE(DELIVERY,PAR_CALL_FIRST,B43,C43,100,2,0)))),3)/100)</f>
        <v>1</v>
      </c>
      <c r="E43" s="66">
        <f t="shared" si="17"/>
        <v>0</v>
      </c>
      <c r="F43" s="66"/>
      <c r="G43" s="66"/>
      <c r="H43" s="66">
        <f t="shared" ca="1" si="12"/>
        <v>27300</v>
      </c>
      <c r="I43" s="66">
        <f t="shared" ref="I43:I74" ca="1" si="29">IF($A43=0,0,IF(MONTH($A43)=INT_MATURITY,0,SUM(H42:H43)))</f>
        <v>54600</v>
      </c>
      <c r="J43" s="153">
        <f ca="1">MAX(MIN(IF(MONTH($A43)=PRIN_MATURITY,IF(ISNA(VLOOKUP(DATE(YEAR($A43),PRIN_MATURITY,PRIN_MATURITY_DAY_SUB),Summary!$D$12:$CJ$57,COLUMNS(Summary!$D$12:$CJ$12))),0,VLOOKUP(DATE(YEAR($A43),PRIN_MATURITY,PRIN_MATURITY_DAY_SUB),Summary!$D$12:$CJ$57,COLUMNS(Summary!$D$12:$CJ$12))),0),$I43),0)</f>
        <v>54600</v>
      </c>
      <c r="K43" s="66">
        <f t="shared" ref="K43:K74" ca="1" si="30">IF($K$4="No", 0,I43+(M42*SUB_INTEREST_RATE/2)-J43)</f>
        <v>0</v>
      </c>
      <c r="L43" s="154">
        <f t="shared" ca="1" si="3"/>
        <v>0</v>
      </c>
      <c r="M43" s="66">
        <f ca="1">M42+K43-L43</f>
        <v>0</v>
      </c>
      <c r="N43" s="66">
        <f t="shared" ref="N43:N74" ca="1" si="31">$G43+$J43+$L43</f>
        <v>54600</v>
      </c>
      <c r="O43" s="66">
        <f t="shared" ca="1" si="14"/>
        <v>27300</v>
      </c>
      <c r="P43" s="70">
        <f t="shared" ref="P43:P74" ca="1" si="32">IF($A43=0,0,IF(MONTH($A43)=INT_MATURITY,0,SUM(O42:O43)))</f>
        <v>54600</v>
      </c>
      <c r="Q43" s="66"/>
      <c r="R43" s="85"/>
      <c r="S43" s="66">
        <f t="shared" ref="S43:S93" ca="1" si="33">O43-Q43</f>
        <v>27300</v>
      </c>
      <c r="T43" s="70">
        <f t="shared" ref="T43:T74" ca="1" si="34">IF($A43=0,0,IF(MONTH($A43)=INT_MATURITY,0,SUM(S42:S43)))</f>
        <v>54600</v>
      </c>
      <c r="U43" s="70">
        <f ca="1">$G$97-SUM($G$11:G43)</f>
        <v>734000</v>
      </c>
      <c r="W43" s="68">
        <f t="shared" si="18"/>
        <v>1</v>
      </c>
      <c r="Z43" s="83">
        <f ca="1">IF(MONTH($A43)=PRIN_MATURITY,IF(ISNA(VLOOKUP(DATE(YEAR($A43),PRIN_MATURITY,PRIN_MATURITY_DAY_SENIOR),Summary!$D$14:$CJ$56,COLUMNS(Summary!$D$13:$CJ$15),FALSE))=TRUE,0,VLOOKUP(DATE(YEAR($A43),PRIN_MATURITY,PRIN_MATURITY_DAY_SENIOR),Summary!$D$13:$CJ$56,COLUMNS(Summary!$D$13:$CJ$15),FALSE)),0)</f>
        <v>132879.43137696059</v>
      </c>
      <c r="AA43" s="84">
        <f ca="1">IF(ISERROR(IF(ISNA(VLOOKUP($A43,Summary!$D$13:$CJ$54,COLUMNS(Summary!$D$13:$CJ$15),FALSE))=TRUE,0,VLOOKUP($A43,Summary!$D$14:$CJ$54,COLUMNS(Summary!$D$13:$CJ$15),FALSE))/T43),0,IF(ISNA(VLOOKUP($A43,Summary!$C$13:$CJ$54,COLUMNS(Summary!$D$13:$CJ$15)))=TRUE,0,VLOOKUP($A43,Summary!$D$13:$CJ$54,COLUMNS(Summary!$D$13:$CJ$15)))/T43)</f>
        <v>2.4336892193582527</v>
      </c>
      <c r="AB43" s="72">
        <f t="shared" si="15"/>
        <v>1</v>
      </c>
      <c r="AC43" s="83">
        <f t="shared" ca="1" si="19"/>
        <v>78279.431376960594</v>
      </c>
      <c r="AE43" s="83">
        <f t="shared" ref="AE43:AE74" si="35">D43*G43*DAYS360(DELIVERY,A43)/360</f>
        <v>0</v>
      </c>
      <c r="AF43" s="70">
        <f t="shared" ref="AF43:AF74" ca="1" si="36">G43+K43+L43</f>
        <v>0</v>
      </c>
      <c r="AG43" s="83"/>
    </row>
    <row r="44" spans="1:33" x14ac:dyDescent="0.25">
      <c r="A44" s="67">
        <f t="shared" ref="A44:A75" si="37">IF(IF(ISERROR(EDATE(A43,6)),0,EDATE(A43,6))&gt;EDATE(MAX($A$11,DATE(YEAR($A$11),PRIN_MATURITY,PRIN_MATURITY_DAY_SUB)),6*2*FINAL_MAT_SUB_YRS),0,IF(ISERROR(EDATE(A43,6)),0,IF(A43=0,0,EDATE(A43,6))))</f>
        <v>51759</v>
      </c>
      <c r="B44" s="68">
        <f t="shared" ref="B44:B72" si="38">IF(ISERROR(IF(MONTH(A44)=PRIN_MATURITY,SUB_INTEREST_RATE,)),"",IF(MONTH(A44)=PRIN_MATURITY,SUB_INTEREST_RATE,))</f>
        <v>0</v>
      </c>
      <c r="C44" s="68">
        <f t="shared" si="16"/>
        <v>0</v>
      </c>
      <c r="D44" s="68">
        <f t="shared" si="28"/>
        <v>0</v>
      </c>
      <c r="E44" s="66">
        <f t="shared" si="17"/>
        <v>0</v>
      </c>
      <c r="F44" s="66"/>
      <c r="G44" s="66"/>
      <c r="H44" s="66">
        <f t="shared" ca="1" si="12"/>
        <v>27300</v>
      </c>
      <c r="I44" s="66">
        <f t="shared" si="29"/>
        <v>0</v>
      </c>
      <c r="J44" s="153">
        <f>MAX(MIN(IF(MONTH($A44)=PRIN_MATURITY,IF(ISNA(VLOOKUP(DATE(YEAR($A44),PRIN_MATURITY,PRIN_MATURITY_DAY_SUB),Summary!$D$12:$CJ$57,COLUMNS(Summary!$D$12:$CJ$12))),0,VLOOKUP(DATE(YEAR($A44),PRIN_MATURITY,PRIN_MATURITY_DAY_SUB),Summary!$D$12:$CJ$57,COLUMNS(Summary!$D$12:$CJ$12))),0),$I44),0)</f>
        <v>0</v>
      </c>
      <c r="K44" s="66">
        <f t="shared" ca="1" si="30"/>
        <v>0</v>
      </c>
      <c r="L44" s="154">
        <f t="shared" ca="1" si="3"/>
        <v>0</v>
      </c>
      <c r="M44" s="66">
        <f ca="1">M43+K44-L44</f>
        <v>0</v>
      </c>
      <c r="N44" s="66">
        <f t="shared" ca="1" si="31"/>
        <v>0</v>
      </c>
      <c r="O44" s="66">
        <f t="shared" ca="1" si="14"/>
        <v>27300</v>
      </c>
      <c r="P44" s="70">
        <f t="shared" si="32"/>
        <v>0</v>
      </c>
      <c r="Q44" s="66"/>
      <c r="R44" s="85"/>
      <c r="S44" s="66">
        <f t="shared" ca="1" si="33"/>
        <v>27300</v>
      </c>
      <c r="T44" s="70">
        <f t="shared" si="34"/>
        <v>0</v>
      </c>
      <c r="U44" s="70">
        <f ca="1">$G$97-SUM($G$11:G44)</f>
        <v>734000</v>
      </c>
      <c r="W44" s="68">
        <f t="shared" si="18"/>
        <v>0</v>
      </c>
      <c r="Z44" s="83">
        <f>IF(MONTH($A44)=PRIN_MATURITY,IF(ISNA(VLOOKUP(DATE(YEAR($A44),PRIN_MATURITY,PRIN_MATURITY_DAY_SENIOR),Summary!$D$14:$CJ$56,COLUMNS(Summary!$D$13:$CJ$15),FALSE))=TRUE,0,VLOOKUP(DATE(YEAR($A44),PRIN_MATURITY,PRIN_MATURITY_DAY_SENIOR),Summary!$D$13:$CJ$56,COLUMNS(Summary!$D$13:$CJ$15),FALSE)),0)</f>
        <v>0</v>
      </c>
      <c r="AA44" s="84">
        <f>IF(ISERROR(IF(ISNA(VLOOKUP($A44,Summary!$D$13:$CJ$54,COLUMNS(Summary!$D$13:$CJ$15),FALSE))=TRUE,0,VLOOKUP($A44,Summary!$D$14:$CJ$54,COLUMNS(Summary!$D$13:$CJ$15),FALSE))/T44),0,IF(ISNA(VLOOKUP($A44,Summary!$C$13:$CJ$54,COLUMNS(Summary!$D$13:$CJ$15)))=TRUE,0,VLOOKUP($A44,Summary!$D$13:$CJ$54,COLUMNS(Summary!$D$13:$CJ$15)))/T44)</f>
        <v>0</v>
      </c>
      <c r="AB44" s="72" t="str">
        <f t="shared" ref="AB44:AB92" si="39">IF($B44&lt;&gt;0,DSC_SUB_LIEN_BONDS,"")</f>
        <v/>
      </c>
      <c r="AC44" s="83">
        <f t="shared" ca="1" si="19"/>
        <v>0</v>
      </c>
      <c r="AE44" s="83">
        <f t="shared" si="35"/>
        <v>0</v>
      </c>
      <c r="AF44" s="70">
        <f t="shared" ca="1" si="36"/>
        <v>0</v>
      </c>
      <c r="AG44" s="83"/>
    </row>
    <row r="45" spans="1:33" x14ac:dyDescent="0.25">
      <c r="A45" s="67">
        <f t="shared" si="37"/>
        <v>51940</v>
      </c>
      <c r="B45" s="68">
        <f t="shared" si="38"/>
        <v>8.1250000000000003E-2</v>
      </c>
      <c r="C45" s="68">
        <f t="shared" si="16"/>
        <v>8.1250000000000003E-2</v>
      </c>
      <c r="D45" s="68">
        <f t="shared" si="28"/>
        <v>1</v>
      </c>
      <c r="E45" s="66">
        <f t="shared" si="17"/>
        <v>0</v>
      </c>
      <c r="F45" s="66"/>
      <c r="G45" s="66"/>
      <c r="H45" s="66">
        <f t="shared" ca="1" si="12"/>
        <v>27300</v>
      </c>
      <c r="I45" s="66">
        <f t="shared" ca="1" si="29"/>
        <v>54600</v>
      </c>
      <c r="J45" s="153">
        <f ca="1">MAX(MIN(IF(MONTH($A45)=PRIN_MATURITY,IF(ISNA(VLOOKUP(DATE(YEAR($A45),PRIN_MATURITY,PRIN_MATURITY_DAY_SUB),Summary!$D$12:$CJ$57,COLUMNS(Summary!$D$12:$CJ$12))),0,VLOOKUP(DATE(YEAR($A45),PRIN_MATURITY,PRIN_MATURITY_DAY_SUB),Summary!$D$12:$CJ$57,COLUMNS(Summary!$D$12:$CJ$12))),0),$I45),0)</f>
        <v>54600</v>
      </c>
      <c r="K45" s="66">
        <f t="shared" ca="1" si="30"/>
        <v>0</v>
      </c>
      <c r="L45" s="154">
        <f t="shared" ca="1" si="3"/>
        <v>0</v>
      </c>
      <c r="M45" s="66">
        <f t="shared" ref="M45:M50" ca="1" si="40">M44+K45-L45</f>
        <v>0</v>
      </c>
      <c r="N45" s="66">
        <f t="shared" ca="1" si="31"/>
        <v>54600</v>
      </c>
      <c r="O45" s="66">
        <f t="shared" ca="1" si="14"/>
        <v>27300</v>
      </c>
      <c r="P45" s="70">
        <f t="shared" ca="1" si="32"/>
        <v>54600</v>
      </c>
      <c r="Q45" s="66"/>
      <c r="R45" s="85"/>
      <c r="S45" s="66">
        <f t="shared" ca="1" si="33"/>
        <v>27300</v>
      </c>
      <c r="T45" s="70">
        <f t="shared" ca="1" si="34"/>
        <v>54600</v>
      </c>
      <c r="U45" s="70">
        <f ca="1">$G$97-SUM($G$11:G45)</f>
        <v>734000</v>
      </c>
      <c r="W45" s="68">
        <f t="shared" ref="W45:W76" si="41">IF(MONTH(A45)=PRIN_MATURITY,MAX(0,DAYS360(MAX(CAPI_TERM,EDATE(A45,-12)),A45))/360,0)</f>
        <v>1</v>
      </c>
      <c r="Z45" s="83">
        <f ca="1">IF(MONTH($A45)=PRIN_MATURITY,IF(ISNA(VLOOKUP(DATE(YEAR($A45),PRIN_MATURITY,PRIN_MATURITY_DAY_SENIOR),Summary!$D$14:$CJ$56,COLUMNS(Summary!$D$13:$CJ$15),FALSE))=TRUE,0,VLOOKUP(DATE(YEAR($A45),PRIN_MATURITY,PRIN_MATURITY_DAY_SENIOR),Summary!$D$13:$CJ$56,COLUMNS(Summary!$D$13:$CJ$15),FALSE)),0)</f>
        <v>132811.28391175473</v>
      </c>
      <c r="AA45" s="84">
        <f ca="1">IF(ISERROR(IF(ISNA(VLOOKUP($A45,Summary!$D$13:$CJ$54,COLUMNS(Summary!$D$13:$CJ$15),FALSE))=TRUE,0,VLOOKUP($A45,Summary!$D$14:$CJ$54,COLUMNS(Summary!$D$13:$CJ$15),FALSE))/T45),0,IF(ISNA(VLOOKUP($A45,Summary!$C$13:$CJ$54,COLUMNS(Summary!$D$13:$CJ$15)))=TRUE,0,VLOOKUP($A45,Summary!$D$13:$CJ$54,COLUMNS(Summary!$D$13:$CJ$15)))/T45)</f>
        <v>2.4324410972848849</v>
      </c>
      <c r="AB45" s="72">
        <f t="shared" si="39"/>
        <v>1</v>
      </c>
      <c r="AC45" s="83">
        <f t="shared" ref="AC45:AC76" ca="1" si="42">Z45-G45-J45-L45</f>
        <v>78211.283911754726</v>
      </c>
      <c r="AE45" s="83">
        <f t="shared" si="35"/>
        <v>0</v>
      </c>
      <c r="AF45" s="70">
        <f t="shared" ca="1" si="36"/>
        <v>0</v>
      </c>
      <c r="AG45" s="83"/>
    </row>
    <row r="46" spans="1:33" x14ac:dyDescent="0.25">
      <c r="A46" s="67">
        <f t="shared" si="37"/>
        <v>52124</v>
      </c>
      <c r="B46" s="68">
        <f t="shared" si="38"/>
        <v>0</v>
      </c>
      <c r="C46" s="68">
        <f t="shared" si="16"/>
        <v>0</v>
      </c>
      <c r="D46" s="68">
        <f t="shared" si="28"/>
        <v>0</v>
      </c>
      <c r="E46" s="66">
        <f t="shared" si="17"/>
        <v>0</v>
      </c>
      <c r="F46" s="66"/>
      <c r="G46" s="66"/>
      <c r="H46" s="66">
        <f t="shared" ca="1" si="12"/>
        <v>27300</v>
      </c>
      <c r="I46" s="66">
        <f t="shared" si="29"/>
        <v>0</v>
      </c>
      <c r="J46" s="153">
        <f>MAX(MIN(IF(MONTH($A46)=PRIN_MATURITY,IF(ISNA(VLOOKUP(DATE(YEAR($A46),PRIN_MATURITY,PRIN_MATURITY_DAY_SUB),Summary!$D$12:$CJ$57,COLUMNS(Summary!$D$12:$CJ$12))),0,VLOOKUP(DATE(YEAR($A46),PRIN_MATURITY,PRIN_MATURITY_DAY_SUB),Summary!$D$12:$CJ$57,COLUMNS(Summary!$D$12:$CJ$12))),0),$I46),0)</f>
        <v>0</v>
      </c>
      <c r="K46" s="66">
        <f t="shared" ca="1" si="30"/>
        <v>0</v>
      </c>
      <c r="L46" s="154">
        <f t="shared" ca="1" si="3"/>
        <v>0</v>
      </c>
      <c r="M46" s="66">
        <f t="shared" ca="1" si="40"/>
        <v>0</v>
      </c>
      <c r="N46" s="66">
        <f t="shared" ca="1" si="31"/>
        <v>0</v>
      </c>
      <c r="O46" s="66">
        <f t="shared" ca="1" si="14"/>
        <v>27300</v>
      </c>
      <c r="P46" s="70">
        <f t="shared" si="32"/>
        <v>0</v>
      </c>
      <c r="Q46" s="66"/>
      <c r="R46" s="85"/>
      <c r="S46" s="66">
        <f t="shared" ca="1" si="33"/>
        <v>27300</v>
      </c>
      <c r="T46" s="70">
        <f t="shared" si="34"/>
        <v>0</v>
      </c>
      <c r="U46" s="70">
        <f ca="1">$G$97-SUM($G$11:G46)</f>
        <v>734000</v>
      </c>
      <c r="W46" s="68">
        <f t="shared" si="41"/>
        <v>0</v>
      </c>
      <c r="Z46" s="83">
        <f>IF(MONTH($A46)=PRIN_MATURITY,IF(ISNA(VLOOKUP(DATE(YEAR($A46),PRIN_MATURITY,PRIN_MATURITY_DAY_SENIOR),Summary!$D$14:$CJ$56,COLUMNS(Summary!$D$13:$CJ$15),FALSE))=TRUE,0,VLOOKUP(DATE(YEAR($A46),PRIN_MATURITY,PRIN_MATURITY_DAY_SENIOR),Summary!$D$13:$CJ$56,COLUMNS(Summary!$D$13:$CJ$15),FALSE)),0)</f>
        <v>0</v>
      </c>
      <c r="AA46" s="84">
        <f>IF(ISERROR(IF(ISNA(VLOOKUP($A46,Summary!$D$13:$CJ$54,COLUMNS(Summary!$D$13:$CJ$15),FALSE))=TRUE,0,VLOOKUP($A46,Summary!$D$14:$CJ$54,COLUMNS(Summary!$D$13:$CJ$15),FALSE))/T46),0,IF(ISNA(VLOOKUP($A46,Summary!$C$13:$CJ$54,COLUMNS(Summary!$D$13:$CJ$15)))=TRUE,0,VLOOKUP($A46,Summary!$D$13:$CJ$54,COLUMNS(Summary!$D$13:$CJ$15)))/T46)</f>
        <v>0</v>
      </c>
      <c r="AB46" s="72" t="str">
        <f t="shared" si="39"/>
        <v/>
      </c>
      <c r="AC46" s="83">
        <f t="shared" ca="1" si="42"/>
        <v>0</v>
      </c>
      <c r="AE46" s="83">
        <f t="shared" si="35"/>
        <v>0</v>
      </c>
      <c r="AF46" s="70">
        <f t="shared" ca="1" si="36"/>
        <v>0</v>
      </c>
      <c r="AG46" s="83"/>
    </row>
    <row r="47" spans="1:33" x14ac:dyDescent="0.25">
      <c r="A47" s="67">
        <f t="shared" si="37"/>
        <v>52305</v>
      </c>
      <c r="B47" s="68">
        <f t="shared" si="38"/>
        <v>8.1250000000000003E-2</v>
      </c>
      <c r="C47" s="68">
        <f t="shared" si="16"/>
        <v>8.1250000000000003E-2</v>
      </c>
      <c r="D47" s="68">
        <f t="shared" si="28"/>
        <v>1</v>
      </c>
      <c r="E47" s="66">
        <f t="shared" si="17"/>
        <v>0</v>
      </c>
      <c r="F47" s="66"/>
      <c r="G47" s="66"/>
      <c r="H47" s="66">
        <f t="shared" ca="1" si="12"/>
        <v>27300</v>
      </c>
      <c r="I47" s="66">
        <f t="shared" ca="1" si="29"/>
        <v>54600</v>
      </c>
      <c r="J47" s="153">
        <f ca="1">MAX(MIN(IF(MONTH($A47)=PRIN_MATURITY,IF(ISNA(VLOOKUP(DATE(YEAR($A47),PRIN_MATURITY,PRIN_MATURITY_DAY_SUB),Summary!$D$12:$CJ$57,COLUMNS(Summary!$D$12:$CJ$12))),0,VLOOKUP(DATE(YEAR($A47),PRIN_MATURITY,PRIN_MATURITY_DAY_SUB),Summary!$D$12:$CJ$57,COLUMNS(Summary!$D$12:$CJ$12))),0),$I47),0)</f>
        <v>54600</v>
      </c>
      <c r="K47" s="66">
        <f t="shared" ca="1" si="30"/>
        <v>0</v>
      </c>
      <c r="L47" s="154">
        <f t="shared" ca="1" si="3"/>
        <v>0</v>
      </c>
      <c r="M47" s="66">
        <f t="shared" ca="1" si="40"/>
        <v>0</v>
      </c>
      <c r="N47" s="66">
        <f t="shared" ca="1" si="31"/>
        <v>54600</v>
      </c>
      <c r="O47" s="66">
        <f t="shared" ca="1" si="14"/>
        <v>27300</v>
      </c>
      <c r="P47" s="70">
        <f t="shared" ca="1" si="32"/>
        <v>54600</v>
      </c>
      <c r="Q47" s="66"/>
      <c r="R47" s="85"/>
      <c r="S47" s="66">
        <f t="shared" ca="1" si="33"/>
        <v>27300</v>
      </c>
      <c r="T47" s="70">
        <f t="shared" ca="1" si="34"/>
        <v>54600</v>
      </c>
      <c r="U47" s="70">
        <f ca="1">$G$97-SUM($G$11:G47)</f>
        <v>734000</v>
      </c>
      <c r="W47" s="68">
        <f t="shared" si="41"/>
        <v>1</v>
      </c>
      <c r="Z47" s="83">
        <f ca="1">IF(MONTH($A47)=PRIN_MATURITY,IF(ISNA(VLOOKUP(DATE(YEAR($A47),PRIN_MATURITY,PRIN_MATURITY_DAY_SENIOR),Summary!$D$14:$CJ$56,COLUMNS(Summary!$D$13:$CJ$15),FALSE))=TRUE,0,VLOOKUP(DATE(YEAR($A47),PRIN_MATURITY,PRIN_MATURITY_DAY_SENIOR),Summary!$D$13:$CJ$56,COLUMNS(Summary!$D$13:$CJ$15),FALSE)),0)</f>
        <v>133659.82766326261</v>
      </c>
      <c r="AA47" s="84">
        <f ca="1">IF(ISERROR(IF(ISNA(VLOOKUP($A47,Summary!$D$13:$CJ$54,COLUMNS(Summary!$D$13:$CJ$15),FALSE))=TRUE,0,VLOOKUP($A47,Summary!$D$14:$CJ$54,COLUMNS(Summary!$D$13:$CJ$15),FALSE))/T47),0,IF(ISNA(VLOOKUP($A47,Summary!$C$13:$CJ$54,COLUMNS(Summary!$D$13:$CJ$15)))=TRUE,0,VLOOKUP($A47,Summary!$D$13:$CJ$54,COLUMNS(Summary!$D$13:$CJ$15)))/T47)</f>
        <v>2.4479821916348463</v>
      </c>
      <c r="AB47" s="72">
        <f t="shared" si="39"/>
        <v>1</v>
      </c>
      <c r="AC47" s="83">
        <f t="shared" ca="1" si="42"/>
        <v>79059.827663262608</v>
      </c>
      <c r="AE47" s="83">
        <f t="shared" si="35"/>
        <v>0</v>
      </c>
      <c r="AF47" s="70">
        <f t="shared" ca="1" si="36"/>
        <v>0</v>
      </c>
      <c r="AG47" s="83"/>
    </row>
    <row r="48" spans="1:33" x14ac:dyDescent="0.25">
      <c r="A48" s="67">
        <f t="shared" si="37"/>
        <v>52489</v>
      </c>
      <c r="B48" s="68">
        <f t="shared" si="38"/>
        <v>0</v>
      </c>
      <c r="C48" s="68">
        <f t="shared" si="16"/>
        <v>0</v>
      </c>
      <c r="D48" s="68">
        <f t="shared" si="28"/>
        <v>0</v>
      </c>
      <c r="E48" s="66">
        <f t="shared" si="17"/>
        <v>0</v>
      </c>
      <c r="F48" s="66"/>
      <c r="G48" s="66"/>
      <c r="H48" s="66">
        <f t="shared" ca="1" si="12"/>
        <v>27300</v>
      </c>
      <c r="I48" s="66">
        <f t="shared" si="29"/>
        <v>0</v>
      </c>
      <c r="J48" s="153">
        <f>MAX(MIN(IF(MONTH($A48)=PRIN_MATURITY,IF(ISNA(VLOOKUP(DATE(YEAR($A48),PRIN_MATURITY,PRIN_MATURITY_DAY_SUB),Summary!$D$12:$CJ$57,COLUMNS(Summary!$D$12:$CJ$12))),0,VLOOKUP(DATE(YEAR($A48),PRIN_MATURITY,PRIN_MATURITY_DAY_SUB),Summary!$D$12:$CJ$57,COLUMNS(Summary!$D$12:$CJ$12))),0),$I48),0)</f>
        <v>0</v>
      </c>
      <c r="K48" s="66">
        <f t="shared" ca="1" si="30"/>
        <v>0</v>
      </c>
      <c r="L48" s="154">
        <f t="shared" ca="1" si="3"/>
        <v>0</v>
      </c>
      <c r="M48" s="66">
        <f t="shared" ca="1" si="40"/>
        <v>0</v>
      </c>
      <c r="N48" s="66">
        <f t="shared" ca="1" si="31"/>
        <v>0</v>
      </c>
      <c r="O48" s="66">
        <f t="shared" ca="1" si="14"/>
        <v>27300</v>
      </c>
      <c r="P48" s="70">
        <f t="shared" si="32"/>
        <v>0</v>
      </c>
      <c r="Q48" s="66"/>
      <c r="R48" s="85"/>
      <c r="S48" s="66">
        <f t="shared" ca="1" si="33"/>
        <v>27300</v>
      </c>
      <c r="T48" s="70">
        <f t="shared" si="34"/>
        <v>0</v>
      </c>
      <c r="U48" s="70">
        <f ca="1">$G$97-SUM($G$11:G48)</f>
        <v>734000</v>
      </c>
      <c r="W48" s="68">
        <f t="shared" si="41"/>
        <v>0</v>
      </c>
      <c r="Z48" s="83">
        <f>IF(MONTH($A48)=PRIN_MATURITY,IF(ISNA(VLOOKUP(DATE(YEAR($A48),PRIN_MATURITY,PRIN_MATURITY_DAY_SENIOR),Summary!$D$14:$CJ$56,COLUMNS(Summary!$D$13:$CJ$15),FALSE))=TRUE,0,VLOOKUP(DATE(YEAR($A48),PRIN_MATURITY,PRIN_MATURITY_DAY_SENIOR),Summary!$D$13:$CJ$56,COLUMNS(Summary!$D$13:$CJ$15),FALSE)),0)</f>
        <v>0</v>
      </c>
      <c r="AA48" s="84">
        <f>IF(ISERROR(IF(ISNA(VLOOKUP($A48,Summary!$D$13:$CJ$54,COLUMNS(Summary!$D$13:$CJ$15),FALSE))=TRUE,0,VLOOKUP($A48,Summary!$D$14:$CJ$54,COLUMNS(Summary!$D$13:$CJ$15),FALSE))/T48),0,IF(ISNA(VLOOKUP($A48,Summary!$C$13:$CJ$54,COLUMNS(Summary!$D$13:$CJ$15)))=TRUE,0,VLOOKUP($A48,Summary!$D$13:$CJ$54,COLUMNS(Summary!$D$13:$CJ$15)))/T48)</f>
        <v>0</v>
      </c>
      <c r="AB48" s="72" t="str">
        <f t="shared" si="39"/>
        <v/>
      </c>
      <c r="AC48" s="83">
        <f t="shared" ca="1" si="42"/>
        <v>0</v>
      </c>
      <c r="AE48" s="83">
        <f t="shared" si="35"/>
        <v>0</v>
      </c>
      <c r="AF48" s="70">
        <f t="shared" ca="1" si="36"/>
        <v>0</v>
      </c>
      <c r="AG48" s="83"/>
    </row>
    <row r="49" spans="1:33" x14ac:dyDescent="0.25">
      <c r="A49" s="67">
        <f t="shared" si="37"/>
        <v>52671</v>
      </c>
      <c r="B49" s="68">
        <f t="shared" si="38"/>
        <v>8.1250000000000003E-2</v>
      </c>
      <c r="C49" s="68">
        <f t="shared" si="16"/>
        <v>8.1250000000000003E-2</v>
      </c>
      <c r="D49" s="68">
        <f t="shared" si="28"/>
        <v>1</v>
      </c>
      <c r="E49" s="66">
        <f t="shared" si="17"/>
        <v>0</v>
      </c>
      <c r="F49" s="66"/>
      <c r="G49" s="66"/>
      <c r="H49" s="66">
        <f t="shared" ca="1" si="12"/>
        <v>27300</v>
      </c>
      <c r="I49" s="66">
        <f t="shared" ca="1" si="29"/>
        <v>54600</v>
      </c>
      <c r="J49" s="153">
        <f ca="1">MAX(MIN(IF(MONTH($A49)=PRIN_MATURITY,IF(ISNA(VLOOKUP(DATE(YEAR($A49),PRIN_MATURITY,PRIN_MATURITY_DAY_SUB),Summary!$D$12:$CJ$57,COLUMNS(Summary!$D$12:$CJ$12))),0,VLOOKUP(DATE(YEAR($A49),PRIN_MATURITY,PRIN_MATURITY_DAY_SUB),Summary!$D$12:$CJ$57,COLUMNS(Summary!$D$12:$CJ$12))),0),$I49),0)</f>
        <v>54600</v>
      </c>
      <c r="K49" s="66">
        <f t="shared" ca="1" si="30"/>
        <v>0</v>
      </c>
      <c r="L49" s="154">
        <f t="shared" ca="1" si="3"/>
        <v>0</v>
      </c>
      <c r="M49" s="66">
        <f t="shared" ca="1" si="40"/>
        <v>0</v>
      </c>
      <c r="N49" s="66">
        <f t="shared" ca="1" si="31"/>
        <v>54600</v>
      </c>
      <c r="O49" s="66">
        <f t="shared" ca="1" si="14"/>
        <v>27300</v>
      </c>
      <c r="P49" s="70">
        <f t="shared" ca="1" si="32"/>
        <v>54600</v>
      </c>
      <c r="Q49" s="66"/>
      <c r="R49" s="85"/>
      <c r="S49" s="66">
        <f t="shared" ca="1" si="33"/>
        <v>27300</v>
      </c>
      <c r="T49" s="70">
        <f t="shared" ca="1" si="34"/>
        <v>54600</v>
      </c>
      <c r="U49" s="70">
        <f ca="1">$G$97-SUM($G$11:G49)</f>
        <v>734000</v>
      </c>
      <c r="W49" s="68">
        <f t="shared" si="41"/>
        <v>1</v>
      </c>
      <c r="Z49" s="83">
        <f ca="1">IF(MONTH($A49)=PRIN_MATURITY,IF(ISNA(VLOOKUP(DATE(YEAR($A49),PRIN_MATURITY,PRIN_MATURITY_DAY_SENIOR),Summary!$D$14:$CJ$56,COLUMNS(Summary!$D$13:$CJ$15),FALSE))=TRUE,0,VLOOKUP(DATE(YEAR($A49),PRIN_MATURITY,PRIN_MATURITY_DAY_SENIOR),Summary!$D$13:$CJ$56,COLUMNS(Summary!$D$13:$CJ$15),FALSE)),0)</f>
        <v>135425.13699747971</v>
      </c>
      <c r="AA49" s="84">
        <f ca="1">IF(ISERROR(IF(ISNA(VLOOKUP($A49,Summary!$D$13:$CJ$54,COLUMNS(Summary!$D$13:$CJ$15),FALSE))=TRUE,0,VLOOKUP($A49,Summary!$D$14:$CJ$54,COLUMNS(Summary!$D$13:$CJ$15),FALSE))/T49),0,IF(ISNA(VLOOKUP($A49,Summary!$C$13:$CJ$54,COLUMNS(Summary!$D$13:$CJ$15)))=TRUE,0,VLOOKUP($A49,Summary!$D$13:$CJ$54,COLUMNS(Summary!$D$13:$CJ$15)))/T49)</f>
        <v>2.4803138644227052</v>
      </c>
      <c r="AB49" s="72">
        <f t="shared" si="39"/>
        <v>1</v>
      </c>
      <c r="AC49" s="83">
        <f t="shared" ca="1" si="42"/>
        <v>80825.136997479713</v>
      </c>
      <c r="AE49" s="83">
        <f t="shared" si="35"/>
        <v>0</v>
      </c>
      <c r="AF49" s="70">
        <f t="shared" ca="1" si="36"/>
        <v>0</v>
      </c>
      <c r="AG49" s="83"/>
    </row>
    <row r="50" spans="1:33" x14ac:dyDescent="0.25">
      <c r="A50" s="67">
        <f t="shared" si="37"/>
        <v>52855</v>
      </c>
      <c r="B50" s="68">
        <f t="shared" si="38"/>
        <v>0</v>
      </c>
      <c r="C50" s="68">
        <f t="shared" si="16"/>
        <v>0</v>
      </c>
      <c r="D50" s="68">
        <f t="shared" si="28"/>
        <v>0</v>
      </c>
      <c r="E50" s="66">
        <f t="shared" si="17"/>
        <v>0</v>
      </c>
      <c r="F50" s="66"/>
      <c r="G50" s="66"/>
      <c r="H50" s="66">
        <f t="shared" ca="1" si="12"/>
        <v>27300</v>
      </c>
      <c r="I50" s="66">
        <f t="shared" si="29"/>
        <v>0</v>
      </c>
      <c r="J50" s="153">
        <f>MAX(MIN(IF(MONTH($A50)=PRIN_MATURITY,IF(ISNA(VLOOKUP(DATE(YEAR($A50),PRIN_MATURITY,PRIN_MATURITY_DAY_SUB),Summary!$D$12:$CJ$57,COLUMNS(Summary!$D$12:$CJ$12))),0,VLOOKUP(DATE(YEAR($A50),PRIN_MATURITY,PRIN_MATURITY_DAY_SUB),Summary!$D$12:$CJ$57,COLUMNS(Summary!$D$12:$CJ$12))),0),$I50),0)</f>
        <v>0</v>
      </c>
      <c r="K50" s="66">
        <f t="shared" ca="1" si="30"/>
        <v>0</v>
      </c>
      <c r="L50" s="154">
        <f t="shared" ca="1" si="3"/>
        <v>0</v>
      </c>
      <c r="M50" s="66">
        <f t="shared" ca="1" si="40"/>
        <v>0</v>
      </c>
      <c r="N50" s="66">
        <f t="shared" ca="1" si="31"/>
        <v>0</v>
      </c>
      <c r="O50" s="66">
        <f t="shared" ca="1" si="14"/>
        <v>27300</v>
      </c>
      <c r="P50" s="70">
        <f t="shared" si="32"/>
        <v>0</v>
      </c>
      <c r="Q50" s="66"/>
      <c r="R50" s="85"/>
      <c r="S50" s="66">
        <f t="shared" ca="1" si="33"/>
        <v>27300</v>
      </c>
      <c r="T50" s="70">
        <f t="shared" si="34"/>
        <v>0</v>
      </c>
      <c r="U50" s="70">
        <f ca="1">$G$97-SUM($G$11:G50)</f>
        <v>734000</v>
      </c>
      <c r="W50" s="68">
        <f t="shared" si="41"/>
        <v>0</v>
      </c>
      <c r="Z50" s="83">
        <f>IF(MONTH($A50)=PRIN_MATURITY,IF(ISNA(VLOOKUP(DATE(YEAR($A50),PRIN_MATURITY,PRIN_MATURITY_DAY_SENIOR),Summary!$D$14:$CJ$56,COLUMNS(Summary!$D$13:$CJ$15),FALSE))=TRUE,0,VLOOKUP(DATE(YEAR($A50),PRIN_MATURITY,PRIN_MATURITY_DAY_SENIOR),Summary!$D$13:$CJ$56,COLUMNS(Summary!$D$13:$CJ$15),FALSE)),0)</f>
        <v>0</v>
      </c>
      <c r="AA50" s="84">
        <f>IF(ISERROR(IF(ISNA(VLOOKUP($A50,Summary!$D$13:$CJ$54,COLUMNS(Summary!$D$13:$CJ$15),FALSE))=TRUE,0,VLOOKUP($A50,Summary!$D$14:$CJ$54,COLUMNS(Summary!$D$13:$CJ$15),FALSE))/T50),0,IF(ISNA(VLOOKUP($A50,Summary!$C$13:$CJ$54,COLUMNS(Summary!$D$13:$CJ$15)))=TRUE,0,VLOOKUP($A50,Summary!$D$13:$CJ$54,COLUMNS(Summary!$D$13:$CJ$15)))/T50)</f>
        <v>0</v>
      </c>
      <c r="AB50" s="72" t="str">
        <f t="shared" si="39"/>
        <v/>
      </c>
      <c r="AC50" s="83">
        <f t="shared" ca="1" si="42"/>
        <v>0</v>
      </c>
      <c r="AE50" s="83">
        <f t="shared" si="35"/>
        <v>0</v>
      </c>
      <c r="AF50" s="70">
        <f t="shared" ca="1" si="36"/>
        <v>0</v>
      </c>
      <c r="AG50" s="83"/>
    </row>
    <row r="51" spans="1:33" x14ac:dyDescent="0.25">
      <c r="A51" s="67">
        <f t="shared" si="37"/>
        <v>53036</v>
      </c>
      <c r="B51" s="68">
        <f t="shared" si="38"/>
        <v>8.1250000000000003E-2</v>
      </c>
      <c r="C51" s="68">
        <f t="shared" si="16"/>
        <v>8.1250000000000003E-2</v>
      </c>
      <c r="D51" s="68">
        <f t="shared" si="28"/>
        <v>1</v>
      </c>
      <c r="E51" s="66">
        <f t="shared" si="17"/>
        <v>0</v>
      </c>
      <c r="F51" s="66"/>
      <c r="G51" s="66"/>
      <c r="H51" s="66">
        <f t="shared" ca="1" si="12"/>
        <v>27300</v>
      </c>
      <c r="I51" s="66">
        <f t="shared" ca="1" si="29"/>
        <v>54600</v>
      </c>
      <c r="J51" s="153">
        <f ca="1">MAX(MIN(IF(MONTH($A51)=PRIN_MATURITY,IF(ISNA(VLOOKUP(DATE(YEAR($A51),PRIN_MATURITY,PRIN_MATURITY_DAY_SUB),Summary!$D$12:$CJ$57,COLUMNS(Summary!$D$12:$CJ$12))),0,VLOOKUP(DATE(YEAR($A51),PRIN_MATURITY,PRIN_MATURITY_DAY_SUB),Summary!$D$12:$CJ$57,COLUMNS(Summary!$D$12:$CJ$12))),0),$I51),0)</f>
        <v>54600</v>
      </c>
      <c r="K51" s="66">
        <f t="shared" ca="1" si="30"/>
        <v>0</v>
      </c>
      <c r="L51" s="154">
        <f t="shared" ca="1" si="3"/>
        <v>0</v>
      </c>
      <c r="M51" s="66">
        <f ca="1">M50+K51-L51</f>
        <v>0</v>
      </c>
      <c r="N51" s="66">
        <f t="shared" ca="1" si="31"/>
        <v>54600</v>
      </c>
      <c r="O51" s="66">
        <f t="shared" ca="1" si="14"/>
        <v>27300</v>
      </c>
      <c r="P51" s="70">
        <f t="shared" ca="1" si="32"/>
        <v>54600</v>
      </c>
      <c r="Q51" s="66"/>
      <c r="R51" s="85"/>
      <c r="S51" s="66">
        <f t="shared" ca="1" si="33"/>
        <v>27300</v>
      </c>
      <c r="T51" s="70">
        <f t="shared" ca="1" si="34"/>
        <v>54600</v>
      </c>
      <c r="U51" s="70">
        <f ca="1">$G$97-SUM($G$11:G51)</f>
        <v>734000</v>
      </c>
      <c r="W51" s="68">
        <f t="shared" si="41"/>
        <v>1</v>
      </c>
      <c r="Z51" s="83">
        <f ca="1">IF(MONTH($A51)=PRIN_MATURITY,IF(ISNA(VLOOKUP(DATE(YEAR($A51),PRIN_MATURITY,PRIN_MATURITY_DAY_SENIOR),Summary!$D$14:$CJ$56,COLUMNS(Summary!$D$13:$CJ$15),FALSE))=TRUE,0,VLOOKUP(DATE(YEAR($A51),PRIN_MATURITY,PRIN_MATURITY_DAY_SENIOR),Summary!$D$13:$CJ$56,COLUMNS(Summary!$D$13:$CJ$15),FALSE)),0)</f>
        <v>138107.28142313648</v>
      </c>
      <c r="AA51" s="84">
        <f ca="1">IF(ISERROR(IF(ISNA(VLOOKUP($A51,Summary!$D$13:$CJ$54,COLUMNS(Summary!$D$13:$CJ$15),FALSE))=TRUE,0,VLOOKUP($A51,Summary!$D$14:$CJ$54,COLUMNS(Summary!$D$13:$CJ$15),FALSE))/T51),0,IF(ISNA(VLOOKUP($A51,Summary!$C$13:$CJ$54,COLUMNS(Summary!$D$13:$CJ$15)))=TRUE,0,VLOOKUP($A51,Summary!$D$13:$CJ$54,COLUMNS(Summary!$D$13:$CJ$15)))/T51)</f>
        <v>2.5294373887021333</v>
      </c>
      <c r="AB51" s="72">
        <f t="shared" si="39"/>
        <v>1</v>
      </c>
      <c r="AC51" s="83">
        <f t="shared" ca="1" si="42"/>
        <v>83507.281423136475</v>
      </c>
      <c r="AE51" s="83">
        <f t="shared" si="35"/>
        <v>0</v>
      </c>
      <c r="AF51" s="70">
        <f t="shared" ca="1" si="36"/>
        <v>0</v>
      </c>
      <c r="AG51" s="83"/>
    </row>
    <row r="52" spans="1:33" x14ac:dyDescent="0.25">
      <c r="A52" s="67">
        <f t="shared" si="37"/>
        <v>53220</v>
      </c>
      <c r="B52" s="68">
        <f t="shared" si="38"/>
        <v>0</v>
      </c>
      <c r="C52" s="68">
        <f t="shared" si="16"/>
        <v>0</v>
      </c>
      <c r="D52" s="68">
        <f t="shared" si="28"/>
        <v>0</v>
      </c>
      <c r="E52" s="66">
        <f t="shared" si="17"/>
        <v>0</v>
      </c>
      <c r="F52" s="66"/>
      <c r="G52" s="66"/>
      <c r="H52" s="66">
        <f t="shared" ca="1" si="12"/>
        <v>27300</v>
      </c>
      <c r="I52" s="66">
        <f t="shared" si="29"/>
        <v>0</v>
      </c>
      <c r="J52" s="153">
        <f>MAX(MIN(IF(MONTH($A52)=PRIN_MATURITY,IF(ISNA(VLOOKUP(DATE(YEAR($A52),PRIN_MATURITY,PRIN_MATURITY_DAY_SUB),Summary!$D$12:$CJ$57,COLUMNS(Summary!$D$12:$CJ$12))),0,VLOOKUP(DATE(YEAR($A52),PRIN_MATURITY,PRIN_MATURITY_DAY_SUB),Summary!$D$12:$CJ$57,COLUMNS(Summary!$D$12:$CJ$12))),0),$I52),0)</f>
        <v>0</v>
      </c>
      <c r="K52" s="66">
        <f t="shared" ca="1" si="30"/>
        <v>0</v>
      </c>
      <c r="L52" s="154">
        <f t="shared" ca="1" si="3"/>
        <v>0</v>
      </c>
      <c r="M52" s="66">
        <f ca="1">M51+K52-L52</f>
        <v>0</v>
      </c>
      <c r="N52" s="66">
        <f t="shared" ca="1" si="31"/>
        <v>0</v>
      </c>
      <c r="O52" s="66">
        <f t="shared" ca="1" si="14"/>
        <v>27300</v>
      </c>
      <c r="P52" s="70">
        <f t="shared" si="32"/>
        <v>0</v>
      </c>
      <c r="Q52" s="66"/>
      <c r="R52" s="85"/>
      <c r="S52" s="66">
        <f t="shared" ca="1" si="33"/>
        <v>27300</v>
      </c>
      <c r="T52" s="70">
        <f t="shared" si="34"/>
        <v>0</v>
      </c>
      <c r="U52" s="70">
        <f ca="1">$G$97-SUM($G$11:G52)</f>
        <v>734000</v>
      </c>
      <c r="W52" s="68">
        <f t="shared" si="41"/>
        <v>0</v>
      </c>
      <c r="Z52" s="83">
        <f>IF(MONTH($A52)=PRIN_MATURITY,IF(ISNA(VLOOKUP(DATE(YEAR($A52),PRIN_MATURITY,PRIN_MATURITY_DAY_SENIOR),Summary!$D$14:$CJ$56,COLUMNS(Summary!$D$13:$CJ$15),FALSE))=TRUE,0,VLOOKUP(DATE(YEAR($A52),PRIN_MATURITY,PRIN_MATURITY_DAY_SENIOR),Summary!$D$13:$CJ$56,COLUMNS(Summary!$D$13:$CJ$15),FALSE)),0)</f>
        <v>0</v>
      </c>
      <c r="AA52" s="84">
        <f>IF(ISERROR(IF(ISNA(VLOOKUP($A52,Summary!$D$13:$CJ$54,COLUMNS(Summary!$D$13:$CJ$15),FALSE))=TRUE,0,VLOOKUP($A52,Summary!$D$14:$CJ$54,COLUMNS(Summary!$D$13:$CJ$15),FALSE))/T52),0,IF(ISNA(VLOOKUP($A52,Summary!$C$13:$CJ$54,COLUMNS(Summary!$D$13:$CJ$15)))=TRUE,0,VLOOKUP($A52,Summary!$D$13:$CJ$54,COLUMNS(Summary!$D$13:$CJ$15)))/T52)</f>
        <v>0</v>
      </c>
      <c r="AB52" s="72" t="str">
        <f t="shared" si="39"/>
        <v/>
      </c>
      <c r="AC52" s="83">
        <f ca="1">Z52-G52-J52-L52</f>
        <v>0</v>
      </c>
      <c r="AE52" s="83">
        <f t="shared" si="35"/>
        <v>0</v>
      </c>
      <c r="AF52" s="70">
        <f t="shared" ca="1" si="36"/>
        <v>0</v>
      </c>
      <c r="AG52" s="83"/>
    </row>
    <row r="53" spans="1:33" x14ac:dyDescent="0.25">
      <c r="A53" s="67">
        <f t="shared" si="37"/>
        <v>53401</v>
      </c>
      <c r="B53" s="68">
        <f t="shared" si="38"/>
        <v>8.1250000000000003E-2</v>
      </c>
      <c r="C53" s="68">
        <f t="shared" si="16"/>
        <v>8.1250000000000003E-2</v>
      </c>
      <c r="D53" s="68">
        <f t="shared" si="28"/>
        <v>1</v>
      </c>
      <c r="E53" s="66">
        <f t="shared" si="17"/>
        <v>0</v>
      </c>
      <c r="F53" s="66"/>
      <c r="G53" s="66"/>
      <c r="H53" s="66">
        <f t="shared" ca="1" si="12"/>
        <v>27300</v>
      </c>
      <c r="I53" s="66">
        <f t="shared" ca="1" si="29"/>
        <v>54600</v>
      </c>
      <c r="J53" s="153">
        <f ca="1">MAX(MIN(IF(MONTH($A53)=PRIN_MATURITY,IF(ISNA(VLOOKUP(DATE(YEAR($A53),PRIN_MATURITY,PRIN_MATURITY_DAY_SUB),Summary!$D$12:$CJ$57,COLUMNS(Summary!$D$12:$CJ$12))),0,VLOOKUP(DATE(YEAR($A53),PRIN_MATURITY,PRIN_MATURITY_DAY_SUB),Summary!$D$12:$CJ$57,COLUMNS(Summary!$D$12:$CJ$12))),0),$I53),0)</f>
        <v>54600</v>
      </c>
      <c r="K53" s="66">
        <f t="shared" ca="1" si="30"/>
        <v>0</v>
      </c>
      <c r="L53" s="154">
        <f t="shared" ca="1" si="3"/>
        <v>0</v>
      </c>
      <c r="M53" s="66">
        <f t="shared" ref="M53:M95" ca="1" si="43">M52+K53-L53</f>
        <v>0</v>
      </c>
      <c r="N53" s="66">
        <f t="shared" ca="1" si="31"/>
        <v>54600</v>
      </c>
      <c r="O53" s="66">
        <f t="shared" ca="1" si="14"/>
        <v>27300</v>
      </c>
      <c r="P53" s="70">
        <f t="shared" ca="1" si="32"/>
        <v>54600</v>
      </c>
      <c r="Q53" s="66"/>
      <c r="R53" s="85"/>
      <c r="S53" s="66">
        <f t="shared" ca="1" si="33"/>
        <v>27300</v>
      </c>
      <c r="T53" s="70">
        <f t="shared" ca="1" si="34"/>
        <v>54600</v>
      </c>
      <c r="U53" s="70">
        <f ca="1">$G$97-SUM($G$11:G53)</f>
        <v>734000</v>
      </c>
      <c r="W53" s="68">
        <f t="shared" si="41"/>
        <v>1</v>
      </c>
      <c r="Z53" s="83">
        <f ca="1">IF(MONTH($A53)=PRIN_MATURITY,IF(ISNA(VLOOKUP(DATE(YEAR($A53),PRIN_MATURITY,PRIN_MATURITY_DAY_SENIOR),Summary!$D$14:$CJ$56,COLUMNS(Summary!$D$13:$CJ$15),FALSE))=TRUE,0,VLOOKUP(DATE(YEAR($A53),PRIN_MATURITY,PRIN_MATURITY_DAY_SENIOR),Summary!$D$13:$CJ$56,COLUMNS(Summary!$D$13:$CJ$15),FALSE)),0)</f>
        <v>136706.32543110929</v>
      </c>
      <c r="AA53" s="84">
        <f ca="1">IF(ISERROR(IF(ISNA(VLOOKUP($A53,Summary!$D$13:$CJ$54,COLUMNS(Summary!$D$13:$CJ$15),FALSE))=TRUE,0,VLOOKUP($A53,Summary!$D$14:$CJ$54,COLUMNS(Summary!$D$13:$CJ$15),FALSE))/T53),0,IF(ISNA(VLOOKUP($A53,Summary!$C$13:$CJ$54,COLUMNS(Summary!$D$13:$CJ$15)))=TRUE,0,VLOOKUP($A53,Summary!$D$13:$CJ$54,COLUMNS(Summary!$D$13:$CJ$15)))/T53)</f>
        <v>2.5037788540496209</v>
      </c>
      <c r="AB53" s="72">
        <f t="shared" si="39"/>
        <v>1</v>
      </c>
      <c r="AC53" s="83">
        <f t="shared" ca="1" si="42"/>
        <v>82106.32543110929</v>
      </c>
      <c r="AE53" s="83">
        <f t="shared" si="35"/>
        <v>0</v>
      </c>
      <c r="AF53" s="70">
        <f t="shared" ca="1" si="36"/>
        <v>0</v>
      </c>
      <c r="AG53" s="83"/>
    </row>
    <row r="54" spans="1:33" x14ac:dyDescent="0.25">
      <c r="A54" s="67">
        <f t="shared" si="37"/>
        <v>53585</v>
      </c>
      <c r="B54" s="68">
        <f t="shared" si="38"/>
        <v>0</v>
      </c>
      <c r="C54" s="68">
        <f t="shared" si="16"/>
        <v>0</v>
      </c>
      <c r="D54" s="68">
        <f t="shared" si="28"/>
        <v>0</v>
      </c>
      <c r="E54" s="66">
        <f t="shared" si="17"/>
        <v>0</v>
      </c>
      <c r="F54" s="66"/>
      <c r="G54" s="66"/>
      <c r="H54" s="66">
        <f t="shared" ca="1" si="12"/>
        <v>27300</v>
      </c>
      <c r="I54" s="66">
        <f t="shared" si="29"/>
        <v>0</v>
      </c>
      <c r="J54" s="153">
        <f>MAX(MIN(IF(MONTH($A54)=PRIN_MATURITY,IF(ISNA(VLOOKUP(DATE(YEAR($A54),PRIN_MATURITY,PRIN_MATURITY_DAY_SUB),Summary!$D$12:$CJ$57,COLUMNS(Summary!$D$12:$CJ$12))),0,VLOOKUP(DATE(YEAR($A54),PRIN_MATURITY,PRIN_MATURITY_DAY_SUB),Summary!$D$12:$CJ$57,COLUMNS(Summary!$D$12:$CJ$12))),0),$I54),0)</f>
        <v>0</v>
      </c>
      <c r="K54" s="66">
        <f t="shared" ca="1" si="30"/>
        <v>0</v>
      </c>
      <c r="L54" s="154">
        <f t="shared" ca="1" si="3"/>
        <v>0</v>
      </c>
      <c r="M54" s="66">
        <f t="shared" ca="1" si="43"/>
        <v>0</v>
      </c>
      <c r="N54" s="66">
        <f t="shared" ca="1" si="31"/>
        <v>0</v>
      </c>
      <c r="O54" s="66">
        <f t="shared" ca="1" si="14"/>
        <v>27300</v>
      </c>
      <c r="P54" s="70">
        <f t="shared" si="32"/>
        <v>0</v>
      </c>
      <c r="Q54" s="66"/>
      <c r="R54" s="85"/>
      <c r="S54" s="66">
        <f ca="1">O54-Q54</f>
        <v>27300</v>
      </c>
      <c r="T54" s="70">
        <f>IF($A54=0,0,IF(MONTH($A54)=INT_MATURITY,0,SUM(S53:S54)))</f>
        <v>0</v>
      </c>
      <c r="U54" s="70">
        <f ca="1">$G$97-SUM($G$11:G54)</f>
        <v>734000</v>
      </c>
      <c r="W54" s="68">
        <f t="shared" si="41"/>
        <v>0</v>
      </c>
      <c r="Z54" s="83">
        <f>IF(MONTH($A54)=PRIN_MATURITY,IF(ISNA(VLOOKUP(DATE(YEAR($A54),PRIN_MATURITY,PRIN_MATURITY_DAY_SENIOR),Summary!$D$14:$CJ$56,COLUMNS(Summary!$D$13:$CJ$15),FALSE))=TRUE,0,VLOOKUP(DATE(YEAR($A54),PRIN_MATURITY,PRIN_MATURITY_DAY_SENIOR),Summary!$D$13:$CJ$56,COLUMNS(Summary!$D$13:$CJ$15),FALSE)),0)</f>
        <v>0</v>
      </c>
      <c r="AA54" s="84">
        <f>IF(ISERROR(IF(ISNA(VLOOKUP($A54,Summary!$D$13:$CJ$54,COLUMNS(Summary!$D$13:$CJ$15),FALSE))=TRUE,0,VLOOKUP($A54,Summary!$D$14:$CJ$54,COLUMNS(Summary!$D$13:$CJ$15),FALSE))/T54),0,IF(ISNA(VLOOKUP($A54,Summary!$C$13:$CJ$54,COLUMNS(Summary!$D$13:$CJ$15)))=TRUE,0,VLOOKUP($A54,Summary!$D$13:$CJ$54,COLUMNS(Summary!$D$13:$CJ$15)))/T54)</f>
        <v>0</v>
      </c>
      <c r="AB54" s="72" t="str">
        <f t="shared" si="39"/>
        <v/>
      </c>
      <c r="AC54" s="83">
        <f t="shared" ca="1" si="42"/>
        <v>0</v>
      </c>
      <c r="AE54" s="83">
        <f t="shared" si="35"/>
        <v>0</v>
      </c>
      <c r="AF54" s="70">
        <f t="shared" ca="1" si="36"/>
        <v>0</v>
      </c>
      <c r="AG54" s="83"/>
    </row>
    <row r="55" spans="1:33" x14ac:dyDescent="0.25">
      <c r="A55" s="67">
        <f t="shared" si="37"/>
        <v>53766</v>
      </c>
      <c r="B55" s="68">
        <f t="shared" si="38"/>
        <v>8.1250000000000003E-2</v>
      </c>
      <c r="C55" s="68">
        <f t="shared" si="16"/>
        <v>8.1250000000000003E-2</v>
      </c>
      <c r="D55" s="68">
        <f t="shared" si="28"/>
        <v>1</v>
      </c>
      <c r="E55" s="66">
        <f t="shared" si="17"/>
        <v>0</v>
      </c>
      <c r="F55" s="66"/>
      <c r="G55" s="66"/>
      <c r="H55" s="66">
        <f t="shared" ca="1" si="12"/>
        <v>27300</v>
      </c>
      <c r="I55" s="66">
        <f t="shared" ca="1" si="29"/>
        <v>54600</v>
      </c>
      <c r="J55" s="153">
        <f ca="1">MAX(MIN(IF(MONTH($A55)=PRIN_MATURITY,IF(ISNA(VLOOKUP(DATE(YEAR($A55),PRIN_MATURITY,PRIN_MATURITY_DAY_SUB),Summary!$D$12:$CJ$57,COLUMNS(Summary!$D$12:$CJ$12))),0,VLOOKUP(DATE(YEAR($A55),PRIN_MATURITY,PRIN_MATURITY_DAY_SUB),Summary!$D$12:$CJ$57,COLUMNS(Summary!$D$12:$CJ$12))),0),$I55),0)</f>
        <v>54600</v>
      </c>
      <c r="K55" s="66">
        <f t="shared" ca="1" si="30"/>
        <v>0</v>
      </c>
      <c r="L55" s="154">
        <f t="shared" ca="1" si="3"/>
        <v>0</v>
      </c>
      <c r="M55" s="66">
        <f t="shared" ca="1" si="43"/>
        <v>0</v>
      </c>
      <c r="N55" s="66">
        <f t="shared" ca="1" si="31"/>
        <v>54600</v>
      </c>
      <c r="O55" s="66">
        <f t="shared" ca="1" si="14"/>
        <v>27300</v>
      </c>
      <c r="P55" s="70">
        <f t="shared" ca="1" si="32"/>
        <v>54600</v>
      </c>
      <c r="Q55" s="66"/>
      <c r="R55" s="85"/>
      <c r="S55" s="66">
        <f t="shared" ca="1" si="33"/>
        <v>27300</v>
      </c>
      <c r="T55" s="70">
        <f t="shared" ca="1" si="34"/>
        <v>54600</v>
      </c>
      <c r="U55" s="70">
        <f ca="1">$G$97-SUM($G$11:G55)</f>
        <v>734000</v>
      </c>
      <c r="W55" s="68">
        <f t="shared" si="41"/>
        <v>1</v>
      </c>
      <c r="Z55" s="83">
        <f ca="1">IF(MONTH($A55)=PRIN_MATURITY,IF(ISNA(VLOOKUP(DATE(YEAR($A55),PRIN_MATURITY,PRIN_MATURITY_DAY_SENIOR),Summary!$D$14:$CJ$56,COLUMNS(Summary!$D$13:$CJ$15),FALSE))=TRUE,0,VLOOKUP(DATE(YEAR($A55),PRIN_MATURITY,PRIN_MATURITY_DAY_SENIOR),Summary!$D$13:$CJ$56,COLUMNS(Summary!$D$13:$CJ$15),FALSE)),0)</f>
        <v>136516.07832998259</v>
      </c>
      <c r="AA55" s="84">
        <f ca="1">IF(ISERROR(IF(ISNA(VLOOKUP($A55,Summary!$D$13:$CJ$54,COLUMNS(Summary!$D$13:$CJ$15),FALSE))=TRUE,0,VLOOKUP($A55,Summary!$D$14:$CJ$54,COLUMNS(Summary!$D$13:$CJ$15),FALSE))/T55),0,IF(ISNA(VLOOKUP($A55,Summary!$C$13:$CJ$54,COLUMNS(Summary!$D$13:$CJ$15)))=TRUE,0,VLOOKUP($A55,Summary!$D$13:$CJ$54,COLUMNS(Summary!$D$13:$CJ$15)))/T55)</f>
        <v>2.500294474908106</v>
      </c>
      <c r="AB55" s="72">
        <f t="shared" si="39"/>
        <v>1</v>
      </c>
      <c r="AC55" s="83">
        <f t="shared" ca="1" si="42"/>
        <v>81916.078329982585</v>
      </c>
      <c r="AE55" s="83">
        <f t="shared" si="35"/>
        <v>0</v>
      </c>
      <c r="AF55" s="70">
        <f t="shared" ca="1" si="36"/>
        <v>0</v>
      </c>
      <c r="AG55" s="83"/>
    </row>
    <row r="56" spans="1:33" x14ac:dyDescent="0.25">
      <c r="A56" s="67">
        <f t="shared" si="37"/>
        <v>53950</v>
      </c>
      <c r="B56" s="68">
        <f t="shared" si="38"/>
        <v>0</v>
      </c>
      <c r="C56" s="68">
        <f t="shared" si="16"/>
        <v>0</v>
      </c>
      <c r="D56" s="68">
        <f t="shared" si="28"/>
        <v>0</v>
      </c>
      <c r="E56" s="66">
        <f t="shared" si="17"/>
        <v>0</v>
      </c>
      <c r="F56" s="66"/>
      <c r="G56" s="66"/>
      <c r="H56" s="66">
        <f t="shared" ca="1" si="12"/>
        <v>27300</v>
      </c>
      <c r="I56" s="66">
        <f t="shared" si="29"/>
        <v>0</v>
      </c>
      <c r="J56" s="153">
        <f>MAX(MIN(IF(MONTH($A56)=PRIN_MATURITY,IF(ISNA(VLOOKUP(DATE(YEAR($A56),PRIN_MATURITY,PRIN_MATURITY_DAY_SUB),Summary!$D$12:$CJ$57,COLUMNS(Summary!$D$12:$CJ$12))),0,VLOOKUP(DATE(YEAR($A56),PRIN_MATURITY,PRIN_MATURITY_DAY_SUB),Summary!$D$12:$CJ$57,COLUMNS(Summary!$D$12:$CJ$12))),0),$I56),0)</f>
        <v>0</v>
      </c>
      <c r="K56" s="66">
        <f t="shared" ca="1" si="30"/>
        <v>0</v>
      </c>
      <c r="L56" s="154">
        <f t="shared" ca="1" si="3"/>
        <v>0</v>
      </c>
      <c r="M56" s="66">
        <f t="shared" ca="1" si="43"/>
        <v>0</v>
      </c>
      <c r="N56" s="66">
        <f t="shared" ca="1" si="31"/>
        <v>0</v>
      </c>
      <c r="O56" s="66">
        <f t="shared" ca="1" si="14"/>
        <v>27300</v>
      </c>
      <c r="P56" s="70">
        <f t="shared" si="32"/>
        <v>0</v>
      </c>
      <c r="Q56" s="66"/>
      <c r="R56" s="85"/>
      <c r="S56" s="66">
        <f t="shared" ca="1" si="33"/>
        <v>27300</v>
      </c>
      <c r="T56" s="70">
        <f t="shared" si="34"/>
        <v>0</v>
      </c>
      <c r="U56" s="70">
        <f ca="1">$G$97-SUM($G$11:G56)</f>
        <v>734000</v>
      </c>
      <c r="W56" s="68">
        <f t="shared" si="41"/>
        <v>0</v>
      </c>
      <c r="Z56" s="83">
        <f>IF(MONTH($A56)=PRIN_MATURITY,IF(ISNA(VLOOKUP(DATE(YEAR($A56),PRIN_MATURITY,PRIN_MATURITY_DAY_SENIOR),Summary!$D$14:$CJ$56,COLUMNS(Summary!$D$13:$CJ$15),FALSE))=TRUE,0,VLOOKUP(DATE(YEAR($A56),PRIN_MATURITY,PRIN_MATURITY_DAY_SENIOR),Summary!$D$13:$CJ$56,COLUMNS(Summary!$D$13:$CJ$15),FALSE)),0)</f>
        <v>0</v>
      </c>
      <c r="AA56" s="84">
        <f>IF(ISERROR(IF(ISNA(VLOOKUP($A56,Summary!$D$13:$CJ$54,COLUMNS(Summary!$D$13:$CJ$15),FALSE))=TRUE,0,VLOOKUP($A56,Summary!$D$14:$CJ$54,COLUMNS(Summary!$D$13:$CJ$15),FALSE))/T56),0,IF(ISNA(VLOOKUP($A56,Summary!$C$13:$CJ$54,COLUMNS(Summary!$D$13:$CJ$15)))=TRUE,0,VLOOKUP($A56,Summary!$D$13:$CJ$54,COLUMNS(Summary!$D$13:$CJ$15)))/T56)</f>
        <v>0</v>
      </c>
      <c r="AB56" s="72" t="str">
        <f t="shared" si="39"/>
        <v/>
      </c>
      <c r="AC56" s="83">
        <f ca="1">Z56-G56-J56-L56</f>
        <v>0</v>
      </c>
      <c r="AE56" s="83">
        <f t="shared" si="35"/>
        <v>0</v>
      </c>
      <c r="AF56" s="70">
        <f t="shared" ca="1" si="36"/>
        <v>0</v>
      </c>
      <c r="AG56" s="83"/>
    </row>
    <row r="57" spans="1:33" x14ac:dyDescent="0.25">
      <c r="A57" s="67">
        <f t="shared" si="37"/>
        <v>54132</v>
      </c>
      <c r="B57" s="68">
        <f t="shared" si="38"/>
        <v>8.1250000000000003E-2</v>
      </c>
      <c r="C57" s="68">
        <f t="shared" si="16"/>
        <v>8.1250000000000003E-2</v>
      </c>
      <c r="D57" s="68">
        <f t="shared" si="28"/>
        <v>1</v>
      </c>
      <c r="E57" s="66">
        <f t="shared" ref="E57:E72" si="44">D57*G57-G57</f>
        <v>0</v>
      </c>
      <c r="F57" s="66"/>
      <c r="G57" s="66"/>
      <c r="H57" s="66">
        <f t="shared" ca="1" si="12"/>
        <v>27300</v>
      </c>
      <c r="I57" s="66">
        <f t="shared" ca="1" si="29"/>
        <v>54600</v>
      </c>
      <c r="J57" s="153">
        <f ca="1">MAX(MIN(IF(MONTH($A57)=PRIN_MATURITY,IF(ISNA(VLOOKUP(DATE(YEAR($A57),PRIN_MATURITY,PRIN_MATURITY_DAY_SUB),Summary!$D$12:$CJ$57,COLUMNS(Summary!$D$12:$CJ$12))),0,VLOOKUP(DATE(YEAR($A57),PRIN_MATURITY,PRIN_MATURITY_DAY_SUB),Summary!$D$12:$CJ$57,COLUMNS(Summary!$D$12:$CJ$12))),0),$I57),0)</f>
        <v>54600</v>
      </c>
      <c r="K57" s="66">
        <f t="shared" ca="1" si="30"/>
        <v>0</v>
      </c>
      <c r="L57" s="154">
        <f t="shared" ca="1" si="3"/>
        <v>0</v>
      </c>
      <c r="M57" s="66">
        <f t="shared" ca="1" si="43"/>
        <v>0</v>
      </c>
      <c r="N57" s="66">
        <f t="shared" ca="1" si="31"/>
        <v>54600</v>
      </c>
      <c r="O57" s="66">
        <f t="shared" ca="1" si="14"/>
        <v>27300</v>
      </c>
      <c r="P57" s="70">
        <f t="shared" ca="1" si="32"/>
        <v>54600</v>
      </c>
      <c r="Q57" s="66"/>
      <c r="R57" s="85"/>
      <c r="S57" s="66">
        <f t="shared" ca="1" si="33"/>
        <v>27300</v>
      </c>
      <c r="T57" s="70">
        <f t="shared" ca="1" si="34"/>
        <v>54600</v>
      </c>
      <c r="U57" s="70">
        <f ca="1">$G$97-SUM($G$11:G57)</f>
        <v>734000</v>
      </c>
      <c r="W57" s="68">
        <f t="shared" si="41"/>
        <v>1</v>
      </c>
      <c r="Z57" s="83">
        <f ca="1">IF(MONTH($A57)=PRIN_MATURITY,IF(ISNA(VLOOKUP(DATE(YEAR($A57),PRIN_MATURITY,PRIN_MATURITY_DAY_SENIOR),Summary!$D$14:$CJ$56,COLUMNS(Summary!$D$13:$CJ$15),FALSE))=TRUE,0,VLOOKUP(DATE(YEAR($A57),PRIN_MATURITY,PRIN_MATURITY_DAY_SENIOR),Summary!$D$13:$CJ$56,COLUMNS(Summary!$D$13:$CJ$15),FALSE)),0)</f>
        <v>142536.59407768166</v>
      </c>
      <c r="AA57" s="84">
        <f ca="1">IF(ISERROR(IF(ISNA(VLOOKUP($A57,Summary!$D$13:$CJ$54,COLUMNS(Summary!$D$13:$CJ$15),FALSE))=TRUE,0,VLOOKUP($A57,Summary!$D$14:$CJ$54,COLUMNS(Summary!$D$13:$CJ$15),FALSE))/T57),0,IF(ISNA(VLOOKUP($A57,Summary!$C$13:$CJ$54,COLUMNS(Summary!$D$13:$CJ$15)))=TRUE,0,VLOOKUP($A57,Summary!$D$13:$CJ$54,COLUMNS(Summary!$D$13:$CJ$15)))/T57)</f>
        <v>2.6105603310930707</v>
      </c>
      <c r="AB57" s="72">
        <f t="shared" si="39"/>
        <v>1</v>
      </c>
      <c r="AC57" s="83">
        <f t="shared" ca="1" si="42"/>
        <v>87936.594077681657</v>
      </c>
      <c r="AE57" s="83">
        <f t="shared" si="35"/>
        <v>0</v>
      </c>
      <c r="AF57" s="70">
        <f t="shared" ca="1" si="36"/>
        <v>0</v>
      </c>
      <c r="AG57" s="83"/>
    </row>
    <row r="58" spans="1:33" x14ac:dyDescent="0.25">
      <c r="A58" s="67">
        <f t="shared" si="37"/>
        <v>54316</v>
      </c>
      <c r="B58" s="68">
        <f t="shared" si="38"/>
        <v>0</v>
      </c>
      <c r="C58" s="68">
        <f t="shared" si="16"/>
        <v>0</v>
      </c>
      <c r="D58" s="68">
        <f t="shared" si="28"/>
        <v>0</v>
      </c>
      <c r="E58" s="66">
        <f t="shared" si="44"/>
        <v>0</v>
      </c>
      <c r="F58" s="66"/>
      <c r="G58" s="66"/>
      <c r="H58" s="66">
        <f t="shared" ca="1" si="12"/>
        <v>27300</v>
      </c>
      <c r="I58" s="66">
        <f t="shared" si="29"/>
        <v>0</v>
      </c>
      <c r="J58" s="153">
        <f>MAX(MIN(IF(MONTH($A58)=PRIN_MATURITY,IF(ISNA(VLOOKUP(DATE(YEAR($A58),PRIN_MATURITY,PRIN_MATURITY_DAY_SUB),Summary!$D$12:$CJ$57,COLUMNS(Summary!$D$12:$CJ$12))),0,VLOOKUP(DATE(YEAR($A58),PRIN_MATURITY,PRIN_MATURITY_DAY_SUB),Summary!$D$12:$CJ$57,COLUMNS(Summary!$D$12:$CJ$12))),0),$I58),0)</f>
        <v>0</v>
      </c>
      <c r="K58" s="66">
        <f t="shared" ca="1" si="30"/>
        <v>0</v>
      </c>
      <c r="L58" s="154">
        <f t="shared" ca="1" si="3"/>
        <v>0</v>
      </c>
      <c r="M58" s="66">
        <f t="shared" ca="1" si="43"/>
        <v>0</v>
      </c>
      <c r="N58" s="66">
        <f ca="1">$G58+$J58+$L58</f>
        <v>0</v>
      </c>
      <c r="O58" s="66">
        <f t="shared" ca="1" si="14"/>
        <v>27300</v>
      </c>
      <c r="P58" s="70">
        <f t="shared" si="32"/>
        <v>0</v>
      </c>
      <c r="Q58" s="66"/>
      <c r="R58" s="85"/>
      <c r="S58" s="66">
        <f t="shared" ca="1" si="33"/>
        <v>27300</v>
      </c>
      <c r="T58" s="70">
        <f t="shared" si="34"/>
        <v>0</v>
      </c>
      <c r="U58" s="70">
        <f ca="1">$G$97-SUM($G$11:G58)</f>
        <v>734000</v>
      </c>
      <c r="W58" s="68">
        <f t="shared" si="41"/>
        <v>0</v>
      </c>
      <c r="Z58" s="83">
        <f>IF(MONTH($A58)=PRIN_MATURITY,IF(ISNA(VLOOKUP(DATE(YEAR($A58),PRIN_MATURITY,PRIN_MATURITY_DAY_SENIOR),Summary!$D$14:$CJ$56,COLUMNS(Summary!$D$13:$CJ$15),FALSE))=TRUE,0,VLOOKUP(DATE(YEAR($A58),PRIN_MATURITY,PRIN_MATURITY_DAY_SENIOR),Summary!$D$13:$CJ$56,COLUMNS(Summary!$D$13:$CJ$15),FALSE)),0)</f>
        <v>0</v>
      </c>
      <c r="AA58" s="84">
        <f>IF(ISERROR(IF(ISNA(VLOOKUP($A58,Summary!$D$13:$CJ$54,COLUMNS(Summary!$D$13:$CJ$15),FALSE))=TRUE,0,VLOOKUP($A58,Summary!$D$14:$CJ$54,COLUMNS(Summary!$D$13:$CJ$15),FALSE))/T58),0,IF(ISNA(VLOOKUP($A58,Summary!$C$13:$CJ$54,COLUMNS(Summary!$D$13:$CJ$15)))=TRUE,0,VLOOKUP($A58,Summary!$D$13:$CJ$54,COLUMNS(Summary!$D$13:$CJ$15)))/T58)</f>
        <v>0</v>
      </c>
      <c r="AB58" s="72" t="str">
        <f t="shared" si="39"/>
        <v/>
      </c>
      <c r="AC58" s="83">
        <f t="shared" ca="1" si="42"/>
        <v>0</v>
      </c>
      <c r="AE58" s="83">
        <f t="shared" si="35"/>
        <v>0</v>
      </c>
      <c r="AF58" s="70">
        <f t="shared" ca="1" si="36"/>
        <v>0</v>
      </c>
      <c r="AG58" s="83"/>
    </row>
    <row r="59" spans="1:33" x14ac:dyDescent="0.25">
      <c r="A59" s="67">
        <f t="shared" si="37"/>
        <v>54497</v>
      </c>
      <c r="B59" s="68">
        <f t="shared" si="38"/>
        <v>8.1250000000000003E-2</v>
      </c>
      <c r="C59" s="68">
        <f t="shared" si="16"/>
        <v>8.1250000000000003E-2</v>
      </c>
      <c r="D59" s="68">
        <f t="shared" si="28"/>
        <v>1</v>
      </c>
      <c r="E59" s="66">
        <f t="shared" si="44"/>
        <v>0</v>
      </c>
      <c r="F59" s="66"/>
      <c r="G59" s="66"/>
      <c r="H59" s="66">
        <f t="shared" ca="1" si="12"/>
        <v>27300</v>
      </c>
      <c r="I59" s="66">
        <f t="shared" ca="1" si="29"/>
        <v>54600</v>
      </c>
      <c r="J59" s="153">
        <f ca="1">MAX(MIN(IF(MONTH($A59)=PRIN_MATURITY,IF(ISNA(VLOOKUP(DATE(YEAR($A59),PRIN_MATURITY,PRIN_MATURITY_DAY_SUB),Summary!$D$12:$CJ$57,COLUMNS(Summary!$D$12:$CJ$12))),0,VLOOKUP(DATE(YEAR($A59),PRIN_MATURITY,PRIN_MATURITY_DAY_SUB),Summary!$D$12:$CJ$57,COLUMNS(Summary!$D$12:$CJ$12))),0),$I59),0)</f>
        <v>54600</v>
      </c>
      <c r="K59" s="66">
        <f t="shared" ca="1" si="30"/>
        <v>0</v>
      </c>
      <c r="L59" s="154">
        <f t="shared" ca="1" si="3"/>
        <v>0</v>
      </c>
      <c r="M59" s="66">
        <f t="shared" ca="1" si="43"/>
        <v>0</v>
      </c>
      <c r="N59" s="66">
        <f t="shared" ca="1" si="31"/>
        <v>54600</v>
      </c>
      <c r="O59" s="66">
        <f t="shared" ca="1" si="14"/>
        <v>27300</v>
      </c>
      <c r="P59" s="70">
        <f t="shared" ca="1" si="32"/>
        <v>54600</v>
      </c>
      <c r="Q59" s="66"/>
      <c r="R59" s="85"/>
      <c r="S59" s="66">
        <f t="shared" ca="1" si="33"/>
        <v>27300</v>
      </c>
      <c r="T59" s="70">
        <f t="shared" ca="1" si="34"/>
        <v>54600</v>
      </c>
      <c r="U59" s="70">
        <f ca="1">$G$97-SUM($G$11:G59)</f>
        <v>734000</v>
      </c>
      <c r="W59" s="68">
        <f t="shared" si="41"/>
        <v>1</v>
      </c>
      <c r="Z59" s="83">
        <f ca="1">IF(MONTH($A59)=PRIN_MATURITY,IF(ISNA(VLOOKUP(DATE(YEAR($A59),PRIN_MATURITY,PRIN_MATURITY_DAY_SENIOR),Summary!$D$14:$CJ$56,COLUMNS(Summary!$D$13:$CJ$15),FALSE))=TRUE,0,VLOOKUP(DATE(YEAR($A59),PRIN_MATURITY,PRIN_MATURITY_DAY_SENIOR),Summary!$D$13:$CJ$56,COLUMNS(Summary!$D$13:$CJ$15),FALSE)),0)</f>
        <v>139474.17110909196</v>
      </c>
      <c r="AA59" s="84">
        <f ca="1">IF(ISERROR(IF(ISNA(VLOOKUP($A59,Summary!$D$13:$CJ$54,COLUMNS(Summary!$D$13:$CJ$15),FALSE))=TRUE,0,VLOOKUP($A59,Summary!$D$14:$CJ$54,COLUMNS(Summary!$D$13:$CJ$15),FALSE))/T59),0,IF(ISNA(VLOOKUP($A59,Summary!$C$13:$CJ$54,COLUMNS(Summary!$D$13:$CJ$15)))=TRUE,0,VLOOKUP($A59,Summary!$D$13:$CJ$54,COLUMNS(Summary!$D$13:$CJ$15)))/T59)</f>
        <v>2.5544719983350177</v>
      </c>
      <c r="AB59" s="72">
        <f t="shared" si="39"/>
        <v>1</v>
      </c>
      <c r="AC59" s="83">
        <f t="shared" ca="1" si="42"/>
        <v>84874.171109091956</v>
      </c>
      <c r="AE59" s="83">
        <f t="shared" si="35"/>
        <v>0</v>
      </c>
      <c r="AF59" s="70">
        <f t="shared" ca="1" si="36"/>
        <v>0</v>
      </c>
      <c r="AG59" s="83"/>
    </row>
    <row r="60" spans="1:33" x14ac:dyDescent="0.25">
      <c r="A60" s="67">
        <f t="shared" si="37"/>
        <v>54681</v>
      </c>
      <c r="B60" s="68">
        <f t="shared" si="38"/>
        <v>0</v>
      </c>
      <c r="C60" s="68">
        <f t="shared" si="16"/>
        <v>0</v>
      </c>
      <c r="D60" s="68">
        <f t="shared" si="28"/>
        <v>0</v>
      </c>
      <c r="E60" s="66">
        <f t="shared" si="44"/>
        <v>0</v>
      </c>
      <c r="F60" s="66"/>
      <c r="G60" s="66"/>
      <c r="H60" s="66">
        <f t="shared" ca="1" si="12"/>
        <v>27300</v>
      </c>
      <c r="I60" s="66">
        <f t="shared" si="29"/>
        <v>0</v>
      </c>
      <c r="J60" s="153">
        <f>MAX(MIN(IF(MONTH($A60)=PRIN_MATURITY,IF(ISNA(VLOOKUP(DATE(YEAR($A60),PRIN_MATURITY,PRIN_MATURITY_DAY_SUB),Summary!$D$12:$CJ$57,COLUMNS(Summary!$D$12:$CJ$12))),0,VLOOKUP(DATE(YEAR($A60),PRIN_MATURITY,PRIN_MATURITY_DAY_SUB),Summary!$D$12:$CJ$57,COLUMNS(Summary!$D$12:$CJ$12))),0),$I60),0)</f>
        <v>0</v>
      </c>
      <c r="K60" s="66">
        <f t="shared" ca="1" si="30"/>
        <v>0</v>
      </c>
      <c r="L60" s="154">
        <f t="shared" ca="1" si="3"/>
        <v>0</v>
      </c>
      <c r="M60" s="66">
        <f t="shared" ca="1" si="43"/>
        <v>0</v>
      </c>
      <c r="N60" s="66">
        <f t="shared" ca="1" si="31"/>
        <v>0</v>
      </c>
      <c r="O60" s="66">
        <f t="shared" ca="1" si="14"/>
        <v>27300</v>
      </c>
      <c r="P60" s="70">
        <f t="shared" si="32"/>
        <v>0</v>
      </c>
      <c r="Q60" s="66"/>
      <c r="R60" s="85"/>
      <c r="S60" s="66">
        <f t="shared" ca="1" si="33"/>
        <v>27300</v>
      </c>
      <c r="T60" s="70">
        <f t="shared" si="34"/>
        <v>0</v>
      </c>
      <c r="U60" s="70">
        <f ca="1">$G$97-SUM($G$11:G60)</f>
        <v>734000</v>
      </c>
      <c r="W60" s="68">
        <f t="shared" si="41"/>
        <v>0</v>
      </c>
      <c r="Z60" s="83">
        <f>IF(MONTH($A60)=PRIN_MATURITY,IF(ISNA(VLOOKUP(DATE(YEAR($A60),PRIN_MATURITY,PRIN_MATURITY_DAY_SENIOR),Summary!$D$14:$CJ$56,COLUMNS(Summary!$D$13:$CJ$15),FALSE))=TRUE,0,VLOOKUP(DATE(YEAR($A60),PRIN_MATURITY,PRIN_MATURITY_DAY_SENIOR),Summary!$D$13:$CJ$56,COLUMNS(Summary!$D$13:$CJ$15),FALSE)),0)</f>
        <v>0</v>
      </c>
      <c r="AA60" s="84">
        <f>IF(ISERROR(IF(ISNA(VLOOKUP($A60,Summary!$D$13:$CJ$54,COLUMNS(Summary!$D$13:$CJ$15),FALSE))=TRUE,0,VLOOKUP($A60,Summary!$D$14:$CJ$54,COLUMNS(Summary!$D$13:$CJ$15),FALSE))/T60),0,IF(ISNA(VLOOKUP($A60,Summary!$C$13:$CJ$54,COLUMNS(Summary!$D$13:$CJ$15)))=TRUE,0,VLOOKUP($A60,Summary!$D$13:$CJ$54,COLUMNS(Summary!$D$13:$CJ$15)))/T60)</f>
        <v>0</v>
      </c>
      <c r="AB60" s="72" t="str">
        <f t="shared" si="39"/>
        <v/>
      </c>
      <c r="AC60" s="83">
        <f t="shared" ca="1" si="42"/>
        <v>0</v>
      </c>
      <c r="AE60" s="83">
        <f t="shared" si="35"/>
        <v>0</v>
      </c>
      <c r="AF60" s="70">
        <f t="shared" ca="1" si="36"/>
        <v>0</v>
      </c>
      <c r="AG60" s="83"/>
    </row>
    <row r="61" spans="1:33" x14ac:dyDescent="0.25">
      <c r="A61" s="67">
        <f t="shared" si="37"/>
        <v>54862</v>
      </c>
      <c r="B61" s="68">
        <f t="shared" si="38"/>
        <v>8.1250000000000003E-2</v>
      </c>
      <c r="C61" s="68">
        <f t="shared" si="16"/>
        <v>8.1250000000000003E-2</v>
      </c>
      <c r="D61" s="68">
        <f t="shared" si="28"/>
        <v>1</v>
      </c>
      <c r="E61" s="66">
        <f t="shared" si="44"/>
        <v>0</v>
      </c>
      <c r="F61" s="66"/>
      <c r="G61" s="66"/>
      <c r="H61" s="66">
        <f t="shared" ca="1" si="12"/>
        <v>27300</v>
      </c>
      <c r="I61" s="66">
        <f t="shared" ca="1" si="29"/>
        <v>54600</v>
      </c>
      <c r="J61" s="153">
        <f ca="1">MAX(MIN(IF(MONTH($A61)=PRIN_MATURITY,IF(ISNA(VLOOKUP(DATE(YEAR($A61),PRIN_MATURITY,PRIN_MATURITY_DAY_SUB),Summary!$D$12:$CJ$57,COLUMNS(Summary!$D$12:$CJ$12))),0,VLOOKUP(DATE(YEAR($A61),PRIN_MATURITY,PRIN_MATURITY_DAY_SUB),Summary!$D$12:$CJ$57,COLUMNS(Summary!$D$12:$CJ$12))),0),$I61),0)</f>
        <v>54600</v>
      </c>
      <c r="K61" s="66">
        <f t="shared" ca="1" si="30"/>
        <v>0</v>
      </c>
      <c r="L61" s="154">
        <f t="shared" ca="1" si="3"/>
        <v>0</v>
      </c>
      <c r="M61" s="66">
        <f t="shared" ca="1" si="43"/>
        <v>0</v>
      </c>
      <c r="N61" s="66">
        <f t="shared" ca="1" si="31"/>
        <v>54600</v>
      </c>
      <c r="O61" s="66">
        <f t="shared" ca="1" si="14"/>
        <v>27300</v>
      </c>
      <c r="P61" s="70">
        <f t="shared" ca="1" si="32"/>
        <v>54600</v>
      </c>
      <c r="Q61" s="66"/>
      <c r="R61" s="85"/>
      <c r="S61" s="66">
        <f t="shared" ca="1" si="33"/>
        <v>27300</v>
      </c>
      <c r="T61" s="70">
        <f t="shared" ca="1" si="34"/>
        <v>54600</v>
      </c>
      <c r="U61" s="70">
        <f ca="1">$G$97-SUM($G$11:G61)</f>
        <v>734000</v>
      </c>
      <c r="W61" s="68">
        <f t="shared" si="41"/>
        <v>1</v>
      </c>
      <c r="Z61" s="83">
        <f ca="1">IF(MONTH($A61)=PRIN_MATURITY,IF(ISNA(VLOOKUP(DATE(YEAR($A61),PRIN_MATURITY,PRIN_MATURITY_DAY_SENIOR),Summary!$D$14:$CJ$56,COLUMNS(Summary!$D$13:$CJ$15),FALSE))=TRUE,0,VLOOKUP(DATE(YEAR($A61),PRIN_MATURITY,PRIN_MATURITY_DAY_SENIOR),Summary!$D$13:$CJ$56,COLUMNS(Summary!$D$13:$CJ$15),FALSE)),0)</f>
        <v>142916.35215957463</v>
      </c>
      <c r="AA61" s="84">
        <f ca="1">IF(ISERROR(IF(ISNA(VLOOKUP($A61,Summary!$D$13:$CJ$54,COLUMNS(Summary!$D$13:$CJ$15),FALSE))=TRUE,0,VLOOKUP($A61,Summary!$D$14:$CJ$54,COLUMNS(Summary!$D$13:$CJ$15),FALSE))/T61),0,IF(ISNA(VLOOKUP($A61,Summary!$C$13:$CJ$54,COLUMNS(Summary!$D$13:$CJ$15)))=TRUE,0,VLOOKUP($A61,Summary!$D$13:$CJ$54,COLUMNS(Summary!$D$13:$CJ$15)))/T61)</f>
        <v>2.6175156073182166</v>
      </c>
      <c r="AB61" s="72">
        <f t="shared" si="39"/>
        <v>1</v>
      </c>
      <c r="AC61" s="83">
        <f t="shared" ca="1" si="42"/>
        <v>88316.352159574628</v>
      </c>
      <c r="AE61" s="83">
        <f t="shared" si="35"/>
        <v>0</v>
      </c>
      <c r="AF61" s="70">
        <f t="shared" ca="1" si="36"/>
        <v>0</v>
      </c>
      <c r="AG61" s="83"/>
    </row>
    <row r="62" spans="1:33" x14ac:dyDescent="0.25">
      <c r="A62" s="67">
        <f t="shared" si="37"/>
        <v>55046</v>
      </c>
      <c r="B62" s="68">
        <f t="shared" si="38"/>
        <v>0</v>
      </c>
      <c r="C62" s="68">
        <f t="shared" si="16"/>
        <v>0</v>
      </c>
      <c r="D62" s="68">
        <f t="shared" si="28"/>
        <v>0</v>
      </c>
      <c r="E62" s="66">
        <f t="shared" si="44"/>
        <v>0</v>
      </c>
      <c r="F62" s="66"/>
      <c r="G62" s="345"/>
      <c r="H62" s="66">
        <f t="shared" ca="1" si="12"/>
        <v>27300</v>
      </c>
      <c r="I62" s="66">
        <f t="shared" si="29"/>
        <v>0</v>
      </c>
      <c r="J62" s="153">
        <f>MAX(MIN(IF(MONTH($A62)=PRIN_MATURITY,IF(ISNA(VLOOKUP(DATE(YEAR($A62),PRIN_MATURITY,PRIN_MATURITY_DAY_SUB),Summary!$D$12:$CJ$57,COLUMNS(Summary!$D$12:$CJ$12))),0,VLOOKUP(DATE(YEAR($A62),PRIN_MATURITY,PRIN_MATURITY_DAY_SUB),Summary!$D$12:$CJ$57,COLUMNS(Summary!$D$12:$CJ$12))),0),$I62),0)</f>
        <v>0</v>
      </c>
      <c r="K62" s="66">
        <f t="shared" ca="1" si="30"/>
        <v>0</v>
      </c>
      <c r="L62" s="154">
        <f t="shared" ca="1" si="3"/>
        <v>0</v>
      </c>
      <c r="M62" s="66">
        <f t="shared" ca="1" si="43"/>
        <v>0</v>
      </c>
      <c r="N62" s="66">
        <f ca="1">$G62+$J62+$L62</f>
        <v>0</v>
      </c>
      <c r="O62" s="66">
        <f t="shared" ca="1" si="14"/>
        <v>27300</v>
      </c>
      <c r="P62" s="70">
        <f t="shared" si="32"/>
        <v>0</v>
      </c>
      <c r="Q62" s="66"/>
      <c r="R62" s="85"/>
      <c r="S62" s="66">
        <f t="shared" ca="1" si="33"/>
        <v>27300</v>
      </c>
      <c r="T62" s="70">
        <f t="shared" si="34"/>
        <v>0</v>
      </c>
      <c r="U62" s="70">
        <f ca="1">$G$97-SUM($G$11:G62)</f>
        <v>734000</v>
      </c>
      <c r="W62" s="68">
        <f t="shared" si="41"/>
        <v>0</v>
      </c>
      <c r="Z62" s="83">
        <f>IF(MONTH($A62)=PRIN_MATURITY,IF(ISNA(VLOOKUP(DATE(YEAR($A62),PRIN_MATURITY,PRIN_MATURITY_DAY_SENIOR),Summary!$D$14:$CJ$56,COLUMNS(Summary!$D$13:$CJ$15),FALSE))=TRUE,0,VLOOKUP(DATE(YEAR($A62),PRIN_MATURITY,PRIN_MATURITY_DAY_SENIOR),Summary!$D$13:$CJ$56,COLUMNS(Summary!$D$13:$CJ$15),FALSE)),0)</f>
        <v>0</v>
      </c>
      <c r="AA62" s="84">
        <f>IF(ISERROR(IF(ISNA(VLOOKUP($A62,Summary!$D$13:$CJ$54,COLUMNS(Summary!$D$13:$CJ$15),FALSE))=TRUE,0,VLOOKUP($A62,Summary!$D$14:$CJ$54,COLUMNS(Summary!$D$13:$CJ$15),FALSE))/T62),0,IF(ISNA(VLOOKUP($A62,Summary!$C$13:$CJ$54,COLUMNS(Summary!$D$13:$CJ$15)))=TRUE,0,VLOOKUP($A62,Summary!$D$13:$CJ$54,COLUMNS(Summary!$D$13:$CJ$15)))/T62)</f>
        <v>0</v>
      </c>
      <c r="AB62" s="72" t="str">
        <f t="shared" si="39"/>
        <v/>
      </c>
      <c r="AC62" s="83">
        <f t="shared" ca="1" si="42"/>
        <v>0</v>
      </c>
      <c r="AE62" s="83">
        <f t="shared" si="35"/>
        <v>0</v>
      </c>
      <c r="AF62" s="70">
        <f t="shared" ca="1" si="36"/>
        <v>0</v>
      </c>
      <c r="AG62" s="83"/>
    </row>
    <row r="63" spans="1:33" x14ac:dyDescent="0.25">
      <c r="A63" s="67">
        <f t="shared" si="37"/>
        <v>55227</v>
      </c>
      <c r="B63" s="68">
        <f t="shared" si="38"/>
        <v>8.1250000000000003E-2</v>
      </c>
      <c r="C63" s="68">
        <f t="shared" si="16"/>
        <v>8.1250000000000003E-2</v>
      </c>
      <c r="D63" s="68">
        <f t="shared" si="28"/>
        <v>1</v>
      </c>
      <c r="E63" s="66">
        <f t="shared" si="44"/>
        <v>0</v>
      </c>
      <c r="F63" s="66"/>
      <c r="G63" s="66"/>
      <c r="H63" s="66">
        <f t="shared" ca="1" si="12"/>
        <v>27300</v>
      </c>
      <c r="I63" s="66">
        <f t="shared" ca="1" si="29"/>
        <v>54600</v>
      </c>
      <c r="J63" s="153">
        <f ca="1">MAX(MIN(IF(MONTH($A63)=PRIN_MATURITY,IF(ISNA(VLOOKUP(DATE(YEAR($A63),PRIN_MATURITY,PRIN_MATURITY_DAY_SUB),Summary!$D$12:$CJ$57,COLUMNS(Summary!$D$12:$CJ$12))),0,VLOOKUP(DATE(YEAR($A63),PRIN_MATURITY,PRIN_MATURITY_DAY_SUB),Summary!$D$12:$CJ$57,COLUMNS(Summary!$D$12:$CJ$12))),0),$I63),0)</f>
        <v>54600</v>
      </c>
      <c r="K63" s="66">
        <f t="shared" ca="1" si="30"/>
        <v>0</v>
      </c>
      <c r="L63" s="154">
        <f t="shared" ca="1" si="3"/>
        <v>0</v>
      </c>
      <c r="M63" s="66">
        <f t="shared" ca="1" si="43"/>
        <v>0</v>
      </c>
      <c r="N63" s="66">
        <f t="shared" ca="1" si="31"/>
        <v>54600</v>
      </c>
      <c r="O63" s="66">
        <f t="shared" ca="1" si="14"/>
        <v>27300</v>
      </c>
      <c r="P63" s="70">
        <f t="shared" ca="1" si="32"/>
        <v>54600</v>
      </c>
      <c r="Q63" s="66"/>
      <c r="R63" s="85"/>
      <c r="S63" s="66">
        <f t="shared" ca="1" si="33"/>
        <v>27300</v>
      </c>
      <c r="T63" s="70">
        <f t="shared" ca="1" si="34"/>
        <v>54600</v>
      </c>
      <c r="U63" s="70">
        <f ca="1">$G$97-SUM($G$11:G63)</f>
        <v>734000</v>
      </c>
      <c r="W63" s="68">
        <f t="shared" si="41"/>
        <v>1</v>
      </c>
      <c r="Z63" s="83">
        <f ca="1">IF(MONTH($A63)=PRIN_MATURITY,IF(ISNA(VLOOKUP(DATE(YEAR($A63),PRIN_MATURITY,PRIN_MATURITY_DAY_SENIOR),Summary!$D$14:$CJ$56,COLUMNS(Summary!$D$13:$CJ$15),FALSE))=TRUE,0,VLOOKUP(DATE(YEAR($A63),PRIN_MATURITY,PRIN_MATURITY_DAY_SENIOR),Summary!$D$13:$CJ$56,COLUMNS(Summary!$D$13:$CJ$15),FALSE)),0)</f>
        <v>142569.42408429564</v>
      </c>
      <c r="AA63" s="84">
        <f ca="1">IF(ISERROR(IF(ISNA(VLOOKUP($A63,Summary!$D$13:$CJ$54,COLUMNS(Summary!$D$13:$CJ$15),FALSE))=TRUE,0,VLOOKUP($A63,Summary!$D$14:$CJ$54,COLUMNS(Summary!$D$13:$CJ$15),FALSE))/T63),0,IF(ISNA(VLOOKUP($A63,Summary!$C$13:$CJ$54,COLUMNS(Summary!$D$13:$CJ$15)))=TRUE,0,VLOOKUP($A63,Summary!$D$13:$CJ$54,COLUMNS(Summary!$D$13:$CJ$15)))/T63)</f>
        <v>2.6111616132654878</v>
      </c>
      <c r="AB63" s="72">
        <f t="shared" si="39"/>
        <v>1</v>
      </c>
      <c r="AC63" s="83">
        <f t="shared" ca="1" si="42"/>
        <v>87969.424084295635</v>
      </c>
      <c r="AE63" s="83">
        <f t="shared" si="35"/>
        <v>0</v>
      </c>
      <c r="AF63" s="70">
        <f t="shared" ca="1" si="36"/>
        <v>0</v>
      </c>
      <c r="AG63" s="83"/>
    </row>
    <row r="64" spans="1:33" x14ac:dyDescent="0.25">
      <c r="A64" s="67">
        <f t="shared" si="37"/>
        <v>55411</v>
      </c>
      <c r="B64" s="68">
        <f t="shared" si="38"/>
        <v>0</v>
      </c>
      <c r="C64" s="68">
        <f t="shared" si="16"/>
        <v>0</v>
      </c>
      <c r="D64" s="68">
        <f t="shared" si="28"/>
        <v>0</v>
      </c>
      <c r="E64" s="66">
        <f t="shared" si="44"/>
        <v>0</v>
      </c>
      <c r="F64" s="66"/>
      <c r="G64" s="280"/>
      <c r="H64" s="66">
        <f t="shared" ca="1" si="12"/>
        <v>27300</v>
      </c>
      <c r="I64" s="66">
        <f t="shared" si="29"/>
        <v>0</v>
      </c>
      <c r="J64" s="153">
        <f>MAX(MIN(IF(MONTH($A64)=PRIN_MATURITY,IF(ISNA(VLOOKUP(DATE(YEAR($A64),PRIN_MATURITY,PRIN_MATURITY_DAY_SUB),Summary!$D$12:$CJ$57,COLUMNS(Summary!$D$12:$CJ$12))),0,VLOOKUP(DATE(YEAR($A64),PRIN_MATURITY,PRIN_MATURITY_DAY_SUB),Summary!$D$12:$CJ$57,COLUMNS(Summary!$D$12:$CJ$12))),0),$I64),0)</f>
        <v>0</v>
      </c>
      <c r="K64" s="66">
        <f t="shared" ca="1" si="30"/>
        <v>0</v>
      </c>
      <c r="L64" s="154">
        <f t="shared" ca="1" si="3"/>
        <v>0</v>
      </c>
      <c r="M64" s="66">
        <f t="shared" ca="1" si="43"/>
        <v>0</v>
      </c>
      <c r="N64" s="66">
        <f t="shared" ca="1" si="31"/>
        <v>0</v>
      </c>
      <c r="O64" s="66">
        <f t="shared" ca="1" si="14"/>
        <v>27300</v>
      </c>
      <c r="P64" s="70">
        <f t="shared" si="32"/>
        <v>0</v>
      </c>
      <c r="Q64" s="66"/>
      <c r="R64" s="85"/>
      <c r="S64" s="66">
        <f t="shared" ca="1" si="33"/>
        <v>27300</v>
      </c>
      <c r="T64" s="70">
        <f t="shared" si="34"/>
        <v>0</v>
      </c>
      <c r="U64" s="70">
        <f ca="1">$G$97-SUM($G$11:G64)</f>
        <v>734000</v>
      </c>
      <c r="W64" s="68">
        <f t="shared" si="41"/>
        <v>0</v>
      </c>
      <c r="Z64" s="83">
        <f>IF(MONTH($A64)=PRIN_MATURITY,IF(ISNA(VLOOKUP(DATE(YEAR($A64),PRIN_MATURITY,PRIN_MATURITY_DAY_SENIOR),Summary!$D$14:$CJ$56,COLUMNS(Summary!$D$13:$CJ$15),FALSE))=TRUE,0,VLOOKUP(DATE(YEAR($A64),PRIN_MATURITY,PRIN_MATURITY_DAY_SENIOR),Summary!$D$13:$CJ$56,COLUMNS(Summary!$D$13:$CJ$15),FALSE)),0)</f>
        <v>0</v>
      </c>
      <c r="AA64" s="84">
        <f>IF(ISERROR(IF(ISNA(VLOOKUP($A64,Summary!$D$13:$CJ$54,COLUMNS(Summary!$D$13:$CJ$15),FALSE))=TRUE,0,VLOOKUP($A64,Summary!$D$14:$CJ$54,COLUMNS(Summary!$D$13:$CJ$15),FALSE))/T64),0,IF(ISNA(VLOOKUP($A64,Summary!$C$13:$CJ$54,COLUMNS(Summary!$D$13:$CJ$15)))=TRUE,0,VLOOKUP($A64,Summary!$D$13:$CJ$54,COLUMNS(Summary!$D$13:$CJ$15)))/T64)</f>
        <v>0</v>
      </c>
      <c r="AB64" s="72" t="str">
        <f t="shared" si="39"/>
        <v/>
      </c>
      <c r="AC64" s="83">
        <f t="shared" ca="1" si="42"/>
        <v>0</v>
      </c>
      <c r="AE64" s="83">
        <f t="shared" si="35"/>
        <v>0</v>
      </c>
      <c r="AF64" s="70">
        <f t="shared" ca="1" si="36"/>
        <v>0</v>
      </c>
      <c r="AG64" s="83"/>
    </row>
    <row r="65" spans="1:33" x14ac:dyDescent="0.25">
      <c r="A65" s="67">
        <f t="shared" si="37"/>
        <v>55593</v>
      </c>
      <c r="B65" s="68">
        <f t="shared" si="38"/>
        <v>8.1250000000000003E-2</v>
      </c>
      <c r="C65" s="68">
        <f t="shared" si="16"/>
        <v>8.1250000000000003E-2</v>
      </c>
      <c r="D65" s="68">
        <f t="shared" si="28"/>
        <v>1</v>
      </c>
      <c r="E65" s="66">
        <f t="shared" si="44"/>
        <v>0</v>
      </c>
      <c r="F65" s="66"/>
      <c r="G65" s="66"/>
      <c r="H65" s="66">
        <f t="shared" ca="1" si="12"/>
        <v>27300</v>
      </c>
      <c r="I65" s="66">
        <f t="shared" ca="1" si="29"/>
        <v>54600</v>
      </c>
      <c r="J65" s="153">
        <f ca="1">MAX(MIN(IF(MONTH($A65)=PRIN_MATURITY,IF(ISNA(VLOOKUP(DATE(YEAR($A65),PRIN_MATURITY,PRIN_MATURITY_DAY_SUB),Summary!$D$12:$CJ$57,COLUMNS(Summary!$D$12:$CJ$12))),0,VLOOKUP(DATE(YEAR($A65),PRIN_MATURITY,PRIN_MATURITY_DAY_SUB),Summary!$D$12:$CJ$57,COLUMNS(Summary!$D$12:$CJ$12))),0),$I65),0)</f>
        <v>54600</v>
      </c>
      <c r="K65" s="66">
        <f t="shared" ca="1" si="30"/>
        <v>0</v>
      </c>
      <c r="L65" s="154">
        <f t="shared" ca="1" si="3"/>
        <v>0</v>
      </c>
      <c r="M65" s="66">
        <f t="shared" ca="1" si="43"/>
        <v>0</v>
      </c>
      <c r="N65" s="66">
        <f t="shared" ca="1" si="31"/>
        <v>54600</v>
      </c>
      <c r="O65" s="66">
        <f t="shared" ca="1" si="14"/>
        <v>27300</v>
      </c>
      <c r="P65" s="70">
        <f t="shared" ca="1" si="32"/>
        <v>54600</v>
      </c>
      <c r="Q65" s="66"/>
      <c r="R65" s="85"/>
      <c r="S65" s="66">
        <f t="shared" ca="1" si="33"/>
        <v>27300</v>
      </c>
      <c r="T65" s="70">
        <f t="shared" ca="1" si="34"/>
        <v>54600</v>
      </c>
      <c r="U65" s="70">
        <f ca="1">$G$97-SUM($G$11:G65)</f>
        <v>734000</v>
      </c>
      <c r="W65" s="68">
        <f t="shared" si="41"/>
        <v>1</v>
      </c>
      <c r="Z65" s="83">
        <f ca="1">IF(MONTH($A65)=PRIN_MATURITY,IF(ISNA(VLOOKUP(DATE(YEAR($A65),PRIN_MATURITY,PRIN_MATURITY_DAY_SENIOR),Summary!$D$14:$CJ$56,COLUMNS(Summary!$D$13:$CJ$15),FALSE))=TRUE,0,VLOOKUP(DATE(YEAR($A65),PRIN_MATURITY,PRIN_MATURITY_DAY_SENIOR),Summary!$D$13:$CJ$56,COLUMNS(Summary!$D$13:$CJ$15),FALSE)),0)</f>
        <v>143727.16767327266</v>
      </c>
      <c r="AA65" s="84">
        <f ca="1">IF(ISERROR(IF(ISNA(VLOOKUP($A65,Summary!$D$13:$CJ$54,COLUMNS(Summary!$D$13:$CJ$15),FALSE))=TRUE,0,VLOOKUP($A65,Summary!$D$14:$CJ$54,COLUMNS(Summary!$D$13:$CJ$15),FALSE))/T65),0,IF(ISNA(VLOOKUP($A65,Summary!$C$13:$CJ$54,COLUMNS(Summary!$D$13:$CJ$15)))=TRUE,0,VLOOKUP($A65,Summary!$D$13:$CJ$54,COLUMNS(Summary!$D$13:$CJ$15)))/T65)</f>
        <v>2.6323657083016969</v>
      </c>
      <c r="AB65" s="72">
        <f t="shared" si="39"/>
        <v>1</v>
      </c>
      <c r="AC65" s="83">
        <f t="shared" ca="1" si="42"/>
        <v>89127.167673272663</v>
      </c>
      <c r="AE65" s="83">
        <f t="shared" si="35"/>
        <v>0</v>
      </c>
      <c r="AF65" s="70">
        <f t="shared" ca="1" si="36"/>
        <v>0</v>
      </c>
      <c r="AG65" s="83"/>
    </row>
    <row r="66" spans="1:33" x14ac:dyDescent="0.25">
      <c r="A66" s="67">
        <f t="shared" si="37"/>
        <v>55777</v>
      </c>
      <c r="B66" s="68">
        <f t="shared" si="38"/>
        <v>0</v>
      </c>
      <c r="C66" s="68">
        <f t="shared" si="16"/>
        <v>0</v>
      </c>
      <c r="D66" s="68">
        <f t="shared" si="28"/>
        <v>0</v>
      </c>
      <c r="E66" s="66">
        <f t="shared" si="44"/>
        <v>0</v>
      </c>
      <c r="F66" s="66"/>
      <c r="G66" s="66"/>
      <c r="H66" s="66">
        <f t="shared" ca="1" si="12"/>
        <v>27300</v>
      </c>
      <c r="I66" s="66">
        <f t="shared" si="29"/>
        <v>0</v>
      </c>
      <c r="J66" s="153">
        <f>MAX(MIN(IF(MONTH($A66)=PRIN_MATURITY,IF(ISNA(VLOOKUP(DATE(YEAR($A66),PRIN_MATURITY,PRIN_MATURITY_DAY_SUB),Summary!$D$12:$CJ$57,COLUMNS(Summary!$D$12:$CJ$12))),0,VLOOKUP(DATE(YEAR($A66),PRIN_MATURITY,PRIN_MATURITY_DAY_SUB),Summary!$D$12:$CJ$57,COLUMNS(Summary!$D$12:$CJ$12))),0),$I66),0)</f>
        <v>0</v>
      </c>
      <c r="K66" s="66">
        <f t="shared" ca="1" si="30"/>
        <v>0</v>
      </c>
      <c r="L66" s="154">
        <f t="shared" ca="1" si="3"/>
        <v>0</v>
      </c>
      <c r="M66" s="66">
        <f t="shared" ca="1" si="43"/>
        <v>0</v>
      </c>
      <c r="N66" s="66">
        <f ca="1">$G66+$J66+$L66</f>
        <v>0</v>
      </c>
      <c r="O66" s="66">
        <f t="shared" ca="1" si="14"/>
        <v>27300</v>
      </c>
      <c r="P66" s="70">
        <f t="shared" si="32"/>
        <v>0</v>
      </c>
      <c r="Q66" s="66"/>
      <c r="R66" s="85"/>
      <c r="S66" s="66">
        <f t="shared" ca="1" si="33"/>
        <v>27300</v>
      </c>
      <c r="T66" s="70">
        <f t="shared" si="34"/>
        <v>0</v>
      </c>
      <c r="U66" s="70">
        <f ca="1">$G$97-SUM($G$11:G66)</f>
        <v>734000</v>
      </c>
      <c r="W66" s="68">
        <f t="shared" si="41"/>
        <v>0</v>
      </c>
      <c r="Z66" s="83">
        <f>IF(MONTH($A66)=PRIN_MATURITY,IF(ISNA(VLOOKUP(DATE(YEAR($A66),PRIN_MATURITY,PRIN_MATURITY_DAY_SENIOR),Summary!$D$14:$CJ$56,COLUMNS(Summary!$D$13:$CJ$15),FALSE))=TRUE,0,VLOOKUP(DATE(YEAR($A66),PRIN_MATURITY,PRIN_MATURITY_DAY_SENIOR),Summary!$D$13:$CJ$56,COLUMNS(Summary!$D$13:$CJ$15),FALSE)),0)</f>
        <v>0</v>
      </c>
      <c r="AA66" s="84">
        <f>IF(ISERROR(IF(ISNA(VLOOKUP($A66,Summary!$D$13:$CJ$54,COLUMNS(Summary!$D$13:$CJ$15),FALSE))=TRUE,0,VLOOKUP($A66,Summary!$D$14:$CJ$54,COLUMNS(Summary!$D$13:$CJ$15),FALSE))/T66),0,IF(ISNA(VLOOKUP($A66,Summary!$C$13:$CJ$54,COLUMNS(Summary!$D$13:$CJ$15)))=TRUE,0,VLOOKUP($A66,Summary!$D$13:$CJ$54,COLUMNS(Summary!$D$13:$CJ$15)))/T66)</f>
        <v>0</v>
      </c>
      <c r="AB66" s="72" t="str">
        <f t="shared" si="39"/>
        <v/>
      </c>
      <c r="AC66" s="83">
        <f t="shared" ca="1" si="42"/>
        <v>0</v>
      </c>
      <c r="AE66" s="83">
        <f t="shared" si="35"/>
        <v>0</v>
      </c>
      <c r="AF66" s="70">
        <f t="shared" ca="1" si="36"/>
        <v>0</v>
      </c>
      <c r="AG66" s="83"/>
    </row>
    <row r="67" spans="1:33" x14ac:dyDescent="0.25">
      <c r="A67" s="67">
        <f t="shared" si="37"/>
        <v>55958</v>
      </c>
      <c r="B67" s="68">
        <f t="shared" si="38"/>
        <v>8.1250000000000003E-2</v>
      </c>
      <c r="C67" s="68">
        <f t="shared" si="16"/>
        <v>8.1250000000000003E-2</v>
      </c>
      <c r="D67" s="68">
        <f t="shared" si="28"/>
        <v>1</v>
      </c>
      <c r="E67" s="66">
        <f t="shared" si="44"/>
        <v>0</v>
      </c>
      <c r="F67" s="66"/>
      <c r="G67" s="66"/>
      <c r="H67" s="66">
        <f t="shared" ca="1" si="12"/>
        <v>27300</v>
      </c>
      <c r="I67" s="66">
        <f t="shared" ca="1" si="29"/>
        <v>54600</v>
      </c>
      <c r="J67" s="153">
        <f ca="1">MAX(MIN(IF(MONTH($A67)=PRIN_MATURITY,IF(ISNA(VLOOKUP(DATE(YEAR($A67),PRIN_MATURITY,PRIN_MATURITY_DAY_SUB),Summary!$D$12:$CJ$57,COLUMNS(Summary!$D$12:$CJ$12))),0,VLOOKUP(DATE(YEAR($A67),PRIN_MATURITY,PRIN_MATURITY_DAY_SUB),Summary!$D$12:$CJ$57,COLUMNS(Summary!$D$12:$CJ$12))),0),$I67),0)</f>
        <v>54600</v>
      </c>
      <c r="K67" s="66">
        <f t="shared" ca="1" si="30"/>
        <v>0</v>
      </c>
      <c r="L67" s="154">
        <f t="shared" ca="1" si="3"/>
        <v>0</v>
      </c>
      <c r="M67" s="66">
        <f t="shared" ca="1" si="43"/>
        <v>0</v>
      </c>
      <c r="N67" s="66">
        <f t="shared" ca="1" si="31"/>
        <v>54600</v>
      </c>
      <c r="O67" s="66">
        <f t="shared" ca="1" si="14"/>
        <v>27300</v>
      </c>
      <c r="P67" s="70">
        <f t="shared" ca="1" si="32"/>
        <v>54600</v>
      </c>
      <c r="Q67" s="66"/>
      <c r="R67" s="85"/>
      <c r="S67" s="66">
        <f t="shared" ca="1" si="33"/>
        <v>27300</v>
      </c>
      <c r="T67" s="70">
        <f t="shared" ca="1" si="34"/>
        <v>54600</v>
      </c>
      <c r="U67" s="70">
        <f ca="1">$G$97-SUM($G$11:G67)</f>
        <v>734000</v>
      </c>
      <c r="W67" s="68">
        <f t="shared" si="41"/>
        <v>1</v>
      </c>
      <c r="Z67" s="83">
        <f ca="1">IF(MONTH($A67)=PRIN_MATURITY,IF(ISNA(VLOOKUP(DATE(YEAR($A67),PRIN_MATURITY,PRIN_MATURITY_DAY_SENIOR),Summary!$D$14:$CJ$56,COLUMNS(Summary!$D$13:$CJ$15),FALSE))=TRUE,0,VLOOKUP(DATE(YEAR($A67),PRIN_MATURITY,PRIN_MATURITY_DAY_SENIOR),Summary!$D$13:$CJ$56,COLUMNS(Summary!$D$13:$CJ$15),FALSE)),0)</f>
        <v>146389.60746204772</v>
      </c>
      <c r="AA67" s="84">
        <f ca="1">IF(ISERROR(IF(ISNA(VLOOKUP($A67,Summary!$D$13:$CJ$54,COLUMNS(Summary!$D$13:$CJ$15),FALSE))=TRUE,0,VLOOKUP($A67,Summary!$D$14:$CJ$54,COLUMNS(Summary!$D$13:$CJ$15),FALSE))/T67),0,IF(ISNA(VLOOKUP($A67,Summary!$C$13:$CJ$54,COLUMNS(Summary!$D$13:$CJ$15)))=TRUE,0,VLOOKUP($A67,Summary!$D$13:$CJ$54,COLUMNS(Summary!$D$13:$CJ$15)))/T67)</f>
        <v>2.6811283417957457</v>
      </c>
      <c r="AB67" s="72">
        <f t="shared" si="39"/>
        <v>1</v>
      </c>
      <c r="AC67" s="83">
        <f t="shared" ca="1" si="42"/>
        <v>91789.607462047716</v>
      </c>
      <c r="AE67" s="83">
        <f t="shared" si="35"/>
        <v>0</v>
      </c>
      <c r="AF67" s="70">
        <f t="shared" ca="1" si="36"/>
        <v>0</v>
      </c>
      <c r="AG67" s="83"/>
    </row>
    <row r="68" spans="1:33" x14ac:dyDescent="0.25">
      <c r="A68" s="67">
        <f t="shared" si="37"/>
        <v>56142</v>
      </c>
      <c r="B68" s="68">
        <f t="shared" si="38"/>
        <v>0</v>
      </c>
      <c r="C68" s="68">
        <f t="shared" si="16"/>
        <v>0</v>
      </c>
      <c r="D68" s="68">
        <f t="shared" si="28"/>
        <v>0</v>
      </c>
      <c r="E68" s="66">
        <f t="shared" si="44"/>
        <v>-62000</v>
      </c>
      <c r="F68" s="66"/>
      <c r="G68" s="345">
        <v>62000</v>
      </c>
      <c r="H68" s="66">
        <f t="shared" ca="1" si="12"/>
        <v>27300</v>
      </c>
      <c r="I68" s="66">
        <f t="shared" si="29"/>
        <v>0</v>
      </c>
      <c r="J68" s="153">
        <f>MAX(MIN(IF(MONTH($A68)=PRIN_MATURITY,IF(ISNA(VLOOKUP(DATE(YEAR($A68),PRIN_MATURITY,PRIN_MATURITY_DAY_SUB),Summary!$D$12:$CJ$57,COLUMNS(Summary!$D$12:$CJ$12))),0,VLOOKUP(DATE(YEAR($A68),PRIN_MATURITY,PRIN_MATURITY_DAY_SUB),Summary!$D$12:$CJ$57,COLUMNS(Summary!$D$12:$CJ$12))),0),$I68),0)</f>
        <v>0</v>
      </c>
      <c r="K68" s="66">
        <f t="shared" ca="1" si="30"/>
        <v>0</v>
      </c>
      <c r="L68" s="154">
        <f t="shared" ca="1" si="3"/>
        <v>0</v>
      </c>
      <c r="M68" s="66">
        <f t="shared" ca="1" si="43"/>
        <v>0</v>
      </c>
      <c r="N68" s="66">
        <f t="shared" ca="1" si="31"/>
        <v>62000</v>
      </c>
      <c r="O68" s="66">
        <f t="shared" ca="1" si="14"/>
        <v>89300</v>
      </c>
      <c r="P68" s="70">
        <f t="shared" si="32"/>
        <v>0</v>
      </c>
      <c r="Q68" s="66"/>
      <c r="R68" s="85"/>
      <c r="S68" s="66">
        <f t="shared" ca="1" si="33"/>
        <v>89300</v>
      </c>
      <c r="T68" s="70">
        <f t="shared" si="34"/>
        <v>0</v>
      </c>
      <c r="U68" s="70">
        <f ca="1">$G$97-SUM($G$11:G68)</f>
        <v>672000</v>
      </c>
      <c r="W68" s="68">
        <f t="shared" si="41"/>
        <v>0</v>
      </c>
      <c r="Z68" s="83">
        <f>IF(MONTH($A68)=PRIN_MATURITY,IF(ISNA(VLOOKUP(DATE(YEAR($A68),PRIN_MATURITY,PRIN_MATURITY_DAY_SENIOR),Summary!$D$14:$CJ$56,COLUMNS(Summary!$D$13:$CJ$15),FALSE))=TRUE,0,VLOOKUP(DATE(YEAR($A68),PRIN_MATURITY,PRIN_MATURITY_DAY_SENIOR),Summary!$D$13:$CJ$56,COLUMNS(Summary!$D$13:$CJ$15),FALSE)),0)</f>
        <v>0</v>
      </c>
      <c r="AA68" s="84">
        <f>IF(ISERROR(IF(ISNA(VLOOKUP($A68,Summary!$D$13:$CJ$54,COLUMNS(Summary!$D$13:$CJ$15),FALSE))=TRUE,0,VLOOKUP($A68,Summary!$D$14:$CJ$54,COLUMNS(Summary!$D$13:$CJ$15),FALSE))/T68),0,IF(ISNA(VLOOKUP($A68,Summary!$C$13:$CJ$54,COLUMNS(Summary!$D$13:$CJ$15)))=TRUE,0,VLOOKUP($A68,Summary!$D$13:$CJ$54,COLUMNS(Summary!$D$13:$CJ$15)))/T68)</f>
        <v>0</v>
      </c>
      <c r="AB68" s="72" t="str">
        <f t="shared" si="39"/>
        <v/>
      </c>
      <c r="AC68" s="83">
        <f t="shared" ca="1" si="42"/>
        <v>-62000</v>
      </c>
      <c r="AE68" s="83">
        <f t="shared" si="35"/>
        <v>0</v>
      </c>
      <c r="AF68" s="70">
        <f t="shared" ca="1" si="36"/>
        <v>62000</v>
      </c>
      <c r="AG68" s="83"/>
    </row>
    <row r="69" spans="1:33" x14ac:dyDescent="0.25">
      <c r="A69" s="67">
        <f t="shared" si="37"/>
        <v>56323</v>
      </c>
      <c r="B69" s="68">
        <f t="shared" si="38"/>
        <v>8.1250000000000003E-2</v>
      </c>
      <c r="C69" s="68">
        <f t="shared" si="16"/>
        <v>8.1250000000000003E-2</v>
      </c>
      <c r="D69" s="68">
        <f t="shared" si="28"/>
        <v>1</v>
      </c>
      <c r="E69" s="66">
        <f t="shared" ca="1" si="44"/>
        <v>0</v>
      </c>
      <c r="F69" s="66"/>
      <c r="G69" s="66">
        <f t="shared" ref="G69:G70" ca="1" si="45">IF(SUB_SIZING_THRESHOLD&gt;IF(B69=0,0, MAX(0,INT(((($Z69)/$AB69-H70*2*W69))/(1+B69*W69)/1000)*1000)),0,IF(B69=0,0, MAX(0,INT(((($Z69)/$AB69-H70*2*W69))/(1+B69*W69)/1000)*1000)))</f>
        <v>90000</v>
      </c>
      <c r="H69" s="66">
        <f t="shared" ca="1" si="12"/>
        <v>27300</v>
      </c>
      <c r="I69" s="66">
        <f t="shared" ca="1" si="29"/>
        <v>54600</v>
      </c>
      <c r="J69" s="153">
        <f ca="1">MAX(MIN(IF(MONTH($A69)=PRIN_MATURITY,IF(ISNA(VLOOKUP(DATE(YEAR($A69),PRIN_MATURITY,PRIN_MATURITY_DAY_SUB),Summary!$D$12:$CJ$57,COLUMNS(Summary!$D$12:$CJ$12))),0,VLOOKUP(DATE(YEAR($A69),PRIN_MATURITY,PRIN_MATURITY_DAY_SUB),Summary!$D$12:$CJ$57,COLUMNS(Summary!$D$12:$CJ$12))),0),$I69),0)</f>
        <v>54600</v>
      </c>
      <c r="K69" s="66">
        <f t="shared" ca="1" si="30"/>
        <v>0</v>
      </c>
      <c r="L69" s="154">
        <f t="shared" ca="1" si="3"/>
        <v>0</v>
      </c>
      <c r="M69" s="66">
        <f t="shared" ca="1" si="43"/>
        <v>0</v>
      </c>
      <c r="N69" s="66">
        <f t="shared" ca="1" si="31"/>
        <v>144600</v>
      </c>
      <c r="O69" s="66">
        <f t="shared" ca="1" si="14"/>
        <v>117300</v>
      </c>
      <c r="P69" s="70">
        <f t="shared" ca="1" si="32"/>
        <v>206600</v>
      </c>
      <c r="Q69" s="66"/>
      <c r="R69" s="85"/>
      <c r="S69" s="66">
        <f t="shared" ca="1" si="33"/>
        <v>117300</v>
      </c>
      <c r="T69" s="70">
        <f t="shared" ca="1" si="34"/>
        <v>206600</v>
      </c>
      <c r="U69" s="70">
        <f ca="1">$G$97-SUM($G$11:G69)</f>
        <v>582000</v>
      </c>
      <c r="W69" s="68">
        <f t="shared" si="41"/>
        <v>1</v>
      </c>
      <c r="Z69" s="83">
        <f ca="1">IF(MONTH($A69)=PRIN_MATURITY,IF(ISNA(VLOOKUP(DATE(YEAR($A69),PRIN_MATURITY,PRIN_MATURITY_DAY_SENIOR),Summary!$D$14:$CJ$56,COLUMNS(Summary!$D$13:$CJ$15),FALSE))=TRUE,0,VLOOKUP(DATE(YEAR($A69),PRIN_MATURITY,PRIN_MATURITY_DAY_SENIOR),Summary!$D$13:$CJ$56,COLUMNS(Summary!$D$13:$CJ$15),FALSE)),0)</f>
        <v>145612.15071613796</v>
      </c>
      <c r="AA69" s="84">
        <f ca="1">IF(ISERROR(IF(ISNA(VLOOKUP($A69,Summary!$D$13:$CJ$54,COLUMNS(Summary!$D$13:$CJ$15),FALSE))=TRUE,0,VLOOKUP($A69,Summary!$D$14:$CJ$54,COLUMNS(Summary!$D$13:$CJ$15),FALSE))/T69),0,IF(ISNA(VLOOKUP($A69,Summary!$C$13:$CJ$54,COLUMNS(Summary!$D$13:$CJ$15)))=TRUE,0,VLOOKUP($A69,Summary!$D$13:$CJ$54,COLUMNS(Summary!$D$13:$CJ$15)))/T69)</f>
        <v>0.7048022783936978</v>
      </c>
      <c r="AB69" s="72">
        <f t="shared" si="39"/>
        <v>1</v>
      </c>
      <c r="AC69" s="83">
        <f t="shared" ca="1" si="42"/>
        <v>1012.1507161379559</v>
      </c>
      <c r="AE69" s="83">
        <f t="shared" ca="1" si="35"/>
        <v>2652250</v>
      </c>
      <c r="AF69" s="70">
        <f t="shared" ca="1" si="36"/>
        <v>90000</v>
      </c>
      <c r="AG69" s="83"/>
    </row>
    <row r="70" spans="1:33" x14ac:dyDescent="0.25">
      <c r="A70" s="67">
        <f t="shared" si="37"/>
        <v>56507</v>
      </c>
      <c r="B70" s="68">
        <f t="shared" si="38"/>
        <v>0</v>
      </c>
      <c r="C70" s="68">
        <f t="shared" si="16"/>
        <v>0</v>
      </c>
      <c r="D70" s="68">
        <f t="shared" si="28"/>
        <v>0</v>
      </c>
      <c r="E70" s="66">
        <f t="shared" si="44"/>
        <v>0</v>
      </c>
      <c r="F70" s="66"/>
      <c r="G70" s="66">
        <f t="shared" si="45"/>
        <v>0</v>
      </c>
      <c r="H70" s="66">
        <f ca="1">(H71+G70*B70/2)</f>
        <v>23643.75</v>
      </c>
      <c r="I70" s="66">
        <f t="shared" si="29"/>
        <v>0</v>
      </c>
      <c r="J70" s="153">
        <f>MAX(MIN(IF(MONTH($A70)=PRIN_MATURITY,IF(ISNA(VLOOKUP(DATE(YEAR($A70),PRIN_MATURITY,PRIN_MATURITY_DAY_SUB),Summary!$D$12:$CJ$57,COLUMNS(Summary!$D$12:$CJ$12))),0,VLOOKUP(DATE(YEAR($A70),PRIN_MATURITY,PRIN_MATURITY_DAY_SUB),Summary!$D$12:$CJ$57,COLUMNS(Summary!$D$12:$CJ$12))),0),$I70),0)</f>
        <v>0</v>
      </c>
      <c r="K70" s="66">
        <f t="shared" ca="1" si="30"/>
        <v>0</v>
      </c>
      <c r="L70" s="154">
        <f t="shared" ca="1" si="3"/>
        <v>0</v>
      </c>
      <c r="M70" s="66">
        <f t="shared" ca="1" si="43"/>
        <v>0</v>
      </c>
      <c r="N70" s="66">
        <f t="shared" ca="1" si="31"/>
        <v>0</v>
      </c>
      <c r="O70" s="66">
        <f t="shared" ca="1" si="14"/>
        <v>23643.75</v>
      </c>
      <c r="P70" s="70">
        <f t="shared" si="32"/>
        <v>0</v>
      </c>
      <c r="Q70" s="66"/>
      <c r="R70" s="85"/>
      <c r="S70" s="66">
        <f t="shared" ca="1" si="33"/>
        <v>23643.75</v>
      </c>
      <c r="T70" s="70">
        <f t="shared" si="34"/>
        <v>0</v>
      </c>
      <c r="U70" s="70">
        <f ca="1">$G$97-SUM($G$11:G70)</f>
        <v>582000</v>
      </c>
      <c r="W70" s="68">
        <f t="shared" si="41"/>
        <v>0</v>
      </c>
      <c r="Z70" s="83">
        <f>IF(MONTH($A70)=PRIN_MATURITY,IF(ISNA(VLOOKUP(DATE(YEAR($A70),PRIN_MATURITY,PRIN_MATURITY_DAY_SENIOR),Summary!$D$14:$CJ$56,COLUMNS(Summary!$D$13:$CJ$15),FALSE))=TRUE,0,VLOOKUP(DATE(YEAR($A70),PRIN_MATURITY,PRIN_MATURITY_DAY_SENIOR),Summary!$D$13:$CJ$56,COLUMNS(Summary!$D$13:$CJ$15),FALSE)),0)</f>
        <v>0</v>
      </c>
      <c r="AA70" s="84">
        <f>IF(ISERROR(IF(ISNA(VLOOKUP($A70,Summary!$D$13:$CJ$54,COLUMNS(Summary!$D$13:$CJ$15),FALSE))=TRUE,0,VLOOKUP($A70,Summary!$D$14:$CJ$54,COLUMNS(Summary!$D$13:$CJ$15),FALSE))/T70),0,IF(ISNA(VLOOKUP($A70,Summary!$C$13:$CJ$54,COLUMNS(Summary!$D$13:$CJ$15)))=TRUE,0,VLOOKUP($A70,Summary!$D$13:$CJ$54,COLUMNS(Summary!$D$13:$CJ$15)))/T70)</f>
        <v>0</v>
      </c>
      <c r="AB70" s="72" t="str">
        <f t="shared" si="39"/>
        <v/>
      </c>
      <c r="AC70" s="83">
        <f ca="1">Z70-G70-J70-L70</f>
        <v>0</v>
      </c>
      <c r="AE70" s="83">
        <f t="shared" si="35"/>
        <v>0</v>
      </c>
      <c r="AF70" s="70">
        <f t="shared" ca="1" si="36"/>
        <v>0</v>
      </c>
      <c r="AG70" s="83"/>
    </row>
    <row r="71" spans="1:33" x14ac:dyDescent="0.25">
      <c r="A71" s="67">
        <f t="shared" si="37"/>
        <v>56688</v>
      </c>
      <c r="B71" s="68">
        <f t="shared" si="38"/>
        <v>8.1250000000000003E-2</v>
      </c>
      <c r="C71" s="68">
        <f t="shared" si="16"/>
        <v>8.1250000000000003E-2</v>
      </c>
      <c r="D71" s="68">
        <f t="shared" si="28"/>
        <v>1</v>
      </c>
      <c r="E71" s="66">
        <f t="shared" ca="1" si="44"/>
        <v>0</v>
      </c>
      <c r="F71" s="66"/>
      <c r="G71" s="66">
        <f t="shared" ref="G71:G81" ca="1" si="46">IF(SUB_SIZING_THRESHOLD&gt;IF(B71=0,0, MAX(0,INT(((($Z71)/$AB71-H72*2*W71))/(1+B71*W71)/1000)*1000)),0,IF(B71=0,0, MAX(0,INT(((($Z71)/$AB71-H72*2*W71))/(1+B71*W71)/1000)*1000)))</f>
        <v>582000</v>
      </c>
      <c r="H71" s="66">
        <f t="shared" ca="1" si="12"/>
        <v>23643.75</v>
      </c>
      <c r="I71" s="66">
        <f t="shared" ca="1" si="29"/>
        <v>47287.5</v>
      </c>
      <c r="J71" s="153">
        <f ca="1">MAX(MIN(IF(MONTH($A71)=PRIN_MATURITY,IF(ISNA(VLOOKUP(DATE(YEAR($A71),PRIN_MATURITY,PRIN_MATURITY_DAY_SUB),Summary!$D$12:$CJ$57,COLUMNS(Summary!$D$12:$CJ$12))),0,VLOOKUP(DATE(YEAR($A71),PRIN_MATURITY,PRIN_MATURITY_DAY_SUB),Summary!$D$12:$CJ$57,COLUMNS(Summary!$D$12:$CJ$12))),0),$I71),0)</f>
        <v>47287.5</v>
      </c>
      <c r="K71" s="66">
        <f t="shared" ca="1" si="30"/>
        <v>0</v>
      </c>
      <c r="L71" s="154">
        <f t="shared" ca="1" si="3"/>
        <v>0</v>
      </c>
      <c r="M71" s="66">
        <f t="shared" ca="1" si="43"/>
        <v>0</v>
      </c>
      <c r="N71" s="66">
        <f t="shared" ca="1" si="31"/>
        <v>629287.5</v>
      </c>
      <c r="O71" s="66">
        <f t="shared" ca="1" si="14"/>
        <v>605643.75</v>
      </c>
      <c r="P71" s="70">
        <f t="shared" ca="1" si="32"/>
        <v>629287.5</v>
      </c>
      <c r="Q71" s="66"/>
      <c r="R71" s="85"/>
      <c r="S71" s="66">
        <f t="shared" ca="1" si="33"/>
        <v>605643.75</v>
      </c>
      <c r="T71" s="70">
        <f t="shared" ca="1" si="34"/>
        <v>629287.5</v>
      </c>
      <c r="U71" s="70">
        <f ca="1">$G$97-SUM($G$11:G71)</f>
        <v>0</v>
      </c>
      <c r="W71" s="68">
        <f t="shared" si="41"/>
        <v>1</v>
      </c>
      <c r="Z71" s="83">
        <f ca="1">IF(MONTH($A71)=PRIN_MATURITY,IF(ISNA(VLOOKUP(DATE(YEAR($A71),PRIN_MATURITY,PRIN_MATURITY_DAY_SENIOR),Summary!$D$14:$CJ$56,COLUMNS(Summary!$D$13:$CJ$15),FALSE))=TRUE,0,VLOOKUP(DATE(YEAR($A71),PRIN_MATURITY,PRIN_MATURITY_DAY_SENIOR),Summary!$D$13:$CJ$56,COLUMNS(Summary!$D$13:$CJ$15),FALSE)),0)</f>
        <v>629915.75661202008</v>
      </c>
      <c r="AA71" s="84">
        <f ca="1">IF(ISERROR(IF(ISNA(VLOOKUP($A71,Summary!$D$13:$CJ$54,COLUMNS(Summary!$D$13:$CJ$15),FALSE))=TRUE,0,VLOOKUP($A71,Summary!$D$14:$CJ$54,COLUMNS(Summary!$D$13:$CJ$15),FALSE))/T71),0,IF(ISNA(VLOOKUP($A71,Summary!$C$13:$CJ$54,COLUMNS(Summary!$D$13:$CJ$15)))=TRUE,0,VLOOKUP($A71,Summary!$D$13:$CJ$54,COLUMNS(Summary!$D$13:$CJ$15)))/T71)</f>
        <v>1.0009983618171663</v>
      </c>
      <c r="AB71" s="72">
        <f t="shared" si="39"/>
        <v>1</v>
      </c>
      <c r="AC71" s="83">
        <f t="shared" ca="1" si="42"/>
        <v>628.25661202007905</v>
      </c>
      <c r="AE71" s="83">
        <f t="shared" ca="1" si="35"/>
        <v>17733216.666666668</v>
      </c>
      <c r="AF71" s="70">
        <f t="shared" ca="1" si="36"/>
        <v>582000</v>
      </c>
      <c r="AG71" s="83"/>
    </row>
    <row r="72" spans="1:33" x14ac:dyDescent="0.25">
      <c r="A72" s="67">
        <f t="shared" si="37"/>
        <v>0</v>
      </c>
      <c r="B72" s="68">
        <f t="shared" si="38"/>
        <v>0</v>
      </c>
      <c r="C72" s="68">
        <f t="shared" si="16"/>
        <v>0</v>
      </c>
      <c r="D72" s="68">
        <f t="shared" si="28"/>
        <v>0</v>
      </c>
      <c r="E72" s="66">
        <f t="shared" si="44"/>
        <v>0</v>
      </c>
      <c r="F72" s="66"/>
      <c r="G72" s="66">
        <f t="shared" si="46"/>
        <v>0</v>
      </c>
      <c r="H72" s="66">
        <f t="shared" si="12"/>
        <v>0</v>
      </c>
      <c r="I72" s="66">
        <f t="shared" si="29"/>
        <v>0</v>
      </c>
      <c r="J72" s="153">
        <f>MAX(MIN(IF(MONTH($A72)=PRIN_MATURITY,IF(ISNA(VLOOKUP(DATE(YEAR($A72),PRIN_MATURITY,PRIN_MATURITY_DAY_SUB),Summary!$D$12:$CJ$57,COLUMNS(Summary!$D$12:$CJ$12))),0,VLOOKUP(DATE(YEAR($A72),PRIN_MATURITY,PRIN_MATURITY_DAY_SUB),Summary!$D$12:$CJ$57,COLUMNS(Summary!$D$12:$CJ$12))),0),$I72),0)</f>
        <v>0</v>
      </c>
      <c r="K72" s="66">
        <f t="shared" ca="1" si="30"/>
        <v>0</v>
      </c>
      <c r="L72" s="154">
        <f t="shared" ca="1" si="3"/>
        <v>0</v>
      </c>
      <c r="M72" s="66">
        <f t="shared" ca="1" si="43"/>
        <v>0</v>
      </c>
      <c r="N72" s="66">
        <f t="shared" ca="1" si="31"/>
        <v>0</v>
      </c>
      <c r="O72" s="66">
        <f t="shared" ca="1" si="14"/>
        <v>0</v>
      </c>
      <c r="P72" s="70">
        <f t="shared" si="32"/>
        <v>0</v>
      </c>
      <c r="Q72" s="66"/>
      <c r="R72" s="85"/>
      <c r="S72" s="66">
        <f t="shared" ca="1" si="33"/>
        <v>0</v>
      </c>
      <c r="T72" s="70">
        <f t="shared" si="34"/>
        <v>0</v>
      </c>
      <c r="U72" s="70">
        <f ca="1">$G$97-SUM($G$11:G72)</f>
        <v>0</v>
      </c>
      <c r="W72" s="68">
        <f t="shared" si="41"/>
        <v>0</v>
      </c>
      <c r="Z72" s="83">
        <f>IF(MONTH($A72)=PRIN_MATURITY,IF(ISNA(VLOOKUP(DATE(YEAR($A72),PRIN_MATURITY,PRIN_MATURITY_DAY_SENIOR),Summary!$D$14:$CJ$56,COLUMNS(Summary!$D$13:$CJ$15),FALSE))=TRUE,0,VLOOKUP(DATE(YEAR($A72),PRIN_MATURITY,PRIN_MATURITY_DAY_SENIOR),Summary!$D$13:$CJ$56,COLUMNS(Summary!$D$13:$CJ$15),FALSE)),0)</f>
        <v>0</v>
      </c>
      <c r="AA72" s="84">
        <f>IF(ISERROR(IF(ISNA(VLOOKUP($A72,Summary!$D$13:$CJ$54,COLUMNS(Summary!$D$13:$CJ$15),FALSE))=TRUE,0,VLOOKUP($A72,Summary!$D$14:$CJ$54,COLUMNS(Summary!$D$13:$CJ$15),FALSE))/T72),0,IF(ISNA(VLOOKUP($A72,Summary!$C$13:$CJ$54,COLUMNS(Summary!$D$13:$CJ$15)))=TRUE,0,VLOOKUP($A72,Summary!$D$13:$CJ$54,COLUMNS(Summary!$D$13:$CJ$15)))/T72)</f>
        <v>0</v>
      </c>
      <c r="AB72" s="72" t="str">
        <f t="shared" si="39"/>
        <v/>
      </c>
      <c r="AC72" s="83">
        <f t="shared" ca="1" si="42"/>
        <v>0</v>
      </c>
      <c r="AE72" s="83">
        <f t="shared" si="35"/>
        <v>0</v>
      </c>
      <c r="AF72" s="70">
        <f t="shared" ca="1" si="36"/>
        <v>0</v>
      </c>
      <c r="AG72" s="83"/>
    </row>
    <row r="73" spans="1:33" hidden="1" outlineLevel="1" x14ac:dyDescent="0.25">
      <c r="A73" s="67">
        <f t="shared" si="37"/>
        <v>0</v>
      </c>
      <c r="B73" s="68">
        <f t="shared" ref="B73:B92" si="47">IF(ISERROR(IF(MONTH(A73)=PRIN_MATURITY,SUB_INTEREST_RATE,)),"",IF(MONTH(A73)=PRIN_MATURITY,SUB_INTEREST_RATE,))</f>
        <v>0</v>
      </c>
      <c r="C73" s="68">
        <f t="shared" ref="C73:C92" si="48">B73</f>
        <v>0</v>
      </c>
      <c r="D73" s="68">
        <f t="shared" si="28"/>
        <v>0</v>
      </c>
      <c r="E73" s="66">
        <f t="shared" si="17"/>
        <v>0</v>
      </c>
      <c r="F73" s="66"/>
      <c r="G73" s="66">
        <f t="shared" si="46"/>
        <v>0</v>
      </c>
      <c r="H73" s="66">
        <f t="shared" si="12"/>
        <v>0</v>
      </c>
      <c r="I73" s="66">
        <f t="shared" si="29"/>
        <v>0</v>
      </c>
      <c r="J73" s="153">
        <f>MAX(MIN(IF(MONTH($A73)=PRIN_MATURITY,IF(ISNA(VLOOKUP(DATE(YEAR($A73),PRIN_MATURITY,PRIN_MATURITY_DAY_SUB),Summary!$D$12:$CJ$57,COLUMNS(Summary!$D$12:$CJ$12))),0,VLOOKUP(DATE(YEAR($A73),PRIN_MATURITY,PRIN_MATURITY_DAY_SUB),Summary!$D$12:$CJ$57,COLUMNS(Summary!$D$12:$CJ$12))),0),$I73),0)</f>
        <v>0</v>
      </c>
      <c r="K73" s="66">
        <f t="shared" ca="1" si="30"/>
        <v>0</v>
      </c>
      <c r="L73" s="154">
        <f t="shared" ca="1" si="3"/>
        <v>0</v>
      </c>
      <c r="M73" s="66">
        <f t="shared" ca="1" si="43"/>
        <v>0</v>
      </c>
      <c r="N73" s="66">
        <f t="shared" ca="1" si="31"/>
        <v>0</v>
      </c>
      <c r="O73" s="66">
        <f t="shared" ca="1" si="14"/>
        <v>0</v>
      </c>
      <c r="P73" s="70">
        <f t="shared" si="32"/>
        <v>0</v>
      </c>
      <c r="Q73" s="66"/>
      <c r="R73" s="66"/>
      <c r="S73" s="66">
        <f t="shared" ca="1" si="33"/>
        <v>0</v>
      </c>
      <c r="T73" s="70">
        <f t="shared" si="34"/>
        <v>0</v>
      </c>
      <c r="U73" s="70">
        <f ca="1">$G$97-SUM($G$11:G73)</f>
        <v>0</v>
      </c>
      <c r="W73" s="68">
        <f t="shared" si="41"/>
        <v>0</v>
      </c>
      <c r="Z73" s="83">
        <f>IF(MONTH($A73)=PRIN_MATURITY,IF(ISNA(VLOOKUP(DATE(YEAR($A73),PRIN_MATURITY,PRIN_MATURITY_DAY_SENIOR),Summary!$D$14:$CJ$56,COLUMNS(Summary!$D$13:$CJ$15),FALSE))=TRUE,0,VLOOKUP(DATE(YEAR($A73),PRIN_MATURITY,PRIN_MATURITY_DAY_SENIOR),Summary!$D$13:$CJ$56,COLUMNS(Summary!$D$13:$CJ$15),FALSE)),0)</f>
        <v>0</v>
      </c>
      <c r="AA73" s="84">
        <f>IF(ISERROR(IF(ISNA(VLOOKUP($A73,Summary!$D$13:$CJ$54,COLUMNS(Summary!$D$13:$CJ$15),FALSE))=TRUE,0,VLOOKUP($A73,Summary!$D$14:$CJ$54,COLUMNS(Summary!$D$13:$CJ$15),FALSE))/T73),0,IF(ISNA(VLOOKUP($A73,Summary!$C$13:$CJ$54,COLUMNS(Summary!$D$13:$CJ$15)))=TRUE,0,VLOOKUP($A73,Summary!$D$13:$CJ$54,COLUMNS(Summary!$D$13:$CJ$15)))/T73)</f>
        <v>0</v>
      </c>
      <c r="AB73" s="72" t="str">
        <f t="shared" si="39"/>
        <v/>
      </c>
      <c r="AC73" s="83">
        <f t="shared" ca="1" si="42"/>
        <v>0</v>
      </c>
      <c r="AE73" s="83">
        <f t="shared" si="35"/>
        <v>0</v>
      </c>
      <c r="AF73" s="70">
        <f t="shared" ca="1" si="36"/>
        <v>0</v>
      </c>
      <c r="AG73" s="83"/>
    </row>
    <row r="74" spans="1:33" hidden="1" outlineLevel="1" x14ac:dyDescent="0.25">
      <c r="A74" s="67">
        <f t="shared" si="37"/>
        <v>0</v>
      </c>
      <c r="B74" s="68">
        <f t="shared" si="47"/>
        <v>0</v>
      </c>
      <c r="C74" s="68">
        <f t="shared" si="48"/>
        <v>0</v>
      </c>
      <c r="D74" s="68">
        <f t="shared" si="28"/>
        <v>0</v>
      </c>
      <c r="E74" s="66">
        <f t="shared" si="17"/>
        <v>0</v>
      </c>
      <c r="F74" s="66"/>
      <c r="G74" s="66">
        <f t="shared" si="46"/>
        <v>0</v>
      </c>
      <c r="H74" s="66">
        <f t="shared" si="12"/>
        <v>0</v>
      </c>
      <c r="I74" s="66">
        <f t="shared" si="29"/>
        <v>0</v>
      </c>
      <c r="J74" s="153">
        <f>MAX(MIN(IF(MONTH($A74)=PRIN_MATURITY,IF(ISNA(VLOOKUP(DATE(YEAR($A74),PRIN_MATURITY,PRIN_MATURITY_DAY_SUB),Summary!$D$12:$CJ$57,COLUMNS(Summary!$D$12:$CJ$12))),0,VLOOKUP(DATE(YEAR($A74),PRIN_MATURITY,PRIN_MATURITY_DAY_SUB),Summary!$D$12:$CJ$57,COLUMNS(Summary!$D$12:$CJ$12))),0),$I74),0)</f>
        <v>0</v>
      </c>
      <c r="K74" s="66">
        <f t="shared" ca="1" si="30"/>
        <v>0</v>
      </c>
      <c r="L74" s="154">
        <f t="shared" ca="1" si="3"/>
        <v>0</v>
      </c>
      <c r="M74" s="66">
        <f t="shared" ca="1" si="43"/>
        <v>0</v>
      </c>
      <c r="N74" s="66">
        <f t="shared" ca="1" si="31"/>
        <v>0</v>
      </c>
      <c r="O74" s="66">
        <f t="shared" ca="1" si="14"/>
        <v>0</v>
      </c>
      <c r="P74" s="70">
        <f t="shared" si="32"/>
        <v>0</v>
      </c>
      <c r="Q74" s="66"/>
      <c r="R74" s="66"/>
      <c r="S74" s="66">
        <f t="shared" ca="1" si="33"/>
        <v>0</v>
      </c>
      <c r="T74" s="70">
        <f t="shared" si="34"/>
        <v>0</v>
      </c>
      <c r="U74" s="70">
        <f ca="1">$G$97-SUM($G$11:G74)</f>
        <v>0</v>
      </c>
      <c r="W74" s="68">
        <f t="shared" si="41"/>
        <v>0</v>
      </c>
      <c r="Z74" s="83">
        <f>IF(MONTH($A74)=PRIN_MATURITY,IF(ISNA(VLOOKUP(DATE(YEAR($A74),PRIN_MATURITY,PRIN_MATURITY_DAY_SENIOR),Summary!$D$14:$CJ$56,COLUMNS(Summary!$D$13:$CJ$15),FALSE))=TRUE,0,VLOOKUP(DATE(YEAR($A74),PRIN_MATURITY,PRIN_MATURITY_DAY_SENIOR),Summary!$D$13:$CJ$56,COLUMNS(Summary!$D$13:$CJ$15),FALSE)),0)</f>
        <v>0</v>
      </c>
      <c r="AA74" s="84">
        <f>IF(ISERROR(IF(ISNA(VLOOKUP($A74,Summary!$D$13:$CJ$54,COLUMNS(Summary!$D$13:$CJ$15),FALSE))=TRUE,0,VLOOKUP($A74,Summary!$D$14:$CJ$54,COLUMNS(Summary!$D$13:$CJ$15),FALSE))/T74),0,IF(ISNA(VLOOKUP($A74,Summary!$C$13:$CJ$54,COLUMNS(Summary!$D$13:$CJ$15)))=TRUE,0,VLOOKUP($A74,Summary!$D$13:$CJ$54,COLUMNS(Summary!$D$13:$CJ$15)))/T74)</f>
        <v>0</v>
      </c>
      <c r="AB74" s="72" t="str">
        <f t="shared" si="39"/>
        <v/>
      </c>
      <c r="AC74" s="83">
        <f ca="1">Z74-G74-J74-L74</f>
        <v>0</v>
      </c>
      <c r="AE74" s="83">
        <f t="shared" si="35"/>
        <v>0</v>
      </c>
      <c r="AF74" s="70">
        <f t="shared" ca="1" si="36"/>
        <v>0</v>
      </c>
      <c r="AG74" s="83"/>
    </row>
    <row r="75" spans="1:33" hidden="1" outlineLevel="1" x14ac:dyDescent="0.25">
      <c r="A75" s="67">
        <f t="shared" si="37"/>
        <v>0</v>
      </c>
      <c r="B75" s="68">
        <f t="shared" si="47"/>
        <v>0</v>
      </c>
      <c r="C75" s="68">
        <f t="shared" si="48"/>
        <v>0</v>
      </c>
      <c r="D75" s="68">
        <f t="shared" ref="D75:D95" si="49">IF(C75=0,0,TRUNC(IF(B75=C75,100,IF(A75&lt;=PAR_CALL_FIRST,PRICE(DELIVERY,A75,B75,C75,100,2,0),MIN(PRICE(DELIVERY,A75,B75,C75,100,2,0),PRICE(DELIVERY,PAR_CALL_FIRST,B75,C75,100,2,0)))),3)/100)</f>
        <v>0</v>
      </c>
      <c r="E75" s="66">
        <f t="shared" si="17"/>
        <v>0</v>
      </c>
      <c r="F75" s="66"/>
      <c r="G75" s="66">
        <f t="shared" si="46"/>
        <v>0</v>
      </c>
      <c r="H75" s="66">
        <f t="shared" si="12"/>
        <v>0</v>
      </c>
      <c r="I75" s="66">
        <f t="shared" ref="I75:I94" si="50">IF($A75=0,0,IF(MONTH($A75)=INT_MATURITY,0,SUM(H74:H75)))</f>
        <v>0</v>
      </c>
      <c r="J75" s="153">
        <f>MAX(MIN(IF(MONTH($A75)=PRIN_MATURITY,IF(ISNA(VLOOKUP(DATE(YEAR($A75),PRIN_MATURITY,PRIN_MATURITY_DAY_SUB),Summary!$D$12:$CJ$57,COLUMNS(Summary!$D$12:$CJ$12))),0,VLOOKUP(DATE(YEAR($A75),PRIN_MATURITY,PRIN_MATURITY_DAY_SUB),Summary!$D$12:$CJ$57,COLUMNS(Summary!$D$12:$CJ$12))),0),$I75),0)</f>
        <v>0</v>
      </c>
      <c r="K75" s="66">
        <f t="shared" ref="K75:K95" ca="1" si="51">IF($K$4="No", 0,I75+(M74*SUB_INTEREST_RATE/2)-J75)</f>
        <v>0</v>
      </c>
      <c r="L75" s="154">
        <f t="shared" ref="L75:L95" ca="1" si="52">MAX(MIN(($Z75-$J75),$M74+K75),0)</f>
        <v>0</v>
      </c>
      <c r="M75" s="66">
        <f t="shared" ca="1" si="43"/>
        <v>0</v>
      </c>
      <c r="N75" s="66">
        <f t="shared" ref="N75:N95" ca="1" si="53">$G75+$J75+$L75</f>
        <v>0</v>
      </c>
      <c r="O75" s="66">
        <f t="shared" ca="1" si="14"/>
        <v>0</v>
      </c>
      <c r="P75" s="70">
        <f t="shared" ref="P75:P95" si="54">IF($A75=0,0,IF(MONTH($A75)=INT_MATURITY,0,SUM(O74:O75)))</f>
        <v>0</v>
      </c>
      <c r="Q75" s="66"/>
      <c r="R75" s="66"/>
      <c r="S75" s="66">
        <f t="shared" ca="1" si="33"/>
        <v>0</v>
      </c>
      <c r="T75" s="70">
        <f t="shared" ref="T75:T90" si="55">IF($A75=0,0,IF(MONTH($A75)=INT_MATURITY,0,SUM(S74:S75)))</f>
        <v>0</v>
      </c>
      <c r="U75" s="70">
        <f ca="1">$G$97-SUM($G$11:G75)</f>
        <v>0</v>
      </c>
      <c r="W75" s="68">
        <f t="shared" si="41"/>
        <v>0</v>
      </c>
      <c r="Z75" s="83">
        <f>IF(MONTH($A75)=PRIN_MATURITY,IF(ISNA(VLOOKUP(DATE(YEAR($A75),PRIN_MATURITY,PRIN_MATURITY_DAY_SENIOR),Summary!$D$14:$CJ$56,COLUMNS(Summary!$D$13:$CJ$15),FALSE))=TRUE,0,VLOOKUP(DATE(YEAR($A75),PRIN_MATURITY,PRIN_MATURITY_DAY_SENIOR),Summary!$D$13:$CJ$56,COLUMNS(Summary!$D$13:$CJ$15),FALSE)),0)</f>
        <v>0</v>
      </c>
      <c r="AA75" s="84">
        <f>IF(ISERROR(IF(ISNA(VLOOKUP($A75,Summary!$D$13:$CJ$54,COLUMNS(Summary!$D$13:$CJ$15),FALSE))=TRUE,0,VLOOKUP($A75,Summary!$D$14:$CJ$54,COLUMNS(Summary!$D$13:$CJ$15),FALSE))/T75),0,IF(ISNA(VLOOKUP($A75,Summary!$C$13:$CJ$54,COLUMNS(Summary!$D$13:$CJ$15)))=TRUE,0,VLOOKUP($A75,Summary!$D$13:$CJ$54,COLUMNS(Summary!$D$13:$CJ$15)))/T75)</f>
        <v>0</v>
      </c>
      <c r="AB75" s="72" t="str">
        <f t="shared" si="39"/>
        <v/>
      </c>
      <c r="AC75" s="83">
        <f t="shared" ca="1" si="42"/>
        <v>0</v>
      </c>
      <c r="AE75" s="83">
        <f t="shared" ref="AE75:AE91" si="56">D75*G75*DAYS360(DELIVERY,A75)/360</f>
        <v>0</v>
      </c>
      <c r="AF75" s="70">
        <f t="shared" ref="AF75:AF91" ca="1" si="57">G75+K75+L75</f>
        <v>0</v>
      </c>
      <c r="AG75" s="83"/>
    </row>
    <row r="76" spans="1:33" hidden="1" outlineLevel="1" x14ac:dyDescent="0.25">
      <c r="A76" s="67">
        <f t="shared" ref="A76:A95" si="58">IF(IF(ISERROR(EDATE(A75,6)),0,EDATE(A75,6))&gt;EDATE(MAX($A$11,DATE(YEAR($A$11),PRIN_MATURITY,PRIN_MATURITY_DAY_SUB)),6*2*FINAL_MAT_SUB_YRS),0,IF(ISERROR(EDATE(A75,6)),0,IF(A75=0,0,EDATE(A75,6))))</f>
        <v>0</v>
      </c>
      <c r="B76" s="68">
        <f t="shared" si="47"/>
        <v>0</v>
      </c>
      <c r="C76" s="68">
        <f t="shared" si="48"/>
        <v>0</v>
      </c>
      <c r="D76" s="68">
        <f t="shared" si="49"/>
        <v>0</v>
      </c>
      <c r="E76" s="66">
        <f t="shared" si="17"/>
        <v>0</v>
      </c>
      <c r="F76" s="66"/>
      <c r="G76" s="66">
        <f t="shared" si="46"/>
        <v>0</v>
      </c>
      <c r="H76" s="66">
        <f t="shared" si="12"/>
        <v>0</v>
      </c>
      <c r="I76" s="66">
        <f t="shared" si="50"/>
        <v>0</v>
      </c>
      <c r="J76" s="153">
        <f>MAX(MIN(IF(MONTH($A76)=PRIN_MATURITY,IF(ISNA(VLOOKUP(DATE(YEAR($A76),PRIN_MATURITY,PRIN_MATURITY_DAY_SUB),Summary!$D$12:$CJ$57,COLUMNS(Summary!$D$12:$CJ$12))),0,VLOOKUP(DATE(YEAR($A76),PRIN_MATURITY,PRIN_MATURITY_DAY_SUB),Summary!$D$12:$CJ$57,COLUMNS(Summary!$D$12:$CJ$12))),0),$I76),0)</f>
        <v>0</v>
      </c>
      <c r="K76" s="66">
        <f t="shared" ca="1" si="51"/>
        <v>0</v>
      </c>
      <c r="L76" s="154">
        <f t="shared" ca="1" si="52"/>
        <v>0</v>
      </c>
      <c r="M76" s="66">
        <f t="shared" ca="1" si="43"/>
        <v>0</v>
      </c>
      <c r="N76" s="66">
        <f t="shared" ca="1" si="53"/>
        <v>0</v>
      </c>
      <c r="O76" s="66">
        <f t="shared" ref="O76:O95" ca="1" si="59">G76+H76+L76</f>
        <v>0</v>
      </c>
      <c r="P76" s="70">
        <f t="shared" si="54"/>
        <v>0</v>
      </c>
      <c r="Q76" s="66"/>
      <c r="R76" s="66"/>
      <c r="S76" s="66">
        <f t="shared" ca="1" si="33"/>
        <v>0</v>
      </c>
      <c r="T76" s="70">
        <f t="shared" si="55"/>
        <v>0</v>
      </c>
      <c r="U76" s="70">
        <f ca="1">$G$97-SUM($G$11:G76)</f>
        <v>0</v>
      </c>
      <c r="W76" s="68">
        <f t="shared" si="41"/>
        <v>0</v>
      </c>
      <c r="Z76" s="83">
        <f>IF(MONTH($A76)=PRIN_MATURITY,IF(ISNA(VLOOKUP(DATE(YEAR($A76),PRIN_MATURITY,PRIN_MATURITY_DAY_SENIOR),Summary!$D$14:$CJ$56,COLUMNS(Summary!$D$13:$CJ$15),FALSE))=TRUE,0,VLOOKUP(DATE(YEAR($A76),PRIN_MATURITY,PRIN_MATURITY_DAY_SENIOR),Summary!$D$13:$CJ$56,COLUMNS(Summary!$D$13:$CJ$15),FALSE)),0)</f>
        <v>0</v>
      </c>
      <c r="AA76" s="84">
        <f>IF(ISERROR(IF(ISNA(VLOOKUP($A76,Summary!$D$13:$CJ$54,COLUMNS(Summary!$D$13:$CJ$15),FALSE))=TRUE,0,VLOOKUP($A76,Summary!$D$14:$CJ$54,COLUMNS(Summary!$D$13:$CJ$15),FALSE))/T76),0,IF(ISNA(VLOOKUP($A76,Summary!$C$13:$CJ$54,COLUMNS(Summary!$D$13:$CJ$15)))=TRUE,0,VLOOKUP($A76,Summary!$D$13:$CJ$54,COLUMNS(Summary!$D$13:$CJ$15)))/T76)</f>
        <v>0</v>
      </c>
      <c r="AB76" s="72" t="str">
        <f t="shared" si="39"/>
        <v/>
      </c>
      <c r="AC76" s="83">
        <f t="shared" ca="1" si="42"/>
        <v>0</v>
      </c>
      <c r="AE76" s="83">
        <f t="shared" si="56"/>
        <v>0</v>
      </c>
      <c r="AF76" s="70">
        <f t="shared" ca="1" si="57"/>
        <v>0</v>
      </c>
      <c r="AG76" s="83"/>
    </row>
    <row r="77" spans="1:33" hidden="1" outlineLevel="1" x14ac:dyDescent="0.25">
      <c r="A77" s="67">
        <f t="shared" si="58"/>
        <v>0</v>
      </c>
      <c r="B77" s="68">
        <f t="shared" si="47"/>
        <v>0</v>
      </c>
      <c r="C77" s="68">
        <f t="shared" si="48"/>
        <v>0</v>
      </c>
      <c r="D77" s="68">
        <f t="shared" si="49"/>
        <v>0</v>
      </c>
      <c r="E77" s="66">
        <f t="shared" ref="E77:E93" si="60">D77*G77-G77</f>
        <v>0</v>
      </c>
      <c r="F77" s="66"/>
      <c r="G77" s="66">
        <f t="shared" si="46"/>
        <v>0</v>
      </c>
      <c r="H77" s="66">
        <f t="shared" ref="H77:H94" si="61">(H78+G77*B77/2)</f>
        <v>0</v>
      </c>
      <c r="I77" s="66">
        <f t="shared" si="50"/>
        <v>0</v>
      </c>
      <c r="J77" s="153">
        <f>MAX(MIN(IF(MONTH($A77)=PRIN_MATURITY,IF(ISNA(VLOOKUP(DATE(YEAR($A77),PRIN_MATURITY,PRIN_MATURITY_DAY_SUB),Summary!$D$12:$CJ$57,COLUMNS(Summary!$D$12:$CJ$12))),0,VLOOKUP(DATE(YEAR($A77),PRIN_MATURITY,PRIN_MATURITY_DAY_SUB),Summary!$D$12:$CJ$57,COLUMNS(Summary!$D$12:$CJ$12))),0),$I77),0)</f>
        <v>0</v>
      </c>
      <c r="K77" s="66">
        <f t="shared" ca="1" si="51"/>
        <v>0</v>
      </c>
      <c r="L77" s="154">
        <f t="shared" ca="1" si="52"/>
        <v>0</v>
      </c>
      <c r="M77" s="66">
        <f t="shared" ca="1" si="43"/>
        <v>0</v>
      </c>
      <c r="N77" s="66">
        <f t="shared" ca="1" si="53"/>
        <v>0</v>
      </c>
      <c r="O77" s="66">
        <f t="shared" ca="1" si="59"/>
        <v>0</v>
      </c>
      <c r="P77" s="70">
        <f t="shared" si="54"/>
        <v>0</v>
      </c>
      <c r="Q77" s="66"/>
      <c r="R77" s="66"/>
      <c r="S77" s="66">
        <f t="shared" ca="1" si="33"/>
        <v>0</v>
      </c>
      <c r="T77" s="70">
        <f t="shared" si="55"/>
        <v>0</v>
      </c>
      <c r="U77" s="70">
        <f ca="1">$G$97-SUM($G$11:G77)</f>
        <v>0</v>
      </c>
      <c r="W77" s="68">
        <f t="shared" ref="W77:W92" si="62">IF(MONTH(A77)=PRIN_MATURITY,MAX(0,DAYS360(MAX(CAPI_TERM,EDATE(A77,-12)),A77))/360,0)</f>
        <v>0</v>
      </c>
      <c r="Z77" s="83">
        <f>IF(MONTH($A77)=PRIN_MATURITY,IF(ISNA(VLOOKUP(DATE(YEAR($A77),PRIN_MATURITY,PRIN_MATURITY_DAY_SENIOR),Summary!$D$14:$CJ$56,COLUMNS(Summary!$D$13:$CJ$15),FALSE))=TRUE,0,VLOOKUP(DATE(YEAR($A77),PRIN_MATURITY,PRIN_MATURITY_DAY_SENIOR),Summary!$D$13:$CJ$56,COLUMNS(Summary!$D$13:$CJ$15),FALSE)),0)</f>
        <v>0</v>
      </c>
      <c r="AA77" s="84">
        <f>IF(ISERROR(IF(ISNA(VLOOKUP($A77,Summary!$D$13:$CJ$54,COLUMNS(Summary!$D$13:$CJ$15),FALSE))=TRUE,0,VLOOKUP($A77,Summary!$D$14:$CJ$54,COLUMNS(Summary!$D$13:$CJ$15),FALSE))/T77),0,IF(ISNA(VLOOKUP($A77,Summary!$C$13:$CJ$54,COLUMNS(Summary!$D$13:$CJ$15)))=TRUE,0,VLOOKUP($A77,Summary!$D$13:$CJ$54,COLUMNS(Summary!$D$13:$CJ$15)))/T77)</f>
        <v>0</v>
      </c>
      <c r="AB77" s="72" t="str">
        <f t="shared" si="39"/>
        <v/>
      </c>
      <c r="AC77" s="83">
        <f t="shared" ref="AC77:AC94" ca="1" si="63">Z77-G77-J77-L77</f>
        <v>0</v>
      </c>
      <c r="AE77" s="83">
        <f t="shared" si="56"/>
        <v>0</v>
      </c>
      <c r="AF77" s="70">
        <f t="shared" ca="1" si="57"/>
        <v>0</v>
      </c>
      <c r="AG77" s="83"/>
    </row>
    <row r="78" spans="1:33" hidden="1" outlineLevel="1" x14ac:dyDescent="0.25">
      <c r="A78" s="67">
        <f t="shared" si="58"/>
        <v>0</v>
      </c>
      <c r="B78" s="68">
        <f t="shared" si="47"/>
        <v>0</v>
      </c>
      <c r="C78" s="68">
        <f t="shared" si="48"/>
        <v>0</v>
      </c>
      <c r="D78" s="68">
        <f t="shared" si="49"/>
        <v>0</v>
      </c>
      <c r="E78" s="66">
        <f t="shared" si="60"/>
        <v>0</v>
      </c>
      <c r="F78" s="66"/>
      <c r="G78" s="66">
        <f t="shared" si="46"/>
        <v>0</v>
      </c>
      <c r="H78" s="66">
        <f t="shared" si="61"/>
        <v>0</v>
      </c>
      <c r="I78" s="66">
        <f t="shared" si="50"/>
        <v>0</v>
      </c>
      <c r="J78" s="153">
        <f>MAX(MIN(IF(MONTH($A78)=PRIN_MATURITY,IF(ISNA(VLOOKUP(DATE(YEAR($A78),PRIN_MATURITY,PRIN_MATURITY_DAY_SUB),Summary!$D$12:$CJ$57,COLUMNS(Summary!$D$12:$CJ$12))),0,VLOOKUP(DATE(YEAR($A78),PRIN_MATURITY,PRIN_MATURITY_DAY_SUB),Summary!$D$12:$CJ$57,COLUMNS(Summary!$D$12:$CJ$12))),0),$I78),0)</f>
        <v>0</v>
      </c>
      <c r="K78" s="66">
        <f t="shared" ca="1" si="51"/>
        <v>0</v>
      </c>
      <c r="L78" s="154">
        <f t="shared" ca="1" si="52"/>
        <v>0</v>
      </c>
      <c r="M78" s="66">
        <f t="shared" ca="1" si="43"/>
        <v>0</v>
      </c>
      <c r="N78" s="66">
        <f t="shared" ca="1" si="53"/>
        <v>0</v>
      </c>
      <c r="O78" s="66">
        <f t="shared" ca="1" si="59"/>
        <v>0</v>
      </c>
      <c r="P78" s="70">
        <f t="shared" si="54"/>
        <v>0</v>
      </c>
      <c r="Q78" s="66"/>
      <c r="R78" s="66"/>
      <c r="S78" s="66">
        <f t="shared" ca="1" si="33"/>
        <v>0</v>
      </c>
      <c r="T78" s="70">
        <f t="shared" si="55"/>
        <v>0</v>
      </c>
      <c r="U78" s="70">
        <f ca="1">$G$97-SUM($G$11:G78)</f>
        <v>0</v>
      </c>
      <c r="W78" s="68">
        <f t="shared" si="62"/>
        <v>0</v>
      </c>
      <c r="Z78" s="83">
        <f>IF(MONTH($A78)=PRIN_MATURITY,IF(ISNA(VLOOKUP(DATE(YEAR($A78),PRIN_MATURITY,PRIN_MATURITY_DAY_SENIOR),Summary!$D$14:$CJ$56,COLUMNS(Summary!$D$13:$CJ$15),FALSE))=TRUE,0,VLOOKUP(DATE(YEAR($A78),PRIN_MATURITY,PRIN_MATURITY_DAY_SENIOR),Summary!$D$13:$CJ$56,COLUMNS(Summary!$D$13:$CJ$15),FALSE)),0)</f>
        <v>0</v>
      </c>
      <c r="AA78" s="84">
        <f>IF(ISERROR(IF(ISNA(VLOOKUP($A78,Summary!$D$13:$CJ$54,COLUMNS(Summary!$D$13:$CJ$15),FALSE))=TRUE,0,VLOOKUP($A78,Summary!$D$14:$CJ$54,COLUMNS(Summary!$D$13:$CJ$15),FALSE))/T78),0,IF(ISNA(VLOOKUP($A78,Summary!$C$13:$CJ$54,COLUMNS(Summary!$D$13:$CJ$15)))=TRUE,0,VLOOKUP($A78,Summary!$D$13:$CJ$54,COLUMNS(Summary!$D$13:$CJ$15)))/T78)</f>
        <v>0</v>
      </c>
      <c r="AB78" s="72" t="str">
        <f t="shared" si="39"/>
        <v/>
      </c>
      <c r="AC78" s="83">
        <f t="shared" ca="1" si="63"/>
        <v>0</v>
      </c>
      <c r="AE78" s="83">
        <f t="shared" si="56"/>
        <v>0</v>
      </c>
      <c r="AF78" s="70">
        <f t="shared" ca="1" si="57"/>
        <v>0</v>
      </c>
      <c r="AG78" s="83"/>
    </row>
    <row r="79" spans="1:33" hidden="1" outlineLevel="1" x14ac:dyDescent="0.25">
      <c r="A79" s="67">
        <f t="shared" si="58"/>
        <v>0</v>
      </c>
      <c r="B79" s="68">
        <f t="shared" si="47"/>
        <v>0</v>
      </c>
      <c r="C79" s="68">
        <f t="shared" si="48"/>
        <v>0</v>
      </c>
      <c r="D79" s="68">
        <f t="shared" si="49"/>
        <v>0</v>
      </c>
      <c r="E79" s="66">
        <f t="shared" si="60"/>
        <v>0</v>
      </c>
      <c r="F79" s="66"/>
      <c r="G79" s="66">
        <f t="shared" si="46"/>
        <v>0</v>
      </c>
      <c r="H79" s="66">
        <f t="shared" si="61"/>
        <v>0</v>
      </c>
      <c r="I79" s="66">
        <f t="shared" si="50"/>
        <v>0</v>
      </c>
      <c r="J79" s="153">
        <f>MAX(MIN(IF(MONTH($A79)=PRIN_MATURITY,IF(ISNA(VLOOKUP(DATE(YEAR($A79),PRIN_MATURITY,PRIN_MATURITY_DAY_SUB),Summary!$D$12:$CJ$57,COLUMNS(Summary!$D$12:$CJ$12))),0,VLOOKUP(DATE(YEAR($A79),PRIN_MATURITY,PRIN_MATURITY_DAY_SUB),Summary!$D$12:$CJ$57,COLUMNS(Summary!$D$12:$CJ$12))),0),$I79),0)</f>
        <v>0</v>
      </c>
      <c r="K79" s="66">
        <f t="shared" ca="1" si="51"/>
        <v>0</v>
      </c>
      <c r="L79" s="154">
        <f t="shared" ca="1" si="52"/>
        <v>0</v>
      </c>
      <c r="M79" s="66">
        <f t="shared" ca="1" si="43"/>
        <v>0</v>
      </c>
      <c r="N79" s="66">
        <f t="shared" ca="1" si="53"/>
        <v>0</v>
      </c>
      <c r="O79" s="66">
        <f t="shared" ca="1" si="59"/>
        <v>0</v>
      </c>
      <c r="P79" s="70">
        <f t="shared" si="54"/>
        <v>0</v>
      </c>
      <c r="Q79" s="66"/>
      <c r="R79" s="66"/>
      <c r="S79" s="66">
        <f t="shared" ca="1" si="33"/>
        <v>0</v>
      </c>
      <c r="T79" s="70">
        <f t="shared" si="55"/>
        <v>0</v>
      </c>
      <c r="U79" s="70">
        <f ca="1">$G$97-SUM($G$11:G79)</f>
        <v>0</v>
      </c>
      <c r="W79" s="68">
        <f t="shared" si="62"/>
        <v>0</v>
      </c>
      <c r="Z79" s="83">
        <f>IF(MONTH($A79)=PRIN_MATURITY,IF(ISNA(VLOOKUP(DATE(YEAR($A79),PRIN_MATURITY,PRIN_MATURITY_DAY_SENIOR),Summary!$D$14:$CJ$56,COLUMNS(Summary!$D$13:$CJ$15),FALSE))=TRUE,0,VLOOKUP(DATE(YEAR($A79),PRIN_MATURITY,PRIN_MATURITY_DAY_SENIOR),Summary!$D$13:$CJ$56,COLUMNS(Summary!$D$13:$CJ$15),FALSE)),0)</f>
        <v>0</v>
      </c>
      <c r="AA79" s="84">
        <f>IF(ISERROR(IF(ISNA(VLOOKUP($A79,Summary!$D$13:$CJ$54,COLUMNS(Summary!$D$13:$CJ$15),FALSE))=TRUE,0,VLOOKUP($A79,Summary!$D$14:$CJ$54,COLUMNS(Summary!$D$13:$CJ$15),FALSE))/T79),0,IF(ISNA(VLOOKUP($A79,Summary!$C$13:$CJ$54,COLUMNS(Summary!$D$13:$CJ$15)))=TRUE,0,VLOOKUP($A79,Summary!$D$13:$CJ$54,COLUMNS(Summary!$D$13:$CJ$15)))/T79)</f>
        <v>0</v>
      </c>
      <c r="AB79" s="72" t="str">
        <f t="shared" si="39"/>
        <v/>
      </c>
      <c r="AC79" s="83">
        <f t="shared" ca="1" si="63"/>
        <v>0</v>
      </c>
      <c r="AE79" s="83">
        <f t="shared" si="56"/>
        <v>0</v>
      </c>
      <c r="AF79" s="70">
        <f t="shared" ca="1" si="57"/>
        <v>0</v>
      </c>
      <c r="AG79" s="83"/>
    </row>
    <row r="80" spans="1:33" hidden="1" outlineLevel="1" x14ac:dyDescent="0.25">
      <c r="A80" s="67">
        <f t="shared" si="58"/>
        <v>0</v>
      </c>
      <c r="B80" s="68">
        <f t="shared" si="47"/>
        <v>0</v>
      </c>
      <c r="C80" s="68">
        <f t="shared" si="48"/>
        <v>0</v>
      </c>
      <c r="D80" s="68">
        <f t="shared" si="49"/>
        <v>0</v>
      </c>
      <c r="E80" s="66">
        <f t="shared" si="60"/>
        <v>0</v>
      </c>
      <c r="F80" s="66"/>
      <c r="G80" s="66">
        <f t="shared" si="46"/>
        <v>0</v>
      </c>
      <c r="H80" s="66">
        <f t="shared" si="61"/>
        <v>0</v>
      </c>
      <c r="I80" s="66">
        <f t="shared" si="50"/>
        <v>0</v>
      </c>
      <c r="J80" s="153">
        <f>MAX(MIN(IF(MONTH($A80)=PRIN_MATURITY,IF(ISNA(VLOOKUP(DATE(YEAR($A80),PRIN_MATURITY,PRIN_MATURITY_DAY_SUB),Summary!$D$12:$CJ$57,COLUMNS(Summary!$D$12:$CJ$12))),0,VLOOKUP(DATE(YEAR($A80),PRIN_MATURITY,PRIN_MATURITY_DAY_SUB),Summary!$D$12:$CJ$57,COLUMNS(Summary!$D$12:$CJ$12))),0),$I80),0)</f>
        <v>0</v>
      </c>
      <c r="K80" s="66">
        <f t="shared" ca="1" si="51"/>
        <v>0</v>
      </c>
      <c r="L80" s="154">
        <f t="shared" ca="1" si="52"/>
        <v>0</v>
      </c>
      <c r="M80" s="66">
        <f t="shared" ca="1" si="43"/>
        <v>0</v>
      </c>
      <c r="N80" s="66">
        <f t="shared" ca="1" si="53"/>
        <v>0</v>
      </c>
      <c r="O80" s="66">
        <f t="shared" ca="1" si="59"/>
        <v>0</v>
      </c>
      <c r="P80" s="70">
        <f t="shared" si="54"/>
        <v>0</v>
      </c>
      <c r="Q80" s="66"/>
      <c r="R80" s="66"/>
      <c r="S80" s="66">
        <f t="shared" ca="1" si="33"/>
        <v>0</v>
      </c>
      <c r="T80" s="70">
        <f t="shared" si="55"/>
        <v>0</v>
      </c>
      <c r="U80" s="70">
        <f ca="1">$G$97-SUM($G$11:G80)</f>
        <v>0</v>
      </c>
      <c r="W80" s="68">
        <f t="shared" si="62"/>
        <v>0</v>
      </c>
      <c r="Z80" s="83">
        <f>IF(MONTH($A80)=PRIN_MATURITY,IF(ISNA(VLOOKUP(DATE(YEAR($A80),PRIN_MATURITY,PRIN_MATURITY_DAY_SENIOR),Summary!$D$14:$CJ$56,COLUMNS(Summary!$D$13:$CJ$15),FALSE))=TRUE,0,VLOOKUP(DATE(YEAR($A80),PRIN_MATURITY,PRIN_MATURITY_DAY_SENIOR),Summary!$D$13:$CJ$56,COLUMNS(Summary!$D$13:$CJ$15),FALSE)),0)</f>
        <v>0</v>
      </c>
      <c r="AA80" s="84">
        <f>IF(ISERROR(IF(ISNA(VLOOKUP($A80,Summary!$D$13:$CJ$54,COLUMNS(Summary!$D$13:$CJ$15),FALSE))=TRUE,0,VLOOKUP($A80,Summary!$D$14:$CJ$54,COLUMNS(Summary!$D$13:$CJ$15),FALSE))/T80),0,IF(ISNA(VLOOKUP($A80,Summary!$C$13:$CJ$54,COLUMNS(Summary!$D$13:$CJ$15)))=TRUE,0,VLOOKUP($A80,Summary!$D$13:$CJ$54,COLUMNS(Summary!$D$13:$CJ$15)))/T80)</f>
        <v>0</v>
      </c>
      <c r="AB80" s="72" t="str">
        <f t="shared" si="39"/>
        <v/>
      </c>
      <c r="AC80" s="83">
        <f t="shared" ca="1" si="63"/>
        <v>0</v>
      </c>
      <c r="AE80" s="83">
        <f t="shared" si="56"/>
        <v>0</v>
      </c>
      <c r="AF80" s="70">
        <f t="shared" ca="1" si="57"/>
        <v>0</v>
      </c>
      <c r="AG80" s="83"/>
    </row>
    <row r="81" spans="1:33" hidden="1" outlineLevel="1" x14ac:dyDescent="0.25">
      <c r="A81" s="67">
        <f t="shared" si="58"/>
        <v>0</v>
      </c>
      <c r="B81" s="68">
        <f t="shared" si="47"/>
        <v>0</v>
      </c>
      <c r="C81" s="68">
        <f t="shared" si="48"/>
        <v>0</v>
      </c>
      <c r="D81" s="68">
        <f t="shared" si="49"/>
        <v>0</v>
      </c>
      <c r="E81" s="66">
        <f t="shared" si="60"/>
        <v>0</v>
      </c>
      <c r="F81" s="66"/>
      <c r="G81" s="66">
        <f t="shared" si="46"/>
        <v>0</v>
      </c>
      <c r="H81" s="66">
        <f t="shared" si="61"/>
        <v>0</v>
      </c>
      <c r="I81" s="66">
        <f t="shared" si="50"/>
        <v>0</v>
      </c>
      <c r="J81" s="153">
        <f>MAX(MIN(IF(MONTH($A81)=PRIN_MATURITY,IF(ISNA(VLOOKUP(DATE(YEAR($A81),PRIN_MATURITY,PRIN_MATURITY_DAY_SUB),Summary!$D$12:$CJ$57,COLUMNS(Summary!$D$12:$CJ$12))),0,VLOOKUP(DATE(YEAR($A81),PRIN_MATURITY,PRIN_MATURITY_DAY_SUB),Summary!$D$12:$CJ$57,COLUMNS(Summary!$D$12:$CJ$12))),0),$I81),0)</f>
        <v>0</v>
      </c>
      <c r="K81" s="66">
        <f t="shared" ca="1" si="51"/>
        <v>0</v>
      </c>
      <c r="L81" s="154">
        <f t="shared" ca="1" si="52"/>
        <v>0</v>
      </c>
      <c r="M81" s="66">
        <f t="shared" ca="1" si="43"/>
        <v>0</v>
      </c>
      <c r="N81" s="66">
        <f t="shared" ca="1" si="53"/>
        <v>0</v>
      </c>
      <c r="O81" s="66">
        <f t="shared" ca="1" si="59"/>
        <v>0</v>
      </c>
      <c r="P81" s="70">
        <f t="shared" si="54"/>
        <v>0</v>
      </c>
      <c r="Q81" s="66"/>
      <c r="R81" s="66"/>
      <c r="S81" s="66">
        <f t="shared" ca="1" si="33"/>
        <v>0</v>
      </c>
      <c r="T81" s="70">
        <f t="shared" si="55"/>
        <v>0</v>
      </c>
      <c r="U81" s="70">
        <f ca="1">$G$97-SUM($G$11:G81)</f>
        <v>0</v>
      </c>
      <c r="W81" s="68">
        <f t="shared" si="62"/>
        <v>0</v>
      </c>
      <c r="Z81" s="83">
        <f>IF(MONTH($A81)=PRIN_MATURITY,IF(ISNA(VLOOKUP(DATE(YEAR($A81),PRIN_MATURITY,PRIN_MATURITY_DAY_SENIOR),Summary!$D$14:$CJ$56,COLUMNS(Summary!$D$13:$CJ$15),FALSE))=TRUE,0,VLOOKUP(DATE(YEAR($A81),PRIN_MATURITY,PRIN_MATURITY_DAY_SENIOR),Summary!$D$13:$CJ$56,COLUMNS(Summary!$D$13:$CJ$15),FALSE)),0)</f>
        <v>0</v>
      </c>
      <c r="AA81" s="84">
        <f>IF(ISERROR(IF(ISNA(VLOOKUP($A81,Summary!$D$13:$CJ$54,COLUMNS(Summary!$D$13:$CJ$15),FALSE))=TRUE,0,VLOOKUP($A81,Summary!$D$14:$CJ$54,COLUMNS(Summary!$D$13:$CJ$15),FALSE))/T81),0,IF(ISNA(VLOOKUP($A81,Summary!$C$13:$CJ$54,COLUMNS(Summary!$D$13:$CJ$15)))=TRUE,0,VLOOKUP($A81,Summary!$D$13:$CJ$54,COLUMNS(Summary!$D$13:$CJ$15)))/T81)</f>
        <v>0</v>
      </c>
      <c r="AB81" s="72" t="str">
        <f t="shared" si="39"/>
        <v/>
      </c>
      <c r="AC81" s="83">
        <f t="shared" ca="1" si="63"/>
        <v>0</v>
      </c>
      <c r="AE81" s="83">
        <f t="shared" si="56"/>
        <v>0</v>
      </c>
      <c r="AF81" s="70">
        <f t="shared" ca="1" si="57"/>
        <v>0</v>
      </c>
      <c r="AG81" s="83"/>
    </row>
    <row r="82" spans="1:33" hidden="1" outlineLevel="1" x14ac:dyDescent="0.25">
      <c r="A82" s="67">
        <f t="shared" si="58"/>
        <v>0</v>
      </c>
      <c r="B82" s="68">
        <f t="shared" si="47"/>
        <v>0</v>
      </c>
      <c r="C82" s="68">
        <f t="shared" si="48"/>
        <v>0</v>
      </c>
      <c r="D82" s="68">
        <f t="shared" si="49"/>
        <v>0</v>
      </c>
      <c r="E82" s="66">
        <f t="shared" si="60"/>
        <v>0</v>
      </c>
      <c r="F82" s="66"/>
      <c r="G82" s="66">
        <f>IF(SUB_SIZING_THRESHOLD&gt;IF(B82=0,0, MAX(0,INT(((($Z82)/$AB82-H83*2*W82))/(1+B82*W82)/1000)*1000)),0,IF(B82=0,0, MAX(0,INT(((($Z82)/$AB82-H83*2*W82))/(1+B82*W82)/1000)*1000)))</f>
        <v>0</v>
      </c>
      <c r="H82" s="66">
        <f t="shared" si="61"/>
        <v>0</v>
      </c>
      <c r="I82" s="66">
        <f t="shared" si="50"/>
        <v>0</v>
      </c>
      <c r="J82" s="153">
        <f>MAX(MIN(IF(MONTH($A82)=PRIN_MATURITY,IF(ISNA(VLOOKUP(DATE(YEAR($A82),PRIN_MATURITY,PRIN_MATURITY_DAY_SUB),Summary!$D$12:$CJ$57,COLUMNS(Summary!$D$12:$CJ$12))),0,VLOOKUP(DATE(YEAR($A82),PRIN_MATURITY,PRIN_MATURITY_DAY_SUB),Summary!$D$12:$CJ$57,COLUMNS(Summary!$D$12:$CJ$12))),0),$I82),0)</f>
        <v>0</v>
      </c>
      <c r="K82" s="66">
        <f t="shared" ca="1" si="51"/>
        <v>0</v>
      </c>
      <c r="L82" s="154">
        <f t="shared" ca="1" si="52"/>
        <v>0</v>
      </c>
      <c r="M82" s="66">
        <f t="shared" ca="1" si="43"/>
        <v>0</v>
      </c>
      <c r="N82" s="66">
        <f t="shared" ca="1" si="53"/>
        <v>0</v>
      </c>
      <c r="O82" s="66">
        <f t="shared" ca="1" si="59"/>
        <v>0</v>
      </c>
      <c r="P82" s="70">
        <f t="shared" si="54"/>
        <v>0</v>
      </c>
      <c r="Q82" s="66"/>
      <c r="R82" s="66"/>
      <c r="S82" s="66">
        <f t="shared" ca="1" si="33"/>
        <v>0</v>
      </c>
      <c r="T82" s="70">
        <f t="shared" si="55"/>
        <v>0</v>
      </c>
      <c r="U82" s="70">
        <f ca="1">$G$97-SUM($G$11:G82)</f>
        <v>0</v>
      </c>
      <c r="W82" s="68">
        <f t="shared" si="62"/>
        <v>0</v>
      </c>
      <c r="Z82" s="83">
        <f>IF(MONTH($A82)=PRIN_MATURITY,IF(ISNA(VLOOKUP(DATE(YEAR($A82),PRIN_MATURITY,PRIN_MATURITY_DAY_SENIOR),Summary!$D$14:$CJ$56,COLUMNS(Summary!$D$13:$CJ$15),FALSE))=TRUE,0,VLOOKUP(DATE(YEAR($A82),PRIN_MATURITY,PRIN_MATURITY_DAY_SENIOR),Summary!$D$13:$CJ$56,COLUMNS(Summary!$D$13:$CJ$15),FALSE)),0)</f>
        <v>0</v>
      </c>
      <c r="AA82" s="84">
        <f>IF(ISERROR(IF(ISNA(VLOOKUP($A82,Summary!$D$13:$CJ$54,COLUMNS(Summary!$D$13:$CJ$15),FALSE))=TRUE,0,VLOOKUP($A82,Summary!$D$14:$CJ$54,COLUMNS(Summary!$D$13:$CJ$15),FALSE))/T82),0,IF(ISNA(VLOOKUP($A82,Summary!$C$13:$CJ$54,COLUMNS(Summary!$D$13:$CJ$15)))=TRUE,0,VLOOKUP($A82,Summary!$D$13:$CJ$54,COLUMNS(Summary!$D$13:$CJ$15)))/T82)</f>
        <v>0</v>
      </c>
      <c r="AB82" s="72" t="str">
        <f t="shared" si="39"/>
        <v/>
      </c>
      <c r="AC82" s="83">
        <f t="shared" ca="1" si="63"/>
        <v>0</v>
      </c>
      <c r="AE82" s="83">
        <f t="shared" si="56"/>
        <v>0</v>
      </c>
      <c r="AF82" s="70">
        <f t="shared" ca="1" si="57"/>
        <v>0</v>
      </c>
      <c r="AG82" s="83"/>
    </row>
    <row r="83" spans="1:33" hidden="1" outlineLevel="1" x14ac:dyDescent="0.25">
      <c r="A83" s="67">
        <f t="shared" si="58"/>
        <v>0</v>
      </c>
      <c r="B83" s="68">
        <f t="shared" si="47"/>
        <v>0</v>
      </c>
      <c r="C83" s="68">
        <f t="shared" si="48"/>
        <v>0</v>
      </c>
      <c r="D83" s="68">
        <f t="shared" si="49"/>
        <v>0</v>
      </c>
      <c r="E83" s="66">
        <f t="shared" si="60"/>
        <v>0</v>
      </c>
      <c r="F83" s="66"/>
      <c r="G83" s="66"/>
      <c r="H83" s="66">
        <f t="shared" si="61"/>
        <v>0</v>
      </c>
      <c r="I83" s="66">
        <f t="shared" si="50"/>
        <v>0</v>
      </c>
      <c r="J83" s="153">
        <f>MAX(MIN(IF(MONTH($A83)=PRIN_MATURITY,IF(ISNA(VLOOKUP(DATE(YEAR($A83),PRIN_MATURITY,PRIN_MATURITY_DAY_SUB),Summary!$D$12:$CJ$57,COLUMNS(Summary!$D$12:$CJ$12))),0,VLOOKUP(DATE(YEAR($A83),PRIN_MATURITY,PRIN_MATURITY_DAY_SUB),Summary!$D$12:$CJ$57,COLUMNS(Summary!$D$12:$CJ$12))),0),$I83),0)</f>
        <v>0</v>
      </c>
      <c r="K83" s="66">
        <f t="shared" ca="1" si="51"/>
        <v>0</v>
      </c>
      <c r="L83" s="154">
        <f t="shared" ca="1" si="52"/>
        <v>0</v>
      </c>
      <c r="M83" s="66">
        <f t="shared" ca="1" si="43"/>
        <v>0</v>
      </c>
      <c r="N83" s="66">
        <f t="shared" ca="1" si="53"/>
        <v>0</v>
      </c>
      <c r="O83" s="66">
        <f t="shared" ca="1" si="59"/>
        <v>0</v>
      </c>
      <c r="P83" s="70">
        <f t="shared" si="54"/>
        <v>0</v>
      </c>
      <c r="Q83" s="66"/>
      <c r="R83" s="66"/>
      <c r="S83" s="66">
        <f t="shared" ca="1" si="33"/>
        <v>0</v>
      </c>
      <c r="T83" s="70">
        <f t="shared" si="55"/>
        <v>0</v>
      </c>
      <c r="U83" s="70">
        <f ca="1">$G$97-SUM($G$11:G83)</f>
        <v>0</v>
      </c>
      <c r="W83" s="68">
        <f t="shared" si="62"/>
        <v>0</v>
      </c>
      <c r="Z83" s="83">
        <f>IF(MONTH($A83)=PRIN_MATURITY,IF(ISNA(VLOOKUP(DATE(YEAR($A83),PRIN_MATURITY,PRIN_MATURITY_DAY_SENIOR),Summary!$D$14:$CJ$56,COLUMNS(Summary!$D$13:$CJ$15),FALSE))=TRUE,0,VLOOKUP(DATE(YEAR($A83),PRIN_MATURITY,PRIN_MATURITY_DAY_SENIOR),Summary!$D$13:$CJ$56,COLUMNS(Summary!$D$13:$CJ$15),FALSE)),0)</f>
        <v>0</v>
      </c>
      <c r="AA83" s="84">
        <f>IF(ISERROR(IF(ISNA(VLOOKUP($A83,Summary!$D$13:$CJ$54,COLUMNS(Summary!$D$13:$CJ$15),FALSE))=TRUE,0,VLOOKUP($A83,Summary!$D$14:$CJ$54,COLUMNS(Summary!$D$13:$CJ$15),FALSE))/T83),0,IF(ISNA(VLOOKUP($A83,Summary!$C$13:$CJ$54,COLUMNS(Summary!$D$13:$CJ$15)))=TRUE,0,VLOOKUP($A83,Summary!$D$13:$CJ$54,COLUMNS(Summary!$D$13:$CJ$15)))/T83)</f>
        <v>0</v>
      </c>
      <c r="AB83" s="72" t="str">
        <f t="shared" si="39"/>
        <v/>
      </c>
      <c r="AC83" s="83">
        <f t="shared" ca="1" si="63"/>
        <v>0</v>
      </c>
      <c r="AE83" s="83">
        <f t="shared" si="56"/>
        <v>0</v>
      </c>
      <c r="AF83" s="70">
        <f t="shared" ca="1" si="57"/>
        <v>0</v>
      </c>
      <c r="AG83" s="83"/>
    </row>
    <row r="84" spans="1:33" hidden="1" outlineLevel="1" x14ac:dyDescent="0.25">
      <c r="A84" s="67">
        <f t="shared" si="58"/>
        <v>0</v>
      </c>
      <c r="B84" s="68">
        <f t="shared" si="47"/>
        <v>0</v>
      </c>
      <c r="C84" s="68">
        <f t="shared" si="48"/>
        <v>0</v>
      </c>
      <c r="D84" s="68">
        <f t="shared" si="49"/>
        <v>0</v>
      </c>
      <c r="E84" s="66">
        <f t="shared" si="60"/>
        <v>0</v>
      </c>
      <c r="F84" s="66"/>
      <c r="G84" s="66"/>
      <c r="H84" s="66">
        <f t="shared" si="61"/>
        <v>0</v>
      </c>
      <c r="I84" s="66">
        <f t="shared" si="50"/>
        <v>0</v>
      </c>
      <c r="J84" s="153">
        <f>MAX(MIN(IF(MONTH($A84)=PRIN_MATURITY,IF(ISNA(VLOOKUP(DATE(YEAR($A84),PRIN_MATURITY,PRIN_MATURITY_DAY_SUB),Summary!$D$12:$CJ$57,COLUMNS(Summary!$D$12:$CJ$12))),0,VLOOKUP(DATE(YEAR($A84),PRIN_MATURITY,PRIN_MATURITY_DAY_SUB),Summary!$D$12:$CJ$57,COLUMNS(Summary!$D$12:$CJ$12))),0),$I84),0)</f>
        <v>0</v>
      </c>
      <c r="K84" s="66">
        <f t="shared" ca="1" si="51"/>
        <v>0</v>
      </c>
      <c r="L84" s="154">
        <f t="shared" ca="1" si="52"/>
        <v>0</v>
      </c>
      <c r="M84" s="66">
        <f t="shared" ca="1" si="43"/>
        <v>0</v>
      </c>
      <c r="N84" s="66">
        <f t="shared" ca="1" si="53"/>
        <v>0</v>
      </c>
      <c r="O84" s="66">
        <f t="shared" ca="1" si="59"/>
        <v>0</v>
      </c>
      <c r="P84" s="70">
        <f t="shared" si="54"/>
        <v>0</v>
      </c>
      <c r="Q84" s="66"/>
      <c r="R84" s="66"/>
      <c r="S84" s="66">
        <f t="shared" ca="1" si="33"/>
        <v>0</v>
      </c>
      <c r="T84" s="70">
        <f t="shared" si="55"/>
        <v>0</v>
      </c>
      <c r="U84" s="70">
        <f ca="1">$G$97-SUM($G$11:G84)</f>
        <v>0</v>
      </c>
      <c r="W84" s="68">
        <f t="shared" si="62"/>
        <v>0</v>
      </c>
      <c r="Z84" s="83">
        <f>IF(MONTH($A84)=PRIN_MATURITY,IF(ISNA(VLOOKUP(DATE(YEAR($A84),PRIN_MATURITY,PRIN_MATURITY_DAY_SENIOR),Summary!$D$14:$CJ$56,COLUMNS(Summary!$D$13:$CJ$15),FALSE))=TRUE,0,VLOOKUP(DATE(YEAR($A84),PRIN_MATURITY,PRIN_MATURITY_DAY_SENIOR),Summary!$D$13:$CJ$56,COLUMNS(Summary!$D$13:$CJ$15),FALSE)),0)</f>
        <v>0</v>
      </c>
      <c r="AA84" s="84">
        <f>IF(ISERROR(IF(ISNA(VLOOKUP($A84,Summary!$D$13:$CJ$54,COLUMNS(Summary!$D$13:$CJ$15),FALSE))=TRUE,0,VLOOKUP($A84,Summary!$D$14:$CJ$54,COLUMNS(Summary!$D$13:$CJ$15),FALSE))/T84),0,IF(ISNA(VLOOKUP($A84,Summary!$C$13:$CJ$54,COLUMNS(Summary!$D$13:$CJ$15)))=TRUE,0,VLOOKUP($A84,Summary!$D$13:$CJ$54,COLUMNS(Summary!$D$13:$CJ$15)))/T84)</f>
        <v>0</v>
      </c>
      <c r="AB84" s="72" t="str">
        <f t="shared" si="39"/>
        <v/>
      </c>
      <c r="AC84" s="83">
        <f t="shared" ca="1" si="63"/>
        <v>0</v>
      </c>
      <c r="AE84" s="83">
        <f t="shared" si="56"/>
        <v>0</v>
      </c>
      <c r="AF84" s="70">
        <f t="shared" ca="1" si="57"/>
        <v>0</v>
      </c>
      <c r="AG84" s="83"/>
    </row>
    <row r="85" spans="1:33" hidden="1" outlineLevel="1" x14ac:dyDescent="0.25">
      <c r="A85" s="67">
        <f t="shared" si="58"/>
        <v>0</v>
      </c>
      <c r="B85" s="68">
        <f t="shared" si="47"/>
        <v>0</v>
      </c>
      <c r="C85" s="68">
        <f t="shared" si="48"/>
        <v>0</v>
      </c>
      <c r="D85" s="68">
        <f t="shared" si="49"/>
        <v>0</v>
      </c>
      <c r="E85" s="66">
        <f t="shared" si="60"/>
        <v>0</v>
      </c>
      <c r="F85" s="66"/>
      <c r="G85" s="66"/>
      <c r="H85" s="66">
        <f t="shared" si="61"/>
        <v>0</v>
      </c>
      <c r="I85" s="66">
        <f t="shared" si="50"/>
        <v>0</v>
      </c>
      <c r="J85" s="153">
        <f>MAX(MIN(IF(MONTH($A85)=PRIN_MATURITY,IF(ISNA(VLOOKUP(DATE(YEAR($A85),PRIN_MATURITY,PRIN_MATURITY_DAY_SUB),Summary!$D$12:$CJ$57,COLUMNS(Summary!$D$12:$CJ$12))),0,VLOOKUP(DATE(YEAR($A85),PRIN_MATURITY,PRIN_MATURITY_DAY_SUB),Summary!$D$12:$CJ$57,COLUMNS(Summary!$D$12:$CJ$12))),0),$I85),0)</f>
        <v>0</v>
      </c>
      <c r="K85" s="66">
        <f t="shared" ca="1" si="51"/>
        <v>0</v>
      </c>
      <c r="L85" s="154">
        <f t="shared" ca="1" si="52"/>
        <v>0</v>
      </c>
      <c r="M85" s="66">
        <f t="shared" ca="1" si="43"/>
        <v>0</v>
      </c>
      <c r="N85" s="66">
        <f t="shared" ca="1" si="53"/>
        <v>0</v>
      </c>
      <c r="O85" s="66">
        <f t="shared" ca="1" si="59"/>
        <v>0</v>
      </c>
      <c r="P85" s="70">
        <f t="shared" si="54"/>
        <v>0</v>
      </c>
      <c r="Q85" s="66"/>
      <c r="R85" s="66"/>
      <c r="S85" s="66">
        <f t="shared" ca="1" si="33"/>
        <v>0</v>
      </c>
      <c r="T85" s="70">
        <f t="shared" si="55"/>
        <v>0</v>
      </c>
      <c r="U85" s="70">
        <f ca="1">$G$97-SUM($G$11:G85)</f>
        <v>0</v>
      </c>
      <c r="W85" s="68">
        <f t="shared" si="62"/>
        <v>0</v>
      </c>
      <c r="Z85" s="83">
        <f>IF(MONTH($A85)=PRIN_MATURITY,IF(ISNA(VLOOKUP(DATE(YEAR($A85),PRIN_MATURITY,PRIN_MATURITY_DAY_SENIOR),Summary!$D$14:$CJ$56,COLUMNS(Summary!$D$13:$CJ$15),FALSE))=TRUE,0,VLOOKUP(DATE(YEAR($A85),PRIN_MATURITY,PRIN_MATURITY_DAY_SENIOR),Summary!$D$13:$CJ$56,COLUMNS(Summary!$D$13:$CJ$15),FALSE)),0)</f>
        <v>0</v>
      </c>
      <c r="AA85" s="84">
        <f>IF(ISERROR(IF(ISNA(VLOOKUP($A85,Summary!$D$13:$CJ$54,COLUMNS(Summary!$D$13:$CJ$15),FALSE))=TRUE,0,VLOOKUP($A85,Summary!$D$14:$CJ$54,COLUMNS(Summary!$D$13:$CJ$15),FALSE))/T85),0,IF(ISNA(VLOOKUP($A85,Summary!$C$13:$CJ$54,COLUMNS(Summary!$D$13:$CJ$15)))=TRUE,0,VLOOKUP($A85,Summary!$D$13:$CJ$54,COLUMNS(Summary!$D$13:$CJ$15)))/T85)</f>
        <v>0</v>
      </c>
      <c r="AB85" s="72" t="str">
        <f t="shared" si="39"/>
        <v/>
      </c>
      <c r="AC85" s="83">
        <f t="shared" ca="1" si="63"/>
        <v>0</v>
      </c>
      <c r="AE85" s="83">
        <f t="shared" si="56"/>
        <v>0</v>
      </c>
      <c r="AF85" s="70">
        <f t="shared" ca="1" si="57"/>
        <v>0</v>
      </c>
      <c r="AG85" s="83"/>
    </row>
    <row r="86" spans="1:33" hidden="1" outlineLevel="1" x14ac:dyDescent="0.25">
      <c r="A86" s="67">
        <f t="shared" si="58"/>
        <v>0</v>
      </c>
      <c r="B86" s="68">
        <f t="shared" si="47"/>
        <v>0</v>
      </c>
      <c r="C86" s="68">
        <f t="shared" si="48"/>
        <v>0</v>
      </c>
      <c r="D86" s="68">
        <f t="shared" si="49"/>
        <v>0</v>
      </c>
      <c r="E86" s="66">
        <f t="shared" si="60"/>
        <v>0</v>
      </c>
      <c r="F86" s="66"/>
      <c r="G86" s="66"/>
      <c r="H86" s="66">
        <f t="shared" si="61"/>
        <v>0</v>
      </c>
      <c r="I86" s="66">
        <f t="shared" si="50"/>
        <v>0</v>
      </c>
      <c r="J86" s="153">
        <f>MAX(MIN(IF(MONTH($A86)=PRIN_MATURITY,IF(ISNA(VLOOKUP(DATE(YEAR($A86),PRIN_MATURITY,PRIN_MATURITY_DAY_SUB),Summary!$D$12:$CJ$57,COLUMNS(Summary!$D$12:$CJ$12))),0,VLOOKUP(DATE(YEAR($A86),PRIN_MATURITY,PRIN_MATURITY_DAY_SUB),Summary!$D$12:$CJ$57,COLUMNS(Summary!$D$12:$CJ$12))),0),$I86),0)</f>
        <v>0</v>
      </c>
      <c r="K86" s="66">
        <f t="shared" ca="1" si="51"/>
        <v>0</v>
      </c>
      <c r="L86" s="154">
        <f t="shared" ca="1" si="52"/>
        <v>0</v>
      </c>
      <c r="M86" s="66">
        <f t="shared" ca="1" si="43"/>
        <v>0</v>
      </c>
      <c r="N86" s="66">
        <f t="shared" ca="1" si="53"/>
        <v>0</v>
      </c>
      <c r="O86" s="66">
        <f t="shared" ca="1" si="59"/>
        <v>0</v>
      </c>
      <c r="P86" s="70">
        <f t="shared" si="54"/>
        <v>0</v>
      </c>
      <c r="Q86" s="66"/>
      <c r="R86" s="66"/>
      <c r="S86" s="66">
        <f t="shared" ca="1" si="33"/>
        <v>0</v>
      </c>
      <c r="T86" s="70">
        <f t="shared" si="55"/>
        <v>0</v>
      </c>
      <c r="U86" s="70">
        <f ca="1">$G$97-SUM($G$11:G86)</f>
        <v>0</v>
      </c>
      <c r="W86" s="68">
        <f t="shared" si="62"/>
        <v>0</v>
      </c>
      <c r="Z86" s="83">
        <f>IF(MONTH($A86)=PRIN_MATURITY,IF(ISNA(VLOOKUP(DATE(YEAR($A86),PRIN_MATURITY,PRIN_MATURITY_DAY_SENIOR),Summary!$D$14:$CJ$56,COLUMNS(Summary!$D$13:$CJ$15),FALSE))=TRUE,0,VLOOKUP(DATE(YEAR($A86),PRIN_MATURITY,PRIN_MATURITY_DAY_SENIOR),Summary!$D$13:$CJ$56,COLUMNS(Summary!$D$13:$CJ$15),FALSE)),0)</f>
        <v>0</v>
      </c>
      <c r="AA86" s="84">
        <f>IF(ISERROR(IF(ISNA(VLOOKUP($A86,Summary!$D$13:$CJ$54,COLUMNS(Summary!$D$13:$CJ$15),FALSE))=TRUE,0,VLOOKUP($A86,Summary!$D$14:$CJ$54,COLUMNS(Summary!$D$13:$CJ$15),FALSE))/T86),0,IF(ISNA(VLOOKUP($A86,Summary!$C$13:$CJ$54,COLUMNS(Summary!$D$13:$CJ$15)))=TRUE,0,VLOOKUP($A86,Summary!$D$13:$CJ$54,COLUMNS(Summary!$D$13:$CJ$15)))/T86)</f>
        <v>0</v>
      </c>
      <c r="AB86" s="72" t="str">
        <f t="shared" si="39"/>
        <v/>
      </c>
      <c r="AC86" s="83">
        <f t="shared" ca="1" si="63"/>
        <v>0</v>
      </c>
      <c r="AE86" s="83">
        <f t="shared" si="56"/>
        <v>0</v>
      </c>
      <c r="AF86" s="70">
        <f t="shared" ca="1" si="57"/>
        <v>0</v>
      </c>
      <c r="AG86" s="83"/>
    </row>
    <row r="87" spans="1:33" hidden="1" outlineLevel="1" x14ac:dyDescent="0.25">
      <c r="A87" s="67">
        <f t="shared" si="58"/>
        <v>0</v>
      </c>
      <c r="B87" s="68">
        <f t="shared" si="47"/>
        <v>0</v>
      </c>
      <c r="C87" s="68">
        <f t="shared" si="48"/>
        <v>0</v>
      </c>
      <c r="D87" s="68">
        <f t="shared" si="49"/>
        <v>0</v>
      </c>
      <c r="E87" s="66">
        <f t="shared" si="60"/>
        <v>0</v>
      </c>
      <c r="F87" s="66"/>
      <c r="G87" s="66"/>
      <c r="H87" s="66">
        <f t="shared" si="61"/>
        <v>0</v>
      </c>
      <c r="I87" s="66">
        <f t="shared" si="50"/>
        <v>0</v>
      </c>
      <c r="J87" s="153">
        <f>MAX(MIN(IF(MONTH($A87)=PRIN_MATURITY,IF(ISNA(VLOOKUP(DATE(YEAR($A87),PRIN_MATURITY,PRIN_MATURITY_DAY_SUB),Summary!$D$12:$CJ$57,COLUMNS(Summary!$D$12:$CJ$12))),0,VLOOKUP(DATE(YEAR($A87),PRIN_MATURITY,PRIN_MATURITY_DAY_SUB),Summary!$D$12:$CJ$57,COLUMNS(Summary!$D$12:$CJ$12))),0),$I87),0)</f>
        <v>0</v>
      </c>
      <c r="K87" s="66">
        <f t="shared" ca="1" si="51"/>
        <v>0</v>
      </c>
      <c r="L87" s="154">
        <f t="shared" ca="1" si="52"/>
        <v>0</v>
      </c>
      <c r="M87" s="66">
        <f t="shared" ca="1" si="43"/>
        <v>0</v>
      </c>
      <c r="N87" s="66">
        <f t="shared" ca="1" si="53"/>
        <v>0</v>
      </c>
      <c r="O87" s="66">
        <f t="shared" ca="1" si="59"/>
        <v>0</v>
      </c>
      <c r="P87" s="70">
        <f t="shared" si="54"/>
        <v>0</v>
      </c>
      <c r="Q87" s="66"/>
      <c r="R87" s="66"/>
      <c r="S87" s="66">
        <f t="shared" ca="1" si="33"/>
        <v>0</v>
      </c>
      <c r="T87" s="70">
        <f t="shared" si="55"/>
        <v>0</v>
      </c>
      <c r="U87" s="70">
        <f ca="1">$G$97-SUM($G$11:G87)</f>
        <v>0</v>
      </c>
      <c r="W87" s="68">
        <f t="shared" si="62"/>
        <v>0</v>
      </c>
      <c r="Z87" s="83">
        <f>IF(MONTH($A87)=PRIN_MATURITY,IF(ISNA(VLOOKUP(DATE(YEAR($A87),PRIN_MATURITY,PRIN_MATURITY_DAY_SENIOR),Summary!$D$14:$CJ$56,COLUMNS(Summary!$D$13:$CJ$15),FALSE))=TRUE,0,VLOOKUP(DATE(YEAR($A87),PRIN_MATURITY,PRIN_MATURITY_DAY_SENIOR),Summary!$D$13:$CJ$56,COLUMNS(Summary!$D$13:$CJ$15),FALSE)),0)</f>
        <v>0</v>
      </c>
      <c r="AA87" s="84">
        <f>IF(ISERROR(IF(ISNA(VLOOKUP($A87,Summary!$D$13:$CJ$54,COLUMNS(Summary!$D$13:$CJ$15),FALSE))=TRUE,0,VLOOKUP($A87,Summary!$D$14:$CJ$54,COLUMNS(Summary!$D$13:$CJ$15),FALSE))/T87),0,IF(ISNA(VLOOKUP($A87,Summary!$C$13:$CJ$54,COLUMNS(Summary!$D$13:$CJ$15)))=TRUE,0,VLOOKUP($A87,Summary!$D$13:$CJ$54,COLUMNS(Summary!$D$13:$CJ$15)))/T87)</f>
        <v>0</v>
      </c>
      <c r="AB87" s="72" t="str">
        <f t="shared" si="39"/>
        <v/>
      </c>
      <c r="AC87" s="83">
        <f t="shared" ca="1" si="63"/>
        <v>0</v>
      </c>
      <c r="AE87" s="83">
        <f t="shared" si="56"/>
        <v>0</v>
      </c>
      <c r="AF87" s="70">
        <f t="shared" ca="1" si="57"/>
        <v>0</v>
      </c>
      <c r="AG87" s="83"/>
    </row>
    <row r="88" spans="1:33" hidden="1" outlineLevel="1" x14ac:dyDescent="0.25">
      <c r="A88" s="67">
        <f t="shared" si="58"/>
        <v>0</v>
      </c>
      <c r="B88" s="68">
        <f t="shared" si="47"/>
        <v>0</v>
      </c>
      <c r="C88" s="68">
        <f t="shared" si="48"/>
        <v>0</v>
      </c>
      <c r="D88" s="68">
        <f t="shared" si="49"/>
        <v>0</v>
      </c>
      <c r="E88" s="66">
        <f t="shared" si="60"/>
        <v>0</v>
      </c>
      <c r="F88" s="66"/>
      <c r="G88" s="66"/>
      <c r="H88" s="66">
        <f t="shared" si="61"/>
        <v>0</v>
      </c>
      <c r="I88" s="66">
        <f t="shared" si="50"/>
        <v>0</v>
      </c>
      <c r="J88" s="153">
        <f>MAX(MIN(IF(MONTH($A88)=PRIN_MATURITY,IF(ISNA(VLOOKUP(DATE(YEAR($A88),PRIN_MATURITY,PRIN_MATURITY_DAY_SUB),Summary!$D$12:$CJ$57,COLUMNS(Summary!$D$12:$CJ$12))),0,VLOOKUP(DATE(YEAR($A88),PRIN_MATURITY,PRIN_MATURITY_DAY_SUB),Summary!$D$12:$CJ$57,COLUMNS(Summary!$D$12:$CJ$12))),0),$I88),0)</f>
        <v>0</v>
      </c>
      <c r="K88" s="66">
        <f t="shared" ca="1" si="51"/>
        <v>0</v>
      </c>
      <c r="L88" s="154">
        <f t="shared" ca="1" si="52"/>
        <v>0</v>
      </c>
      <c r="M88" s="66">
        <f t="shared" ca="1" si="43"/>
        <v>0</v>
      </c>
      <c r="N88" s="66">
        <f t="shared" ca="1" si="53"/>
        <v>0</v>
      </c>
      <c r="O88" s="66">
        <f t="shared" ca="1" si="59"/>
        <v>0</v>
      </c>
      <c r="P88" s="70">
        <f t="shared" si="54"/>
        <v>0</v>
      </c>
      <c r="Q88" s="66"/>
      <c r="R88" s="66"/>
      <c r="S88" s="66">
        <f t="shared" ca="1" si="33"/>
        <v>0</v>
      </c>
      <c r="T88" s="70">
        <f t="shared" si="55"/>
        <v>0</v>
      </c>
      <c r="U88" s="70">
        <f ca="1">$G$97-SUM($G$11:G88)</f>
        <v>0</v>
      </c>
      <c r="W88" s="68">
        <f t="shared" si="62"/>
        <v>0</v>
      </c>
      <c r="Z88" s="83">
        <f>IF(MONTH($A88)=PRIN_MATURITY,IF(ISNA(VLOOKUP(DATE(YEAR($A88),PRIN_MATURITY,PRIN_MATURITY_DAY_SENIOR),Summary!$D$14:$CJ$56,COLUMNS(Summary!$D$13:$CJ$15),FALSE))=TRUE,0,VLOOKUP(DATE(YEAR($A88),PRIN_MATURITY,PRIN_MATURITY_DAY_SENIOR),Summary!$D$13:$CJ$56,COLUMNS(Summary!$D$13:$CJ$15),FALSE)),0)</f>
        <v>0</v>
      </c>
      <c r="AA88" s="84">
        <f>IF(ISERROR(IF(ISNA(VLOOKUP($A88,Summary!$D$13:$CJ$54,COLUMNS(Summary!$D$13:$CJ$15),FALSE))=TRUE,0,VLOOKUP($A88,Summary!$D$14:$CJ$54,COLUMNS(Summary!$D$13:$CJ$15),FALSE))/T88),0,IF(ISNA(VLOOKUP($A88,Summary!$C$13:$CJ$54,COLUMNS(Summary!$D$13:$CJ$15)))=TRUE,0,VLOOKUP($A88,Summary!$D$13:$CJ$54,COLUMNS(Summary!$D$13:$CJ$15)))/T88)</f>
        <v>0</v>
      </c>
      <c r="AB88" s="72" t="str">
        <f t="shared" si="39"/>
        <v/>
      </c>
      <c r="AC88" s="83">
        <f t="shared" ca="1" si="63"/>
        <v>0</v>
      </c>
      <c r="AE88" s="83">
        <f t="shared" si="56"/>
        <v>0</v>
      </c>
      <c r="AF88" s="70">
        <f t="shared" ca="1" si="57"/>
        <v>0</v>
      </c>
      <c r="AG88" s="83"/>
    </row>
    <row r="89" spans="1:33" hidden="1" outlineLevel="1" x14ac:dyDescent="0.25">
      <c r="A89" s="67">
        <f t="shared" si="58"/>
        <v>0</v>
      </c>
      <c r="B89" s="68">
        <f t="shared" si="47"/>
        <v>0</v>
      </c>
      <c r="C89" s="68">
        <f t="shared" si="48"/>
        <v>0</v>
      </c>
      <c r="D89" s="68">
        <f t="shared" si="49"/>
        <v>0</v>
      </c>
      <c r="E89" s="66">
        <f t="shared" si="60"/>
        <v>0</v>
      </c>
      <c r="F89" s="66"/>
      <c r="G89" s="66"/>
      <c r="H89" s="66">
        <f t="shared" si="61"/>
        <v>0</v>
      </c>
      <c r="I89" s="66">
        <f t="shared" si="50"/>
        <v>0</v>
      </c>
      <c r="J89" s="153">
        <f>MAX(MIN(IF(MONTH($A89)=PRIN_MATURITY,IF(ISNA(VLOOKUP(DATE(YEAR($A89),PRIN_MATURITY,PRIN_MATURITY_DAY_SUB),Summary!$D$12:$CJ$57,COLUMNS(Summary!$D$12:$CJ$12))),0,VLOOKUP(DATE(YEAR($A89),PRIN_MATURITY,PRIN_MATURITY_DAY_SUB),Summary!$D$12:$CJ$57,COLUMNS(Summary!$D$12:$CJ$12))),0),$I89),0)</f>
        <v>0</v>
      </c>
      <c r="K89" s="66">
        <f t="shared" ca="1" si="51"/>
        <v>0</v>
      </c>
      <c r="L89" s="154">
        <f t="shared" ca="1" si="52"/>
        <v>0</v>
      </c>
      <c r="M89" s="66">
        <f t="shared" ca="1" si="43"/>
        <v>0</v>
      </c>
      <c r="N89" s="66">
        <f t="shared" ca="1" si="53"/>
        <v>0</v>
      </c>
      <c r="O89" s="66">
        <f t="shared" ca="1" si="59"/>
        <v>0</v>
      </c>
      <c r="P89" s="70">
        <f t="shared" si="54"/>
        <v>0</v>
      </c>
      <c r="Q89" s="66"/>
      <c r="R89" s="66"/>
      <c r="S89" s="66">
        <f t="shared" ca="1" si="33"/>
        <v>0</v>
      </c>
      <c r="T89" s="70">
        <f t="shared" si="55"/>
        <v>0</v>
      </c>
      <c r="U89" s="70">
        <f ca="1">$G$97-SUM($G$11:G89)</f>
        <v>0</v>
      </c>
      <c r="W89" s="68">
        <f t="shared" si="62"/>
        <v>0</v>
      </c>
      <c r="Z89" s="83">
        <f>IF(MONTH($A89)=PRIN_MATURITY,IF(ISNA(VLOOKUP(DATE(YEAR($A89),PRIN_MATURITY,PRIN_MATURITY_DAY_SENIOR),Summary!$D$14:$CJ$56,COLUMNS(Summary!$D$13:$CJ$15),FALSE))=TRUE,0,VLOOKUP(DATE(YEAR($A89),PRIN_MATURITY,PRIN_MATURITY_DAY_SENIOR),Summary!$D$13:$CJ$56,COLUMNS(Summary!$D$13:$CJ$15),FALSE)),0)</f>
        <v>0</v>
      </c>
      <c r="AA89" s="84">
        <f>IF(ISERROR(IF(ISNA(VLOOKUP($A89,Summary!$D$13:$CJ$54,COLUMNS(Summary!$D$13:$CJ$15),FALSE))=TRUE,0,VLOOKUP($A89,Summary!$D$14:$CJ$54,COLUMNS(Summary!$D$13:$CJ$15),FALSE))/T89),0,IF(ISNA(VLOOKUP($A89,Summary!$C$13:$CJ$54,COLUMNS(Summary!$D$13:$CJ$15)))=TRUE,0,VLOOKUP($A89,Summary!$D$13:$CJ$54,COLUMNS(Summary!$D$13:$CJ$15)))/T89)</f>
        <v>0</v>
      </c>
      <c r="AB89" s="72" t="str">
        <f t="shared" si="39"/>
        <v/>
      </c>
      <c r="AC89" s="83">
        <f t="shared" ca="1" si="63"/>
        <v>0</v>
      </c>
      <c r="AE89" s="83">
        <f t="shared" si="56"/>
        <v>0</v>
      </c>
      <c r="AF89" s="70">
        <f t="shared" ca="1" si="57"/>
        <v>0</v>
      </c>
      <c r="AG89" s="83"/>
    </row>
    <row r="90" spans="1:33" hidden="1" outlineLevel="1" x14ac:dyDescent="0.25">
      <c r="A90" s="67">
        <f t="shared" si="58"/>
        <v>0</v>
      </c>
      <c r="B90" s="68">
        <f t="shared" si="47"/>
        <v>0</v>
      </c>
      <c r="C90" s="68">
        <f t="shared" si="48"/>
        <v>0</v>
      </c>
      <c r="D90" s="68">
        <f t="shared" si="49"/>
        <v>0</v>
      </c>
      <c r="E90" s="66">
        <f t="shared" si="60"/>
        <v>0</v>
      </c>
      <c r="F90" s="66"/>
      <c r="G90" s="280"/>
      <c r="H90" s="66">
        <f t="shared" si="61"/>
        <v>0</v>
      </c>
      <c r="I90" s="66">
        <f t="shared" si="50"/>
        <v>0</v>
      </c>
      <c r="J90" s="153">
        <f>MAX(MIN(IF(MONTH($A90)=PRIN_MATURITY,IF(ISNA(VLOOKUP(DATE(YEAR($A90),PRIN_MATURITY,PRIN_MATURITY_DAY_SUB),Summary!$D$12:$CJ$57,COLUMNS(Summary!$D$12:$CJ$12))),0,VLOOKUP(DATE(YEAR($A90),PRIN_MATURITY,PRIN_MATURITY_DAY_SUB),Summary!$D$12:$CJ$57,COLUMNS(Summary!$D$12:$CJ$12))),0),$I90),0)</f>
        <v>0</v>
      </c>
      <c r="K90" s="66">
        <f t="shared" ca="1" si="51"/>
        <v>0</v>
      </c>
      <c r="L90" s="154">
        <f t="shared" ca="1" si="52"/>
        <v>0</v>
      </c>
      <c r="M90" s="66">
        <f t="shared" ca="1" si="43"/>
        <v>0</v>
      </c>
      <c r="N90" s="66">
        <f t="shared" ca="1" si="53"/>
        <v>0</v>
      </c>
      <c r="O90" s="66">
        <f t="shared" ca="1" si="59"/>
        <v>0</v>
      </c>
      <c r="P90" s="70">
        <f t="shared" si="54"/>
        <v>0</v>
      </c>
      <c r="Q90" s="66"/>
      <c r="R90" s="66"/>
      <c r="S90" s="66">
        <f t="shared" ca="1" si="33"/>
        <v>0</v>
      </c>
      <c r="T90" s="70">
        <f t="shared" si="55"/>
        <v>0</v>
      </c>
      <c r="U90" s="70">
        <f ca="1">$G$97-SUM($G$11:G90)</f>
        <v>0</v>
      </c>
      <c r="W90" s="68">
        <f t="shared" si="62"/>
        <v>0</v>
      </c>
      <c r="Z90" s="83">
        <f>IF(MONTH($A90)=PRIN_MATURITY,IF(ISNA(VLOOKUP(DATE(YEAR($A90),PRIN_MATURITY,PRIN_MATURITY_DAY_SENIOR),Summary!$D$14:$CJ$56,COLUMNS(Summary!$D$13:$CJ$15),FALSE))=TRUE,0,VLOOKUP(DATE(YEAR($A90),PRIN_MATURITY,PRIN_MATURITY_DAY_SENIOR),Summary!$D$13:$CJ$56,COLUMNS(Summary!$D$13:$CJ$15),FALSE)),0)</f>
        <v>0</v>
      </c>
      <c r="AA90" s="84">
        <f>IF(ISERROR(IF(ISNA(VLOOKUP($A90,Summary!$D$13:$CJ$54,COLUMNS(Summary!$D$13:$CJ$15),FALSE))=TRUE,0,VLOOKUP($A90,Summary!$D$14:$CJ$54,COLUMNS(Summary!$D$13:$CJ$15),FALSE))/T90),0,IF(ISNA(VLOOKUP($A90,Summary!$C$13:$CJ$54,COLUMNS(Summary!$D$13:$CJ$15)))=TRUE,0,VLOOKUP($A90,Summary!$D$13:$CJ$54,COLUMNS(Summary!$D$13:$CJ$15)))/T90)</f>
        <v>0</v>
      </c>
      <c r="AB90" s="72" t="str">
        <f t="shared" si="39"/>
        <v/>
      </c>
      <c r="AC90" s="83">
        <f t="shared" ca="1" si="63"/>
        <v>0</v>
      </c>
      <c r="AE90" s="83">
        <f t="shared" si="56"/>
        <v>0</v>
      </c>
      <c r="AF90" s="70">
        <f t="shared" ca="1" si="57"/>
        <v>0</v>
      </c>
      <c r="AG90" s="83"/>
    </row>
    <row r="91" spans="1:33" hidden="1" outlineLevel="1" x14ac:dyDescent="0.25">
      <c r="A91" s="67">
        <f t="shared" si="58"/>
        <v>0</v>
      </c>
      <c r="B91" s="68">
        <f t="shared" si="47"/>
        <v>0</v>
      </c>
      <c r="C91" s="68">
        <f t="shared" si="48"/>
        <v>0</v>
      </c>
      <c r="D91" s="68">
        <f t="shared" si="49"/>
        <v>0</v>
      </c>
      <c r="E91" s="66">
        <f t="shared" si="60"/>
        <v>0</v>
      </c>
      <c r="F91" s="66"/>
      <c r="G91" s="66"/>
      <c r="H91" s="66">
        <f t="shared" si="61"/>
        <v>0</v>
      </c>
      <c r="I91" s="66">
        <f t="shared" si="50"/>
        <v>0</v>
      </c>
      <c r="J91" s="153">
        <f>MAX(MIN(IF(MONTH($A91)=PRIN_MATURITY,IF(ISNA(VLOOKUP(DATE(YEAR($A91),PRIN_MATURITY,PRIN_MATURITY_DAY_SUB),Summary!$D$12:$CJ$57,COLUMNS(Summary!$D$12:$CJ$12))),0,VLOOKUP(DATE(YEAR($A91),PRIN_MATURITY,PRIN_MATURITY_DAY_SUB),Summary!$D$12:$CJ$57,COLUMNS(Summary!$D$12:$CJ$12))),0),$I91),0)</f>
        <v>0</v>
      </c>
      <c r="K91" s="66">
        <f t="shared" ca="1" si="51"/>
        <v>0</v>
      </c>
      <c r="L91" s="154">
        <f t="shared" ca="1" si="52"/>
        <v>0</v>
      </c>
      <c r="M91" s="66">
        <f t="shared" ca="1" si="43"/>
        <v>0</v>
      </c>
      <c r="N91" s="66">
        <f t="shared" ca="1" si="53"/>
        <v>0</v>
      </c>
      <c r="O91" s="66">
        <f t="shared" ca="1" si="59"/>
        <v>0</v>
      </c>
      <c r="P91" s="70">
        <f t="shared" si="54"/>
        <v>0</v>
      </c>
      <c r="Q91" s="66"/>
      <c r="R91" s="66"/>
      <c r="S91" s="66">
        <f t="shared" ca="1" si="33"/>
        <v>0</v>
      </c>
      <c r="T91" s="70">
        <f t="shared" ref="T91:T94" si="64">IF($A91=0,0,IF(MONTH($A91)=INT_MATURITY,0,SUM(S90:S91)))</f>
        <v>0</v>
      </c>
      <c r="U91" s="70">
        <f ca="1">$G$97-SUM($G$11:G91)</f>
        <v>0</v>
      </c>
      <c r="W91" s="68">
        <f t="shared" si="62"/>
        <v>0</v>
      </c>
      <c r="Z91" s="83">
        <f>IF(MONTH($A91)=PRIN_MATURITY,IF(ISNA(VLOOKUP(DATE(YEAR($A91),PRIN_MATURITY,PRIN_MATURITY_DAY_SENIOR),Summary!$D$14:$CJ$56,COLUMNS(Summary!$D$13:$CJ$15),FALSE))=TRUE,0,VLOOKUP(DATE(YEAR($A91),PRIN_MATURITY,PRIN_MATURITY_DAY_SENIOR),Summary!$D$13:$CJ$56,COLUMNS(Summary!$D$13:$CJ$15),FALSE)),0)</f>
        <v>0</v>
      </c>
      <c r="AA91" s="84">
        <f>IF(ISERROR(IF(ISNA(VLOOKUP($A91,Summary!$D$13:$CJ$54,COLUMNS(Summary!$D$13:$CJ$15),FALSE))=TRUE,0,VLOOKUP($A91,Summary!$D$14:$CJ$54,COLUMNS(Summary!$D$13:$CJ$15),FALSE))/T91),0,IF(ISNA(VLOOKUP($A91,Summary!$C$13:$CJ$54,COLUMNS(Summary!$D$13:$CJ$15)))=TRUE,0,VLOOKUP($A91,Summary!$D$13:$CJ$54,COLUMNS(Summary!$D$13:$CJ$15)))/T91)</f>
        <v>0</v>
      </c>
      <c r="AB91" s="72" t="str">
        <f t="shared" si="39"/>
        <v/>
      </c>
      <c r="AC91" s="83">
        <f t="shared" ca="1" si="63"/>
        <v>0</v>
      </c>
      <c r="AE91" s="83">
        <f t="shared" si="56"/>
        <v>0</v>
      </c>
      <c r="AF91" s="70">
        <f t="shared" ca="1" si="57"/>
        <v>0</v>
      </c>
      <c r="AG91" s="83"/>
    </row>
    <row r="92" spans="1:33" hidden="1" outlineLevel="1" x14ac:dyDescent="0.25">
      <c r="A92" s="67">
        <f t="shared" si="58"/>
        <v>0</v>
      </c>
      <c r="B92" s="68">
        <f t="shared" si="47"/>
        <v>0</v>
      </c>
      <c r="C92" s="68">
        <f t="shared" si="48"/>
        <v>0</v>
      </c>
      <c r="D92" s="68">
        <f t="shared" si="49"/>
        <v>0</v>
      </c>
      <c r="E92" s="66">
        <f t="shared" si="60"/>
        <v>0</v>
      </c>
      <c r="F92" s="66"/>
      <c r="G92" s="66"/>
      <c r="H92" s="66">
        <f t="shared" si="61"/>
        <v>0</v>
      </c>
      <c r="I92" s="66">
        <f t="shared" si="50"/>
        <v>0</v>
      </c>
      <c r="J92" s="153">
        <f>MAX(MIN(IF(MONTH($A92)=PRIN_MATURITY,IF(ISNA(VLOOKUP(DATE(YEAR($A92),PRIN_MATURITY,PRIN_MATURITY_DAY_SUB),Summary!$D$12:$CJ$57,COLUMNS(Summary!$D$12:$CJ$12))),0,VLOOKUP(DATE(YEAR($A92),PRIN_MATURITY,PRIN_MATURITY_DAY_SUB),Summary!$D$12:$CJ$57,COLUMNS(Summary!$D$12:$CJ$12))),0),$I92),0)</f>
        <v>0</v>
      </c>
      <c r="K92" s="66">
        <f t="shared" ca="1" si="51"/>
        <v>0</v>
      </c>
      <c r="L92" s="154">
        <f t="shared" ca="1" si="52"/>
        <v>0</v>
      </c>
      <c r="M92" s="66">
        <f t="shared" ca="1" si="43"/>
        <v>0</v>
      </c>
      <c r="N92" s="66">
        <f t="shared" ca="1" si="53"/>
        <v>0</v>
      </c>
      <c r="O92" s="66">
        <f t="shared" ca="1" si="59"/>
        <v>0</v>
      </c>
      <c r="P92" s="70">
        <f t="shared" si="54"/>
        <v>0</v>
      </c>
      <c r="Q92" s="66"/>
      <c r="R92" s="66"/>
      <c r="S92" s="66">
        <f t="shared" ca="1" si="33"/>
        <v>0</v>
      </c>
      <c r="T92" s="70">
        <f t="shared" si="64"/>
        <v>0</v>
      </c>
      <c r="U92" s="70">
        <f ca="1">$G$97-SUM($G$11:G92)</f>
        <v>0</v>
      </c>
      <c r="W92" s="68">
        <f t="shared" si="62"/>
        <v>0</v>
      </c>
      <c r="Z92" s="83">
        <f>IF(MONTH($A92)=PRIN_MATURITY,IF(ISNA(VLOOKUP(DATE(YEAR($A92),PRIN_MATURITY,PRIN_MATURITY_DAY_SENIOR),Summary!$D$14:$CJ$56,COLUMNS(Summary!$D$13:$CJ$15),FALSE))=TRUE,0,VLOOKUP(DATE(YEAR($A92),PRIN_MATURITY,PRIN_MATURITY_DAY_SENIOR),Summary!$D$13:$CJ$56,COLUMNS(Summary!$D$13:$CJ$15),FALSE)),0)</f>
        <v>0</v>
      </c>
      <c r="AA92" s="84">
        <f>IF(ISERROR(IF(ISNA(VLOOKUP($A92,Summary!$D$13:$CJ$54,COLUMNS(Summary!$D$13:$CJ$15),FALSE))=TRUE,0,VLOOKUP($A92,Summary!$D$14:$CJ$54,COLUMNS(Summary!$D$13:$CJ$15),FALSE))/T92),0,IF(ISNA(VLOOKUP($A92,Summary!$C$13:$CJ$54,COLUMNS(Summary!$D$13:$CJ$15)))=TRUE,0,VLOOKUP($A92,Summary!$D$13:$CJ$54,COLUMNS(Summary!$D$13:$CJ$15)))/T92)</f>
        <v>0</v>
      </c>
      <c r="AB92" s="72" t="str">
        <f t="shared" si="39"/>
        <v/>
      </c>
      <c r="AC92" s="83">
        <f t="shared" ca="1" si="63"/>
        <v>0</v>
      </c>
      <c r="AE92" s="83">
        <f t="shared" ref="AE92" si="65">D92*G92*DAYS360(DELIVERY,A92)/360</f>
        <v>0</v>
      </c>
      <c r="AF92" s="70">
        <f t="shared" ref="AF92" ca="1" si="66">G92+K92+L92</f>
        <v>0</v>
      </c>
    </row>
    <row r="93" spans="1:33" hidden="1" outlineLevel="1" x14ac:dyDescent="0.25">
      <c r="A93" s="67">
        <f t="shared" si="58"/>
        <v>0</v>
      </c>
      <c r="B93" s="68"/>
      <c r="C93" s="68"/>
      <c r="D93" s="68">
        <f t="shared" si="49"/>
        <v>0</v>
      </c>
      <c r="E93" s="66">
        <f t="shared" si="60"/>
        <v>0</v>
      </c>
      <c r="F93" s="66"/>
      <c r="G93" s="66"/>
      <c r="H93" s="66">
        <f t="shared" si="61"/>
        <v>0</v>
      </c>
      <c r="I93" s="66">
        <f t="shared" si="50"/>
        <v>0</v>
      </c>
      <c r="J93" s="153">
        <f>MAX(MIN(IF(MONTH($A93)=PRIN_MATURITY,IF(ISNA(VLOOKUP(DATE(YEAR($A93),PRIN_MATURITY,PRIN_MATURITY_DAY_SUB),Summary!$D$12:$CJ$57,COLUMNS(Summary!$D$12:$CJ$12))),0,VLOOKUP(DATE(YEAR($A93),PRIN_MATURITY,PRIN_MATURITY_DAY_SUB),Summary!$D$12:$CJ$57,COLUMNS(Summary!$D$12:$CJ$12))),0),$I93),0)</f>
        <v>0</v>
      </c>
      <c r="K93" s="66">
        <f t="shared" ca="1" si="51"/>
        <v>0</v>
      </c>
      <c r="L93" s="154">
        <f t="shared" ca="1" si="52"/>
        <v>0</v>
      </c>
      <c r="M93" s="66">
        <f t="shared" ca="1" si="43"/>
        <v>0</v>
      </c>
      <c r="N93" s="66">
        <f t="shared" ca="1" si="53"/>
        <v>0</v>
      </c>
      <c r="O93" s="66">
        <f t="shared" ca="1" si="59"/>
        <v>0</v>
      </c>
      <c r="P93" s="70">
        <f t="shared" si="54"/>
        <v>0</v>
      </c>
      <c r="Q93" s="66"/>
      <c r="R93" s="66"/>
      <c r="S93" s="66">
        <f t="shared" ca="1" si="33"/>
        <v>0</v>
      </c>
      <c r="T93" s="70">
        <f t="shared" si="64"/>
        <v>0</v>
      </c>
      <c r="U93" s="70">
        <f ca="1">$G$97-SUM($G$11:G93)</f>
        <v>0</v>
      </c>
      <c r="W93" s="68"/>
      <c r="Z93" s="83">
        <f>IF(MONTH($A93)=PRIN_MATURITY,IF(ISNA(VLOOKUP(DATE(YEAR($A93),PRIN_MATURITY,PRIN_MATURITY_DAY_SENIOR),Summary!$D$14:$CJ$56,COLUMNS(Summary!$D$13:$CJ$15),FALSE))=TRUE,0,VLOOKUP(DATE(YEAR($A93),PRIN_MATURITY,PRIN_MATURITY_DAY_SENIOR),Summary!$D$13:$CJ$56,COLUMNS(Summary!$D$13:$CJ$15),FALSE)),0)</f>
        <v>0</v>
      </c>
      <c r="AB93" s="72"/>
      <c r="AC93" s="83">
        <f t="shared" ca="1" si="63"/>
        <v>0</v>
      </c>
    </row>
    <row r="94" spans="1:33" hidden="1" outlineLevel="1" x14ac:dyDescent="0.25">
      <c r="A94" s="67">
        <f t="shared" si="58"/>
        <v>0</v>
      </c>
      <c r="B94" s="68"/>
      <c r="C94" s="68"/>
      <c r="D94" s="68">
        <f t="shared" si="49"/>
        <v>0</v>
      </c>
      <c r="E94" s="74"/>
      <c r="F94" s="74"/>
      <c r="G94" s="66"/>
      <c r="H94" s="66">
        <f t="shared" si="61"/>
        <v>0</v>
      </c>
      <c r="I94" s="66">
        <f t="shared" si="50"/>
        <v>0</v>
      </c>
      <c r="J94" s="154"/>
      <c r="K94" s="66">
        <f t="shared" ca="1" si="51"/>
        <v>0</v>
      </c>
      <c r="L94" s="154">
        <f t="shared" ca="1" si="52"/>
        <v>0</v>
      </c>
      <c r="M94" s="66">
        <f t="shared" ca="1" si="43"/>
        <v>0</v>
      </c>
      <c r="N94" s="66">
        <f t="shared" ca="1" si="53"/>
        <v>0</v>
      </c>
      <c r="O94" s="66">
        <f t="shared" ca="1" si="59"/>
        <v>0</v>
      </c>
      <c r="P94" s="70">
        <f t="shared" si="54"/>
        <v>0</v>
      </c>
      <c r="Q94" s="66"/>
      <c r="R94" s="66"/>
      <c r="S94" s="66"/>
      <c r="T94" s="70">
        <f t="shared" si="64"/>
        <v>0</v>
      </c>
      <c r="U94" s="70">
        <f ca="1">$G$97-SUM($G$11:G94)</f>
        <v>0</v>
      </c>
      <c r="W94" s="68"/>
      <c r="AB94" s="72"/>
      <c r="AC94" s="83">
        <f t="shared" ca="1" si="63"/>
        <v>0</v>
      </c>
    </row>
    <row r="95" spans="1:33" hidden="1" outlineLevel="1" x14ac:dyDescent="0.25">
      <c r="A95" s="67">
        <f t="shared" si="58"/>
        <v>0</v>
      </c>
      <c r="B95" s="68"/>
      <c r="C95" s="68"/>
      <c r="D95" s="68">
        <f t="shared" si="49"/>
        <v>0</v>
      </c>
      <c r="G95" s="66"/>
      <c r="H95" s="66"/>
      <c r="I95" s="66"/>
      <c r="J95" s="154"/>
      <c r="K95" s="66">
        <f t="shared" ca="1" si="51"/>
        <v>0</v>
      </c>
      <c r="L95" s="154">
        <f t="shared" ca="1" si="52"/>
        <v>0</v>
      </c>
      <c r="M95" s="66">
        <f t="shared" ca="1" si="43"/>
        <v>0</v>
      </c>
      <c r="N95" s="66">
        <f t="shared" ca="1" si="53"/>
        <v>0</v>
      </c>
      <c r="O95" s="66">
        <f t="shared" ca="1" si="59"/>
        <v>0</v>
      </c>
      <c r="P95" s="70">
        <f t="shared" si="54"/>
        <v>0</v>
      </c>
      <c r="Q95" s="66"/>
      <c r="R95" s="66"/>
      <c r="S95" s="66"/>
      <c r="T95" s="70"/>
      <c r="U95" s="70"/>
      <c r="W95" s="68"/>
      <c r="AB95" s="72"/>
      <c r="AC95" s="72"/>
    </row>
    <row r="96" spans="1:33" collapsed="1" x14ac:dyDescent="0.25">
      <c r="A96" s="67"/>
      <c r="B96" s="176"/>
      <c r="C96" s="176"/>
      <c r="D96" s="176"/>
      <c r="E96" s="106"/>
      <c r="F96" s="106"/>
      <c r="G96" s="173"/>
      <c r="H96" s="173"/>
      <c r="I96" s="173"/>
      <c r="J96" s="174"/>
      <c r="K96" s="173"/>
      <c r="L96" s="174"/>
      <c r="M96" s="173"/>
      <c r="N96" s="173"/>
      <c r="O96" s="173"/>
      <c r="P96" s="175"/>
      <c r="Q96" s="173"/>
      <c r="R96" s="173"/>
      <c r="S96" s="173"/>
      <c r="T96" s="175"/>
      <c r="U96" s="175"/>
      <c r="V96" s="106"/>
      <c r="W96" s="176"/>
      <c r="X96" s="106"/>
      <c r="Y96" s="106"/>
      <c r="Z96" s="105"/>
      <c r="AA96" s="105"/>
      <c r="AB96" s="177"/>
      <c r="AC96" s="177"/>
      <c r="AD96" s="106"/>
      <c r="AE96" s="105"/>
      <c r="AF96" s="106"/>
    </row>
    <row r="97" spans="1:33" x14ac:dyDescent="0.25">
      <c r="A97" s="67" t="s">
        <v>88</v>
      </c>
      <c r="B97" s="68"/>
      <c r="C97" s="68"/>
      <c r="D97" s="69"/>
      <c r="E97" s="66"/>
      <c r="F97" s="66"/>
      <c r="G97" s="66">
        <f ca="1">SUM(G11:G95)</f>
        <v>734000</v>
      </c>
      <c r="H97" s="66">
        <f ca="1">SUM(H11:H95)</f>
        <v>1656319.1666666667</v>
      </c>
      <c r="I97" s="66">
        <f t="shared" ref="I97:T97" ca="1" si="67">SUM(I11:I95)</f>
        <v>1656319.1666666667</v>
      </c>
      <c r="J97" s="154">
        <f t="shared" ca="1" si="67"/>
        <v>1494996.0816847561</v>
      </c>
      <c r="K97" s="66">
        <f t="shared" ca="1" si="67"/>
        <v>189768.084235824</v>
      </c>
      <c r="L97" s="154">
        <f ca="1">SUM(L11:L95)</f>
        <v>189768.08423582395</v>
      </c>
      <c r="M97" s="154"/>
      <c r="N97" s="66">
        <f ca="1">SUM(N11:N95)</f>
        <v>2418764.1659205798</v>
      </c>
      <c r="O97" s="66">
        <f t="shared" ca="1" si="67"/>
        <v>2580087.2509024907</v>
      </c>
      <c r="P97" s="66">
        <f t="shared" ca="1" si="67"/>
        <v>2580087.2509024907</v>
      </c>
      <c r="Q97" s="66">
        <f t="shared" si="67"/>
        <v>0</v>
      </c>
      <c r="R97" s="66">
        <f t="shared" si="67"/>
        <v>0</v>
      </c>
      <c r="S97" s="66">
        <f t="shared" ca="1" si="67"/>
        <v>2580087.2509024907</v>
      </c>
      <c r="T97" s="66">
        <f t="shared" ca="1" si="67"/>
        <v>2580087.2509024907</v>
      </c>
      <c r="U97" s="66"/>
      <c r="W97" s="68"/>
      <c r="Z97" s="83">
        <f ca="1">SUM(Z12:Z96)</f>
        <v>4132311.3204118479</v>
      </c>
      <c r="AB97" s="72"/>
      <c r="AC97" s="72"/>
      <c r="AE97" s="83">
        <f t="shared" ref="AE97" ca="1" si="68">SUM(AE11:AE94)</f>
        <v>20385466.666666668</v>
      </c>
      <c r="AF97" s="70">
        <f ca="1">SUM(AF11:AF96)</f>
        <v>1113536.1684716479</v>
      </c>
      <c r="AG97" s="83"/>
    </row>
    <row r="98" spans="1:33" x14ac:dyDescent="0.25">
      <c r="A98" s="67"/>
      <c r="B98" s="73"/>
      <c r="C98" s="73"/>
      <c r="U98" s="66"/>
    </row>
    <row r="99" spans="1:33" x14ac:dyDescent="0.25">
      <c r="A99" s="67"/>
      <c r="H99" s="206"/>
      <c r="L99" s="207"/>
      <c r="N99" s="70"/>
    </row>
    <row r="100" spans="1:33" x14ac:dyDescent="0.25">
      <c r="A100" s="67"/>
      <c r="L100" s="207"/>
    </row>
    <row r="101" spans="1:33" x14ac:dyDescent="0.25">
      <c r="A101" s="67"/>
      <c r="J101" s="207"/>
    </row>
    <row r="102" spans="1:33" x14ac:dyDescent="0.25">
      <c r="A102" s="67"/>
      <c r="G102" s="15"/>
      <c r="K102" s="7"/>
      <c r="L102" s="207"/>
      <c r="Z102" s="12"/>
    </row>
    <row r="103" spans="1:33" x14ac:dyDescent="0.25">
      <c r="A103" s="67"/>
      <c r="Z103" s="12"/>
    </row>
    <row r="104" spans="1:33" x14ac:dyDescent="0.25">
      <c r="A104" s="67"/>
      <c r="I104" s="203"/>
      <c r="K104" s="7"/>
    </row>
    <row r="105" spans="1:33" x14ac:dyDescent="0.25">
      <c r="A105" s="67"/>
    </row>
    <row r="106" spans="1:33" x14ac:dyDescent="0.25">
      <c r="A106" s="67"/>
    </row>
    <row r="107" spans="1:33" x14ac:dyDescent="0.25">
      <c r="A107" s="67"/>
    </row>
    <row r="108" spans="1:33" x14ac:dyDescent="0.25">
      <c r="A108" s="67"/>
    </row>
    <row r="109" spans="1:33" x14ac:dyDescent="0.25">
      <c r="A109" s="67"/>
    </row>
    <row r="110" spans="1:33" x14ac:dyDescent="0.25">
      <c r="A110" s="67"/>
    </row>
    <row r="111" spans="1:33" x14ac:dyDescent="0.25">
      <c r="A111" s="67"/>
    </row>
    <row r="112" spans="1:33" x14ac:dyDescent="0.25">
      <c r="A112" s="67"/>
    </row>
    <row r="113" spans="1:1" x14ac:dyDescent="0.25">
      <c r="A113" s="67"/>
    </row>
  </sheetData>
  <pageMargins left="0.25" right="0.25" top="0.5" bottom="0.5" header="0.3" footer="0.3"/>
  <pageSetup scale="20" orientation="portrait" r:id="rId1"/>
  <rowBreaks count="1" manualBreakCount="1">
    <brk id="98" max="22" man="1"/>
  </rowBreak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F006A48-DA24-43D7-8B9D-B5A1F38CBAA1}">
          <x14:formula1>
            <xm:f>'Inputs - First'!$G$4:$G$5</xm:f>
          </x14:formula1>
          <xm:sqref>K4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F712B-D688-413B-A7A3-D56B8C072612}">
  <sheetPr codeName="Sheet17">
    <pageSetUpPr fitToPage="1"/>
  </sheetPr>
  <dimension ref="A1:AJ111"/>
  <sheetViews>
    <sheetView showGridLines="0" view="pageBreakPreview" topLeftCell="F7" zoomScaleNormal="100" zoomScaleSheetLayoutView="100" workbookViewId="0">
      <selection activeCell="A12" sqref="A12"/>
    </sheetView>
  </sheetViews>
  <sheetFormatPr defaultColWidth="9.140625" defaultRowHeight="15" outlineLevelRow="1" outlineLevelCol="1" x14ac:dyDescent="0.25"/>
  <cols>
    <col min="1" max="4" width="14.28515625" customWidth="1"/>
    <col min="5" max="5" width="3.85546875" style="134" customWidth="1"/>
    <col min="6" max="6" width="14.28515625" customWidth="1"/>
    <col min="7" max="7" width="15.5703125" bestFit="1" customWidth="1"/>
    <col min="8" max="8" width="14.28515625" customWidth="1"/>
    <col min="9" max="9" width="15.42578125" bestFit="1" customWidth="1"/>
    <col min="10" max="10" width="15.42578125" customWidth="1"/>
    <col min="11" max="14" width="14.28515625" customWidth="1"/>
    <col min="15" max="15" width="14.5703125" customWidth="1"/>
    <col min="16" max="16" width="14.28515625" customWidth="1"/>
    <col min="17" max="18" width="14.28515625" customWidth="1" outlineLevel="1"/>
    <col min="20" max="20" width="17.85546875" style="11" customWidth="1"/>
    <col min="21" max="21" width="18.5703125" style="11" customWidth="1"/>
    <col min="22" max="22" width="20.28515625" style="11" customWidth="1"/>
    <col min="24" max="26" width="17.85546875" style="11" customWidth="1"/>
    <col min="28" max="28" width="12.140625" style="11" customWidth="1"/>
    <col min="29" max="29" width="16.42578125" style="11" customWidth="1"/>
    <col min="30" max="30" width="12.140625" style="11" customWidth="1"/>
    <col min="31" max="31" width="12.28515625" style="11" customWidth="1"/>
    <col min="32" max="33" width="12.140625" style="11" customWidth="1"/>
    <col min="34" max="34" width="14.7109375" style="11" customWidth="1"/>
    <col min="35" max="36" width="12.140625" style="11" customWidth="1"/>
  </cols>
  <sheetData>
    <row r="1" spans="1:36" ht="28.5" x14ac:dyDescent="0.45">
      <c r="A1" s="115" t="str">
        <f>METRO</f>
        <v>Viridian Farm Public Improvement District</v>
      </c>
    </row>
    <row r="2" spans="1:36" ht="18.75" x14ac:dyDescent="0.3">
      <c r="A2" s="110" t="str">
        <f>"City of " &amp; CITY &amp; " / " &amp; COUNTY &amp; " County "</f>
        <v xml:space="preserve">City of Salem / Utah County </v>
      </c>
    </row>
    <row r="3" spans="1:36" ht="15.75" x14ac:dyDescent="0.25">
      <c r="A3" s="109" t="str">
        <f>ANALYSIS</f>
        <v>Development Projections at 3.000 Mills for Debt Service</v>
      </c>
    </row>
    <row r="4" spans="1:36" ht="15.75" x14ac:dyDescent="0.25">
      <c r="A4" s="116" t="str">
        <f>REFUND_BONDS_SERIES &amp; " - " &amp;TEXT('Sources and Uses - Refunding'!$B$12/1000000,"$0.00") &amp; "MM " &amp; "(" &amp; TEXT(DSC_SENIOR_LIEN_BONDS,"0.00x") &amp; ")"</f>
        <v>Series 2029 - $0.00MM (1.30x)</v>
      </c>
      <c r="I4" s="7"/>
    </row>
    <row r="5" spans="1:36" x14ac:dyDescent="0.25">
      <c r="A5" s="11"/>
      <c r="D5" s="15"/>
      <c r="G5" s="54"/>
      <c r="I5" s="7"/>
      <c r="J5" s="70"/>
    </row>
    <row r="6" spans="1:36" x14ac:dyDescent="0.25">
      <c r="C6" s="15"/>
      <c r="G6" s="15"/>
      <c r="J6" s="70"/>
      <c r="L6" s="80"/>
      <c r="M6" s="80"/>
    </row>
    <row r="7" spans="1:36" ht="15.75" thickBot="1" x14ac:dyDescent="0.3"/>
    <row r="8" spans="1:36" s="56" customFormat="1" ht="13.5" thickTop="1" x14ac:dyDescent="0.2">
      <c r="A8" s="55"/>
      <c r="D8" s="57"/>
      <c r="E8" s="135"/>
      <c r="F8" s="57"/>
      <c r="K8" s="58"/>
      <c r="L8" s="58"/>
      <c r="M8" s="58"/>
      <c r="O8" s="58"/>
      <c r="P8" s="58"/>
      <c r="T8" s="81"/>
      <c r="U8" s="81"/>
      <c r="V8" s="81"/>
      <c r="X8" s="81"/>
      <c r="Y8" s="81"/>
      <c r="Z8" s="81"/>
      <c r="AB8" s="81"/>
      <c r="AC8" s="81"/>
      <c r="AD8" s="81"/>
      <c r="AE8" s="81"/>
      <c r="AF8" s="81"/>
      <c r="AG8" s="81"/>
      <c r="AH8" s="81"/>
      <c r="AI8" s="81"/>
      <c r="AJ8" s="81"/>
    </row>
    <row r="9" spans="1:36" s="62" customFormat="1" ht="26.25" thickBot="1" x14ac:dyDescent="0.25">
      <c r="A9" s="59" t="s">
        <v>140</v>
      </c>
      <c r="B9" s="60" t="s">
        <v>96</v>
      </c>
      <c r="C9" s="60" t="s">
        <v>97</v>
      </c>
      <c r="D9" s="61" t="s">
        <v>98</v>
      </c>
      <c r="E9" s="136" t="s">
        <v>181</v>
      </c>
      <c r="F9" s="61" t="s">
        <v>162</v>
      </c>
      <c r="G9" s="60" t="s">
        <v>8</v>
      </c>
      <c r="H9" s="60" t="s">
        <v>9</v>
      </c>
      <c r="I9" s="60" t="s">
        <v>88</v>
      </c>
      <c r="J9" s="60" t="s">
        <v>142</v>
      </c>
      <c r="K9" s="63" t="s">
        <v>66</v>
      </c>
      <c r="L9" s="60" t="s">
        <v>5</v>
      </c>
      <c r="M9" s="60" t="s">
        <v>374</v>
      </c>
      <c r="N9" s="60" t="s">
        <v>99</v>
      </c>
      <c r="O9" s="63" t="s">
        <v>139</v>
      </c>
      <c r="P9" s="60" t="s">
        <v>138</v>
      </c>
      <c r="R9" s="60" t="s">
        <v>100</v>
      </c>
      <c r="S9" s="60"/>
      <c r="T9" s="82" t="s">
        <v>148</v>
      </c>
      <c r="U9" s="82" t="s">
        <v>101</v>
      </c>
      <c r="V9" s="64" t="s">
        <v>102</v>
      </c>
      <c r="X9" s="82" t="s">
        <v>186</v>
      </c>
      <c r="Y9" s="82"/>
      <c r="Z9" s="82" t="s">
        <v>219</v>
      </c>
      <c r="AB9" s="143"/>
      <c r="AC9" s="143"/>
      <c r="AD9" s="143"/>
      <c r="AE9" s="143"/>
      <c r="AF9" s="143"/>
      <c r="AG9" s="143"/>
      <c r="AH9" s="143"/>
      <c r="AI9" s="143"/>
      <c r="AJ9" s="143"/>
    </row>
    <row r="10" spans="1:36" ht="15.75" thickTop="1" x14ac:dyDescent="0.25">
      <c r="J10" s="66"/>
    </row>
    <row r="11" spans="1:36" x14ac:dyDescent="0.25">
      <c r="A11" s="65">
        <f>FIRST_INT_REFUNDING</f>
        <v>47178</v>
      </c>
      <c r="B11" s="133">
        <f t="shared" ref="B11:B42" si="0">IF(ISERROR(IF(MONTH(A11)=PRIN_MATURITY,SENIOR_REFUNDING_INTEREST_RATE,)),"",IF(MONTH(A11)=PRIN_MATURITY,SENIOR_REFUNDING_INTEREST_RATE,))</f>
        <v>4.4999999999999998E-2</v>
      </c>
      <c r="C11" s="133">
        <f>B11</f>
        <v>4.4999999999999998E-2</v>
      </c>
      <c r="D11" s="133">
        <f>IF(C11=0,0,TRUNC(IF(B11=C11,100,IF(A11&lt;=(EDATE(PAR_CALL_FIRST,10*12)),PRICE(DELIVERY_REFUNDING,A11,B11,C11,100,2,0),MIN(PRICE(DELIVERY_REFUNDING,A11,B11,C11,100,2,0),PRICE(DELIVERY_REFUNDING,(EDATE(PAR_CALL_FIRST,10*12)),B11,C11,100,2,0)))),3)/100)</f>
        <v>1</v>
      </c>
      <c r="G11" s="66">
        <f>IF(REFUND_FINANCING="Yes",IF(OR(CAPI_TERM&gt;A11,MONTH(A11)&lt;&gt;PRIN_MATURITY,FIRST_PRIN&gt;A11),0,MAX(0,INT(((((VLOOKUP($A11,Summary!$D$14:$AX$56,COLUMNS(Summary!$D$15:$AX$15))+M11)/$V11-H12*2*R11)/(1+B11*R11)+IF($A11=SURPLUS_FUND_RELEASE_DATE_REFUNDING,IF(SURPLUS_RELEASE_SIZING="Yes",SURPLUS_FUND_DEPOSIT_REFUNDING,0),0)/(1+B11*R11)))/5000)*5000)),0)</f>
        <v>0</v>
      </c>
      <c r="H11" s="66">
        <f>(H12+G11*B11/2)*FRAC*2</f>
        <v>0</v>
      </c>
      <c r="I11" s="66">
        <f>G11+H11</f>
        <v>0</v>
      </c>
      <c r="J11" s="70">
        <f>IF($A11=0,0,IF(MONTH($A11)=INT_MATURITY,0,SUM(I10:I11)))</f>
        <v>0</v>
      </c>
      <c r="K11" s="197">
        <v>0</v>
      </c>
      <c r="L11" s="85">
        <f t="shared" ref="L11:L42" si="1">IF(REFUND_FINANCING="Yes",IF($A11=SURPLUS_FUND_RELEASE_DATE_REFUNDING,IF(SURPLUS_RELEASE_SIZING="Yes", SURPLUS_FUND_DEPOSIT_REFUNDING,0),0),0)</f>
        <v>0</v>
      </c>
      <c r="M11" s="85"/>
      <c r="N11" s="66">
        <f>I11-K11-M11</f>
        <v>0</v>
      </c>
      <c r="O11" s="70">
        <f t="shared" ref="O11:O74" si="2">IF($A11=0,0,IF(MONTH($A11)=INT_MATURITY,0,SUM(N10:N11)))-L11</f>
        <v>0</v>
      </c>
      <c r="P11" s="70">
        <f>$G$96-SUM($G$11:G11)</f>
        <v>0</v>
      </c>
      <c r="U11" s="83"/>
      <c r="X11" s="83">
        <f t="shared" ref="X11:X42" si="3">D11*G11*DAYS360(DELIVERY_REFUNDING,A11)/360</f>
        <v>0</v>
      </c>
      <c r="Y11" s="83"/>
      <c r="Z11" s="83"/>
      <c r="AB11" s="77" t="s">
        <v>188</v>
      </c>
      <c r="AD11" s="146">
        <f>1-FRAC_REFUNDING</f>
        <v>1</v>
      </c>
      <c r="AE11" s="147">
        <f>G96+F96</f>
        <v>0</v>
      </c>
      <c r="AG11" s="77" t="s">
        <v>188</v>
      </c>
      <c r="AI11" s="146">
        <f>1-FRAC_REFUNDING</f>
        <v>1</v>
      </c>
      <c r="AJ11" s="147">
        <f ca="1">AE11-SUM('Sources and Uses - First'!$B$26:$B$28)</f>
        <v>-1263354.3402777778</v>
      </c>
    </row>
    <row r="12" spans="1:36" x14ac:dyDescent="0.25">
      <c r="A12" s="67">
        <f t="shared" ref="A12:A75" si="4">IF(IF(ISERROR(EDATE(A11,6)),0,EDATE(A11,6))&gt;EDATE(MAX($A$11,DATE(YEAR($A$11),PRIN_MATURITY,1)),6*2*FINAL_MAT_YRS),0,IF(ISERROR(EDATE(A11,6)),0,IF(A11=0,0,EDATE(A11,6))))</f>
        <v>47362</v>
      </c>
      <c r="B12" s="161">
        <f t="shared" si="0"/>
        <v>0</v>
      </c>
      <c r="C12" s="161">
        <f>B12</f>
        <v>0</v>
      </c>
      <c r="D12" s="68">
        <f t="shared" ref="D12:D75" si="5">D14</f>
        <v>0</v>
      </c>
      <c r="E12" s="137"/>
      <c r="F12" s="66">
        <f>D12*G12-G12</f>
        <v>0</v>
      </c>
      <c r="G12" s="66">
        <f>IF(REFUND_FINANCING="Yes",IF(OR(CAPI_TERM&gt;A12,MONTH(A12)&lt;&gt;PRIN_MATURITY,FIRST_PRIN&gt;A12),0,MAX(0,INT(((((VLOOKUP($A12,Summary!$D$14:$AX$56,COLUMNS(Summary!$D$15:$AX$15))+M12)/$V12-H13*2*R12)/(1+B12*R12)+IF($A12=SURPLUS_FUND_RELEASE_DATE_REFUNDING,IF(SURPLUS_RELEASE_SIZING="Yes",SURPLUS_FUND_DEPOSIT_REFUNDING,0),0)/(1+B12*R12)))/5000)*5000)),0)</f>
        <v>0</v>
      </c>
      <c r="H12" s="66">
        <f t="shared" ref="H12:H75" si="6">(H13+G12*B12/2)</f>
        <v>0</v>
      </c>
      <c r="I12" s="66">
        <f t="shared" ref="I12:I75" si="7">G12+H12</f>
        <v>0</v>
      </c>
      <c r="J12" s="70">
        <f t="shared" ref="J12:J43" si="8">IF($A12=0,0,IF(MONTH(A12)=INT_MATURITY,0,SUM(I11:I12)))</f>
        <v>0</v>
      </c>
      <c r="K12" s="66">
        <f t="shared" ref="K12:K74" si="9">MAX(0,DAYS360(MAX(DELIVERY,A11),MIN(A12,CAPI_END_DATE))/DAYS360(MAX(DELIVERY,A11),A12))*H12</f>
        <v>0</v>
      </c>
      <c r="L12" s="85">
        <f t="shared" si="1"/>
        <v>0</v>
      </c>
      <c r="M12" s="85">
        <f>IF(REFUND_FINANCING="No",0,IF($A12&lt;PREMIUM_CALL_FIRST,0,SURPLUS_FUND_DEPOSIT* INTEREST_EARN_RATE))</f>
        <v>0</v>
      </c>
      <c r="N12" s="66">
        <f t="shared" ref="N12:N75" si="10">I12-K12-M12</f>
        <v>0</v>
      </c>
      <c r="O12" s="70">
        <f t="shared" si="2"/>
        <v>0</v>
      </c>
      <c r="P12" s="70">
        <f>$G$96-SUM($G$11:G12)</f>
        <v>0</v>
      </c>
      <c r="R12" s="71">
        <v>1</v>
      </c>
      <c r="T12" s="83">
        <f>IF(ISNA(VLOOKUP($A12,Summary!$D$14:$AX$56,COLUMNS(Summary!$D$15:$AX$15),FALSE))=TRUE,0,VLOOKUP($A12,Summary!$D$14:$AX$56,COLUMNS(Summary!$D$15:$AX$15),FALSE))</f>
        <v>0</v>
      </c>
      <c r="U12" s="84">
        <f>IF(ISERROR(IF(ISNA(VLOOKUP($A12,Summary!$D$14:$AX$56,COLUMNS(Summary!$D$15:$AX$15),FALSE))=TRUE,0,VLOOKUP($A12,Summary!$D$14:$AX$56,COLUMNS(Summary!$D$15:$AX$15),FALSE))/O12),0,IF(ISNA(VLOOKUP($A12,Summary!$D$14:$AX$56,COLUMNS(Summary!$D$15:$AX$15),FALSE))=TRUE,0,VLOOKUP($A12,Summary!$D$14:$AX$56,COLUMNS(Summary!$D$15:$AX$15),FALSE))/O12)</f>
        <v>0</v>
      </c>
      <c r="V12" s="72" t="str">
        <f t="shared" ref="V12:V43" si="11">IF($B12&lt;&gt;0,DSC_REFUNDING_BONDS,"")</f>
        <v/>
      </c>
      <c r="X12" s="83">
        <f t="shared" si="3"/>
        <v>0</v>
      </c>
      <c r="Y12" s="83"/>
      <c r="Z12" s="83"/>
    </row>
    <row r="13" spans="1:36" x14ac:dyDescent="0.25">
      <c r="A13" s="67">
        <f t="shared" si="4"/>
        <v>47543</v>
      </c>
      <c r="B13" s="161">
        <f t="shared" si="0"/>
        <v>4.4999999999999998E-2</v>
      </c>
      <c r="C13" s="161">
        <f t="shared" ref="C13:C76" si="12">B13</f>
        <v>4.4999999999999998E-2</v>
      </c>
      <c r="D13" s="161">
        <f>IF(C13=0,0,TRUNC(IF(B13=C13,100,IF(A13&lt;=(EDATE(PAR_CALL_FIRST,10*12)),PRICE(DELIVERY_REFUNDING,A13,B13,C13,100,2,0),MIN(PRICE(DELIVERY_REFUNDING,A13,B13,C13,100,2,0),PRICE(DELIVERY_REFUNDING,(EDATE(PAR_CALL_FIRST,10*12)),B13,C13,100,2,0)))),3)/100)</f>
        <v>1</v>
      </c>
      <c r="E13" s="137"/>
      <c r="F13" s="66">
        <f>D13*G13-G13</f>
        <v>0</v>
      </c>
      <c r="G13" s="66">
        <f>IF(REFUND_FINANCING="Yes",IF(OR(CAPI_TERM&gt;A13,MONTH(A13)&lt;&gt;PRIN_MATURITY,FIRST_PRIN&gt;A13),0,MAX(0,INT(((((VLOOKUP($A13,Summary!$D$14:$AX$56,COLUMNS(Summary!$D$15:$AX$15))+M13)/$V13-H14*2*R13)/(1+B13*R13)+IF($A13=SURPLUS_FUND_RELEASE_DATE_REFUNDING,IF(SURPLUS_RELEASE_SIZING="Yes",SURPLUS_FUND_DEPOSIT_REFUNDING,0),0)/(1+B13*R13)))/5000)*5000)),0)</f>
        <v>0</v>
      </c>
      <c r="H13" s="66">
        <f t="shared" si="6"/>
        <v>0</v>
      </c>
      <c r="I13" s="66">
        <f t="shared" si="7"/>
        <v>0</v>
      </c>
      <c r="J13" s="70">
        <f t="shared" si="8"/>
        <v>0</v>
      </c>
      <c r="K13" s="66">
        <f t="shared" si="9"/>
        <v>0</v>
      </c>
      <c r="L13" s="85">
        <f t="shared" si="1"/>
        <v>0</v>
      </c>
      <c r="M13" s="85"/>
      <c r="N13" s="66">
        <f t="shared" si="10"/>
        <v>0</v>
      </c>
      <c r="O13" s="70">
        <f t="shared" si="2"/>
        <v>0</v>
      </c>
      <c r="P13" s="70">
        <f>$G$96-SUM($G$11:G13)</f>
        <v>0</v>
      </c>
      <c r="R13" s="68">
        <f t="shared" ref="R13:R76" si="13">IF(MONTH(A13)=PRIN_MATURITY,MAX(0,DAYS360(MAX(CAPI_TERM,EDATE(A13,-12)),A13))/360,0)</f>
        <v>1</v>
      </c>
      <c r="T13" s="83">
        <f ca="1">IF(ISNA(VLOOKUP($A13,Summary!$D$14:$AX$56,COLUMNS(Summary!$D$15:$AX$15),FALSE))=TRUE,0,VLOOKUP($A13,Summary!$D$14:$AX$56,COLUMNS(Summary!$D$15:$AX$15),FALSE))</f>
        <v>447485.11588620231</v>
      </c>
      <c r="U13" s="84">
        <f ca="1">IF(ISERROR(IF(ISNA(VLOOKUP($A13,Summary!$D$14:$AX$56,COLUMNS(Summary!$D$15:$AX$15),FALSE))=TRUE,0,VLOOKUP($A13,Summary!$D$14:$AX$56,COLUMNS(Summary!$D$15:$AX$15),FALSE))/O13),0,IF(ISNA(VLOOKUP($A13,Summary!$D$14:$AX$56,COLUMNS(Summary!$D$15:$AX$15),FALSE))=TRUE,0,VLOOKUP($A13,Summary!$D$14:$AX$56,COLUMNS(Summary!$D$15:$AX$15),FALSE))/O13)</f>
        <v>0</v>
      </c>
      <c r="V13" s="72">
        <f t="shared" si="11"/>
        <v>1.2</v>
      </c>
      <c r="X13" s="83">
        <f t="shared" si="3"/>
        <v>0</v>
      </c>
      <c r="Y13" s="83"/>
      <c r="Z13" s="83"/>
      <c r="AB13" s="148">
        <f>1%+0</f>
        <v>0.01</v>
      </c>
      <c r="AC13" s="83">
        <f t="shared" ref="AC13:AC22" si="14">NPV(AB13/2,TIC_DEBT_SERVICE_SENIOR_REFUNDING)*(1+AB13/2)^AD13</f>
        <v>0</v>
      </c>
      <c r="AD13" s="145">
        <f>$AD$11</f>
        <v>1</v>
      </c>
      <c r="AE13" s="83">
        <f>$AE$11</f>
        <v>0</v>
      </c>
      <c r="AG13" s="148">
        <f>1%+0</f>
        <v>0.01</v>
      </c>
      <c r="AH13" s="83">
        <f t="shared" ref="AH13:AH22" si="15">NPV(AG13/2,TIC_DEBT_SERVICE_SENIOR_REFUNDING)*(1+AG13/2)^AI13</f>
        <v>0</v>
      </c>
      <c r="AI13" s="145">
        <f>$AD$11</f>
        <v>1</v>
      </c>
      <c r="AJ13" s="83">
        <f ca="1">$AJ$11</f>
        <v>-1263354.3402777778</v>
      </c>
    </row>
    <row r="14" spans="1:36" x14ac:dyDescent="0.25">
      <c r="A14" s="67">
        <f t="shared" si="4"/>
        <v>47727</v>
      </c>
      <c r="B14" s="161">
        <f t="shared" si="0"/>
        <v>0</v>
      </c>
      <c r="C14" s="161">
        <f t="shared" si="12"/>
        <v>0</v>
      </c>
      <c r="D14" s="68">
        <f t="shared" si="5"/>
        <v>0</v>
      </c>
      <c r="E14" s="137"/>
      <c r="F14" s="66">
        <f t="shared" ref="F14:F77" si="16">D14*G14-G14</f>
        <v>0</v>
      </c>
      <c r="G14" s="66">
        <f>IF(REFUND_FINANCING="Yes",IF(OR(CAPI_TERM&gt;A14,MONTH(A14)&lt;&gt;PRIN_MATURITY,FIRST_PRIN&gt;A14),0,MAX(0,INT(((((VLOOKUP($A14,Summary!$D$14:$AX$56,COLUMNS(Summary!$D$15:$AX$15))+M14)/$V14-H15*2*R14)/(1+B14*R14)+IF($A14=SURPLUS_FUND_RELEASE_DATE_REFUNDING,IF(SURPLUS_RELEASE_SIZING="Yes",SURPLUS_FUND_DEPOSIT_REFUNDING,0),0)/(1+B14*R14)))/5000)*5000)),0)</f>
        <v>0</v>
      </c>
      <c r="H14" s="66">
        <f t="shared" si="6"/>
        <v>0</v>
      </c>
      <c r="I14" s="66">
        <f t="shared" si="7"/>
        <v>0</v>
      </c>
      <c r="J14" s="70">
        <f t="shared" si="8"/>
        <v>0</v>
      </c>
      <c r="K14" s="66">
        <f t="shared" si="9"/>
        <v>0</v>
      </c>
      <c r="L14" s="85">
        <f t="shared" si="1"/>
        <v>0</v>
      </c>
      <c r="M14" s="85">
        <f>IF(REFUND_FINANCING="No",0,IF($A14&lt;PREMIUM_CALL_FIRST,0,SURPLUS_FUND_DEPOSIT* INTEREST_EARN_RATE))</f>
        <v>0</v>
      </c>
      <c r="N14" s="66">
        <f t="shared" si="10"/>
        <v>0</v>
      </c>
      <c r="O14" s="70">
        <f t="shared" si="2"/>
        <v>0</v>
      </c>
      <c r="P14" s="70">
        <f>$G$96-SUM($G$11:G14)</f>
        <v>0</v>
      </c>
      <c r="R14" s="68">
        <f t="shared" si="13"/>
        <v>0</v>
      </c>
      <c r="T14" s="83">
        <f>IF(ISNA(VLOOKUP($A14,Summary!$D$14:$AX$56,COLUMNS(Summary!$D$15:$AX$15),FALSE))=TRUE,0,VLOOKUP($A14,Summary!$D$14:$AX$56,COLUMNS(Summary!$D$15:$AX$15),FALSE))</f>
        <v>0</v>
      </c>
      <c r="U14" s="84">
        <f>IF(ISERROR(IF(ISNA(VLOOKUP($A14,Summary!$D$14:$AX$56,COLUMNS(Summary!$D$15:$AX$15),FALSE))=TRUE,0,VLOOKUP($A14,Summary!$D$14:$AX$56,COLUMNS(Summary!$D$15:$AX$15),FALSE))/O14),0,IF(ISNA(VLOOKUP($A14,Summary!$D$14:$AX$56,COLUMNS(Summary!$D$15:$AX$15),FALSE))=TRUE,0,VLOOKUP($A14,Summary!$D$14:$AX$56,COLUMNS(Summary!$D$15:$AX$15),FALSE))/O14)</f>
        <v>0</v>
      </c>
      <c r="V14" s="72" t="str">
        <f t="shared" si="11"/>
        <v/>
      </c>
      <c r="X14" s="83">
        <f t="shared" si="3"/>
        <v>0</v>
      </c>
      <c r="Y14" s="83"/>
      <c r="Z14" s="83"/>
      <c r="AB14" s="148">
        <f>0%+0</f>
        <v>0</v>
      </c>
      <c r="AC14" s="83">
        <f t="shared" si="14"/>
        <v>0</v>
      </c>
      <c r="AD14" s="145">
        <f t="shared" ref="AD14:AD22" si="17">$AD$11</f>
        <v>1</v>
      </c>
      <c r="AE14" s="83">
        <f t="shared" ref="AE14:AE22" si="18">$AE$11</f>
        <v>0</v>
      </c>
      <c r="AG14" s="148">
        <f>0%+0</f>
        <v>0</v>
      </c>
      <c r="AH14" s="83">
        <f t="shared" si="15"/>
        <v>0</v>
      </c>
      <c r="AI14" s="145">
        <f t="shared" ref="AI14:AI22" si="19">$AD$11</f>
        <v>1</v>
      </c>
      <c r="AJ14" s="83">
        <f t="shared" ref="AJ14:AJ22" ca="1" si="20">$AJ$11</f>
        <v>-1263354.3402777778</v>
      </c>
    </row>
    <row r="15" spans="1:36" x14ac:dyDescent="0.25">
      <c r="A15" s="67">
        <f t="shared" si="4"/>
        <v>47908</v>
      </c>
      <c r="B15" s="161">
        <f t="shared" si="0"/>
        <v>4.4999999999999998E-2</v>
      </c>
      <c r="C15" s="161">
        <f t="shared" si="12"/>
        <v>4.4999999999999998E-2</v>
      </c>
      <c r="D15" s="161">
        <f>IF(C15=0,0,TRUNC(IF(B15=C15,100,IF(A15&lt;=(EDATE(PAR_CALL_FIRST,10*12)),PRICE(DELIVERY_REFUNDING,A15,B15,C15,100,2,0),MIN(PRICE(DELIVERY_REFUNDING,A15,B15,C15,100,2,0),PRICE(DELIVERY_REFUNDING,(EDATE(PAR_CALL_FIRST,10*12)),B15,C15,100,2,0)))),3)/100)</f>
        <v>1</v>
      </c>
      <c r="E15" s="137"/>
      <c r="F15" s="66">
        <f t="shared" si="16"/>
        <v>0</v>
      </c>
      <c r="G15" s="66">
        <f>IF(REFUND_FINANCING="Yes",IF(OR(CAPI_TERM&gt;A15,MONTH(A15)&lt;&gt;PRIN_MATURITY,FIRST_PRIN&gt;A15),0,MAX(0,INT(((((VLOOKUP($A15,Summary!$D$14:$AX$56,COLUMNS(Summary!$D$15:$AX$15))+M15)/$V15-H16*2*R15)/(1+B15*R15)+IF($A15=SURPLUS_FUND_RELEASE_DATE_REFUNDING,IF(SURPLUS_RELEASE_SIZING="Yes",SURPLUS_FUND_DEPOSIT_REFUNDING,0),0)/(1+B15*R15)))/5000)*5000)),0)</f>
        <v>0</v>
      </c>
      <c r="H15" s="66">
        <f t="shared" si="6"/>
        <v>0</v>
      </c>
      <c r="I15" s="66">
        <f t="shared" si="7"/>
        <v>0</v>
      </c>
      <c r="J15" s="70">
        <f t="shared" si="8"/>
        <v>0</v>
      </c>
      <c r="K15" s="66">
        <f t="shared" si="9"/>
        <v>0</v>
      </c>
      <c r="L15" s="85">
        <f t="shared" si="1"/>
        <v>0</v>
      </c>
      <c r="M15" s="85"/>
      <c r="N15" s="66">
        <f t="shared" si="10"/>
        <v>0</v>
      </c>
      <c r="O15" s="70">
        <f t="shared" si="2"/>
        <v>0</v>
      </c>
      <c r="P15" s="70">
        <f>$G$96-SUM($G$11:G15)</f>
        <v>0</v>
      </c>
      <c r="R15" s="68">
        <f t="shared" si="13"/>
        <v>1</v>
      </c>
      <c r="T15" s="83">
        <f ca="1">IF(ISNA(VLOOKUP($A15,Summary!$D$14:$AX$56,COLUMNS(Summary!$D$15:$AX$15),FALSE))=TRUE,0,VLOOKUP($A15,Summary!$D$14:$AX$56,COLUMNS(Summary!$D$15:$AX$15),FALSE))</f>
        <v>512933.00792164897</v>
      </c>
      <c r="U15" s="84">
        <f ca="1">IF(ISERROR(IF(ISNA(VLOOKUP($A15,Summary!$D$14:$AX$56,COLUMNS(Summary!$D$15:$AX$15),FALSE))=TRUE,0,VLOOKUP($A15,Summary!$D$14:$AX$56,COLUMNS(Summary!$D$15:$AX$15),FALSE))/O15),0,IF(ISNA(VLOOKUP($A15,Summary!$D$14:$AX$56,COLUMNS(Summary!$D$15:$AX$15),FALSE))=TRUE,0,VLOOKUP($A15,Summary!$D$14:$AX$56,COLUMNS(Summary!$D$15:$AX$15),FALSE))/O15)</f>
        <v>0</v>
      </c>
      <c r="V15" s="72">
        <f t="shared" si="11"/>
        <v>1.2</v>
      </c>
      <c r="X15" s="83">
        <f t="shared" si="3"/>
        <v>0</v>
      </c>
      <c r="Y15" s="83"/>
      <c r="Z15" s="83"/>
      <c r="AB15" s="144">
        <f ca="1">IF(AC13-AC14=0,AB15,AB14+(AB14-AB13)*((AC14-AE15)/(AC13-AC14)))</f>
        <v>3.2566434215219611E-2</v>
      </c>
      <c r="AC15" s="83">
        <f t="shared" ca="1" si="14"/>
        <v>0</v>
      </c>
      <c r="AD15" s="145">
        <f t="shared" si="17"/>
        <v>1</v>
      </c>
      <c r="AE15" s="83">
        <f t="shared" si="18"/>
        <v>0</v>
      </c>
      <c r="AG15" s="144">
        <f ca="1">IF(AH13-AH14=0,AG15,AG14+(AG14-AG13)*((AH14-AJ15)/(AH13-AH14)))</f>
        <v>3.7137870776913572E-2</v>
      </c>
      <c r="AH15" s="83">
        <f t="shared" ca="1" si="15"/>
        <v>0</v>
      </c>
      <c r="AI15" s="145">
        <f t="shared" si="19"/>
        <v>1</v>
      </c>
      <c r="AJ15" s="83">
        <f t="shared" ca="1" si="20"/>
        <v>-1263354.3402777778</v>
      </c>
    </row>
    <row r="16" spans="1:36" x14ac:dyDescent="0.25">
      <c r="A16" s="67">
        <f t="shared" si="4"/>
        <v>48092</v>
      </c>
      <c r="B16" s="161">
        <f t="shared" si="0"/>
        <v>0</v>
      </c>
      <c r="C16" s="161">
        <f t="shared" si="12"/>
        <v>0</v>
      </c>
      <c r="D16" s="68">
        <f t="shared" si="5"/>
        <v>0</v>
      </c>
      <c r="E16" s="137"/>
      <c r="F16" s="66">
        <f t="shared" si="16"/>
        <v>0</v>
      </c>
      <c r="G16" s="66">
        <f>IF(REFUND_FINANCING="Yes",IF(OR(CAPI_TERM&gt;A16,MONTH(A16)&lt;&gt;PRIN_MATURITY,FIRST_PRIN&gt;A16),0,MAX(0,INT(((((VLOOKUP($A16,Summary!$D$14:$AX$56,COLUMNS(Summary!$D$15:$AX$15))+M16)/$V16-H17*2*R16)/(1+B16*R16)+IF($A16=SURPLUS_FUND_RELEASE_DATE_REFUNDING,IF(SURPLUS_RELEASE_SIZING="Yes",SURPLUS_FUND_DEPOSIT_REFUNDING,0),0)/(1+B16*R16)))/5000)*5000)),0)</f>
        <v>0</v>
      </c>
      <c r="H16" s="66">
        <f t="shared" si="6"/>
        <v>0</v>
      </c>
      <c r="I16" s="66">
        <f t="shared" si="7"/>
        <v>0</v>
      </c>
      <c r="J16" s="70">
        <f t="shared" si="8"/>
        <v>0</v>
      </c>
      <c r="K16" s="66">
        <f t="shared" si="9"/>
        <v>0</v>
      </c>
      <c r="L16" s="85">
        <f t="shared" si="1"/>
        <v>0</v>
      </c>
      <c r="M16" s="85">
        <f>IF(REFUND_FINANCING="No",0,IF($A16&lt;PREMIUM_CALL_FIRST,0,SURPLUS_FUND_DEPOSIT* INTEREST_EARN_RATE))</f>
        <v>0</v>
      </c>
      <c r="N16" s="66">
        <f t="shared" si="10"/>
        <v>0</v>
      </c>
      <c r="O16" s="70">
        <f t="shared" si="2"/>
        <v>0</v>
      </c>
      <c r="P16" s="70">
        <f>$G$96-SUM($G$11:G16)</f>
        <v>0</v>
      </c>
      <c r="R16" s="68">
        <f t="shared" si="13"/>
        <v>0</v>
      </c>
      <c r="T16" s="83">
        <f>IF(ISNA(VLOOKUP($A16,Summary!$D$14:$AX$56,COLUMNS(Summary!$D$15:$AX$15),FALSE))=TRUE,0,VLOOKUP($A16,Summary!$D$14:$AX$56,COLUMNS(Summary!$D$15:$AX$15),FALSE))</f>
        <v>0</v>
      </c>
      <c r="U16" s="84">
        <f>IF(ISERROR(IF(ISNA(VLOOKUP($A16,Summary!$D$14:$AX$56,COLUMNS(Summary!$D$15:$AX$15),FALSE))=TRUE,0,VLOOKUP($A16,Summary!$D$14:$AX$56,COLUMNS(Summary!$D$15:$AX$15),FALSE))/O16),0,IF(ISNA(VLOOKUP($A16,Summary!$D$14:$AX$56,COLUMNS(Summary!$D$15:$AX$15),FALSE))=TRUE,0,VLOOKUP($A16,Summary!$D$14:$AX$56,COLUMNS(Summary!$D$15:$AX$15),FALSE))/O16)</f>
        <v>0</v>
      </c>
      <c r="V16" s="72" t="str">
        <f t="shared" si="11"/>
        <v/>
      </c>
      <c r="X16" s="83">
        <f t="shared" si="3"/>
        <v>0</v>
      </c>
      <c r="Y16" s="83"/>
      <c r="Z16" s="83"/>
      <c r="AB16" s="144">
        <f t="shared" ref="AB16:AB22" ca="1" si="21">IF(AC14-AC15=0,AB16,AB15+(AB15-AB14)*((AC15-AE16)/(AC14-AC15)))</f>
        <v>4.0704334333979283E-2</v>
      </c>
      <c r="AC16" s="83">
        <f t="shared" ca="1" si="14"/>
        <v>0</v>
      </c>
      <c r="AD16" s="145">
        <f t="shared" si="17"/>
        <v>1</v>
      </c>
      <c r="AE16" s="83">
        <f t="shared" si="18"/>
        <v>0</v>
      </c>
      <c r="AG16" s="144">
        <f t="shared" ref="AG16:AG22" ca="1" si="22">IF(AH14-AH15=0,AG16,AG15+(AG15-AG14)*((AH15-AJ16)/(AH14-AH15)))</f>
        <v>4.8404466397300228E-2</v>
      </c>
      <c r="AH16" s="83">
        <f t="shared" ca="1" si="15"/>
        <v>0</v>
      </c>
      <c r="AI16" s="145">
        <f t="shared" si="19"/>
        <v>1</v>
      </c>
      <c r="AJ16" s="83">
        <f t="shared" ca="1" si="20"/>
        <v>-1263354.3402777778</v>
      </c>
    </row>
    <row r="17" spans="1:36" x14ac:dyDescent="0.25">
      <c r="A17" s="67">
        <f t="shared" si="4"/>
        <v>48274</v>
      </c>
      <c r="B17" s="161">
        <f t="shared" si="0"/>
        <v>4.4999999999999998E-2</v>
      </c>
      <c r="C17" s="161">
        <f t="shared" si="12"/>
        <v>4.4999999999999998E-2</v>
      </c>
      <c r="D17" s="161">
        <f>IF(C17=0,0,TRUNC(IF(B17=C17,100,IF(A17&lt;=(EDATE(PAR_CALL_FIRST,10*12)),PRICE(DELIVERY_REFUNDING,A17,B17,C17,100,2,0),MIN(PRICE(DELIVERY_REFUNDING,A17,B17,C17,100,2,0),PRICE(DELIVERY_REFUNDING,(EDATE(PAR_CALL_FIRST,10*12)),B17,C17,100,2,0)))),3)/100)</f>
        <v>1</v>
      </c>
      <c r="E17" s="137"/>
      <c r="F17" s="66">
        <f t="shared" si="16"/>
        <v>0</v>
      </c>
      <c r="G17" s="66">
        <f>IF(REFUND_FINANCING="Yes",IF(OR(CAPI_TERM&gt;A17,MONTH(A17)&lt;&gt;PRIN_MATURITY,FIRST_PRIN&gt;A17),0,MAX(0,INT(((((VLOOKUP($A17,Summary!$D$14:$AX$56,COLUMNS(Summary!$D$15:$AX$15))+M17)/$V17-H18*2*R17)/(1+B17*R17)+IF($A17=SURPLUS_FUND_RELEASE_DATE_REFUNDING,IF(SURPLUS_RELEASE_SIZING="Yes",SURPLUS_FUND_DEPOSIT_REFUNDING,0),0)/(1+B17*R17)))/5000)*5000)),0)</f>
        <v>0</v>
      </c>
      <c r="H17" s="66">
        <f t="shared" si="6"/>
        <v>0</v>
      </c>
      <c r="I17" s="66">
        <f t="shared" si="7"/>
        <v>0</v>
      </c>
      <c r="J17" s="70">
        <f t="shared" si="8"/>
        <v>0</v>
      </c>
      <c r="K17" s="66">
        <f t="shared" si="9"/>
        <v>0</v>
      </c>
      <c r="L17" s="85">
        <f t="shared" si="1"/>
        <v>0</v>
      </c>
      <c r="M17" s="85"/>
      <c r="N17" s="66">
        <f t="shared" si="10"/>
        <v>0</v>
      </c>
      <c r="O17" s="70">
        <f t="shared" si="2"/>
        <v>0</v>
      </c>
      <c r="P17" s="70">
        <f>$G$96-SUM($G$11:G17)</f>
        <v>0</v>
      </c>
      <c r="R17" s="68">
        <f t="shared" si="13"/>
        <v>1</v>
      </c>
      <c r="T17" s="83">
        <f ca="1">IF(ISNA(VLOOKUP($A17,Summary!$D$14:$AX$56,COLUMNS(Summary!$D$15:$AX$15),FALSE))=TRUE,0,VLOOKUP($A17,Summary!$D$14:$AX$56,COLUMNS(Summary!$D$15:$AX$15),FALSE))</f>
        <v>517527.99949676951</v>
      </c>
      <c r="U17" s="84">
        <f ca="1">IF(ISERROR(IF(ISNA(VLOOKUP($A17,Summary!$D$14:$AX$56,COLUMNS(Summary!$D$15:$AX$15),FALSE))=TRUE,0,VLOOKUP($A17,Summary!$D$14:$AX$56,COLUMNS(Summary!$D$15:$AX$15),FALSE))/O17),0,IF(ISNA(VLOOKUP($A17,Summary!$D$14:$AX$56,COLUMNS(Summary!$D$15:$AX$15),FALSE))=TRUE,0,VLOOKUP($A17,Summary!$D$14:$AX$56,COLUMNS(Summary!$D$15:$AX$15),FALSE))/O17)</f>
        <v>0</v>
      </c>
      <c r="V17" s="72">
        <f t="shared" si="11"/>
        <v>1.2</v>
      </c>
      <c r="X17" s="83">
        <f t="shared" si="3"/>
        <v>0</v>
      </c>
      <c r="Y17" s="83"/>
      <c r="Z17" s="83"/>
      <c r="AB17" s="144">
        <f t="shared" ca="1" si="21"/>
        <v>4.5206272192358544E-2</v>
      </c>
      <c r="AC17" s="83">
        <f t="shared" ca="1" si="14"/>
        <v>0</v>
      </c>
      <c r="AD17" s="145">
        <f t="shared" si="17"/>
        <v>1</v>
      </c>
      <c r="AE17" s="83">
        <f t="shared" si="18"/>
        <v>0</v>
      </c>
      <c r="AG17" s="144">
        <f t="shared" ca="1" si="22"/>
        <v>5.605940680933124E-2</v>
      </c>
      <c r="AH17" s="83">
        <f t="shared" ca="1" si="15"/>
        <v>0</v>
      </c>
      <c r="AI17" s="145">
        <f t="shared" si="19"/>
        <v>1</v>
      </c>
      <c r="AJ17" s="83">
        <f t="shared" ca="1" si="20"/>
        <v>-1263354.3402777778</v>
      </c>
    </row>
    <row r="18" spans="1:36" x14ac:dyDescent="0.25">
      <c r="A18" s="67">
        <f t="shared" si="4"/>
        <v>48458</v>
      </c>
      <c r="B18" s="161">
        <f t="shared" si="0"/>
        <v>0</v>
      </c>
      <c r="C18" s="161">
        <f t="shared" si="12"/>
        <v>0</v>
      </c>
      <c r="D18" s="68">
        <f t="shared" si="5"/>
        <v>0</v>
      </c>
      <c r="E18" s="137"/>
      <c r="F18" s="66">
        <f t="shared" si="16"/>
        <v>0</v>
      </c>
      <c r="G18" s="66">
        <f>IF(REFUND_FINANCING="Yes",IF(OR(CAPI_TERM&gt;A18,MONTH(A18)&lt;&gt;PRIN_MATURITY,FIRST_PRIN&gt;A18),0,MAX(0,INT(((((VLOOKUP($A18,Summary!$D$14:$AX$56,COLUMNS(Summary!$D$15:$AX$15))+M18)/$V18-H19*2*R18)/(1+B18*R18)+IF($A18=SURPLUS_FUND_RELEASE_DATE_REFUNDING,IF(SURPLUS_RELEASE_SIZING="Yes",SURPLUS_FUND_DEPOSIT_REFUNDING,0),0)/(1+B18*R18)))/5000)*5000)),0)</f>
        <v>0</v>
      </c>
      <c r="H18" s="66">
        <f t="shared" si="6"/>
        <v>0</v>
      </c>
      <c r="I18" s="66">
        <f t="shared" si="7"/>
        <v>0</v>
      </c>
      <c r="J18" s="70">
        <f t="shared" si="8"/>
        <v>0</v>
      </c>
      <c r="K18" s="66">
        <f t="shared" si="9"/>
        <v>0</v>
      </c>
      <c r="L18" s="85">
        <f t="shared" si="1"/>
        <v>0</v>
      </c>
      <c r="M18" s="85">
        <f>IF(REFUND_FINANCING="No",0,IF($A18&lt;PREMIUM_CALL_FIRST,0,SURPLUS_FUND_DEPOSIT* INTEREST_EARN_RATE))</f>
        <v>0</v>
      </c>
      <c r="N18" s="66">
        <f t="shared" si="10"/>
        <v>0</v>
      </c>
      <c r="O18" s="70">
        <f t="shared" si="2"/>
        <v>0</v>
      </c>
      <c r="P18" s="70">
        <f>$G$96-SUM($G$11:G18)</f>
        <v>0</v>
      </c>
      <c r="R18" s="68">
        <f t="shared" si="13"/>
        <v>0</v>
      </c>
      <c r="T18" s="83">
        <f>IF(ISNA(VLOOKUP($A18,Summary!$D$14:$AX$56,COLUMNS(Summary!$D$15:$AX$15),FALSE))=TRUE,0,VLOOKUP($A18,Summary!$D$14:$AX$56,COLUMNS(Summary!$D$15:$AX$15),FALSE))</f>
        <v>0</v>
      </c>
      <c r="U18" s="84">
        <f>IF(ISERROR(IF(ISNA(VLOOKUP($A18,Summary!$D$14:$AX$56,COLUMNS(Summary!$D$15:$AX$15),FALSE))=TRUE,0,VLOOKUP($A18,Summary!$D$14:$AX$56,COLUMNS(Summary!$D$15:$AX$15),FALSE))/O18),0,IF(ISNA(VLOOKUP($A18,Summary!$D$14:$AX$56,COLUMNS(Summary!$D$15:$AX$15),FALSE))=TRUE,0,VLOOKUP($A18,Summary!$D$14:$AX$56,COLUMNS(Summary!$D$15:$AX$15),FALSE))/O18)</f>
        <v>0</v>
      </c>
      <c r="V18" s="72" t="str">
        <f t="shared" si="11"/>
        <v/>
      </c>
      <c r="X18" s="83">
        <f t="shared" si="3"/>
        <v>0</v>
      </c>
      <c r="Y18" s="83"/>
      <c r="Z18" s="83"/>
      <c r="AB18" s="144">
        <f t="shared" ca="1" si="21"/>
        <v>4.5808877363104482E-2</v>
      </c>
      <c r="AC18" s="83">
        <f t="shared" ca="1" si="14"/>
        <v>0</v>
      </c>
      <c r="AD18" s="145">
        <f t="shared" si="17"/>
        <v>1</v>
      </c>
      <c r="AE18" s="83">
        <f t="shared" si="18"/>
        <v>0</v>
      </c>
      <c r="AG18" s="144">
        <f t="shared" ca="1" si="22"/>
        <v>5.7599395136038796E-2</v>
      </c>
      <c r="AH18" s="83">
        <f t="shared" ca="1" si="15"/>
        <v>0</v>
      </c>
      <c r="AI18" s="145">
        <f t="shared" si="19"/>
        <v>1</v>
      </c>
      <c r="AJ18" s="83">
        <f t="shared" ca="1" si="20"/>
        <v>-1263354.3402777778</v>
      </c>
    </row>
    <row r="19" spans="1:36" x14ac:dyDescent="0.25">
      <c r="A19" s="67">
        <f t="shared" si="4"/>
        <v>48639</v>
      </c>
      <c r="B19" s="161">
        <f t="shared" si="0"/>
        <v>4.4999999999999998E-2</v>
      </c>
      <c r="C19" s="161">
        <f t="shared" si="12"/>
        <v>4.4999999999999998E-2</v>
      </c>
      <c r="D19" s="161">
        <f>IF(C19=0,0,TRUNC(IF(B19=C19,100,IF(A19&lt;=(EDATE(PAR_CALL_FIRST,10*12)),PRICE(DELIVERY_REFUNDING,A19,B19,C19,100,2,0),MIN(PRICE(DELIVERY_REFUNDING,A19,B19,C19,100,2,0),PRICE(DELIVERY_REFUNDING,(EDATE(PAR_CALL_FIRST,10*12)),B19,C19,100,2,0)))),3)/100)</f>
        <v>1</v>
      </c>
      <c r="E19" s="137"/>
      <c r="F19" s="66">
        <f t="shared" si="16"/>
        <v>0</v>
      </c>
      <c r="G19" s="66">
        <f>IF(REFUND_FINANCING="Yes",IF(OR(CAPI_TERM&gt;A19,MONTH(A19)&lt;&gt;PRIN_MATURITY,FIRST_PRIN&gt;A19),0,MAX(0,INT(((((VLOOKUP($A19,Summary!$D$14:$AX$56,COLUMNS(Summary!$D$15:$AX$15))+M19)/$V19-H20*2*R19)/(1+B19*R19)+IF($A19=SURPLUS_FUND_RELEASE_DATE_REFUNDING,IF(SURPLUS_RELEASE_SIZING="Yes",SURPLUS_FUND_DEPOSIT_REFUNDING,0),0)/(1+B19*R19)))/5000)*5000)),0)</f>
        <v>0</v>
      </c>
      <c r="H19" s="66">
        <f t="shared" si="6"/>
        <v>0</v>
      </c>
      <c r="I19" s="66">
        <f t="shared" si="7"/>
        <v>0</v>
      </c>
      <c r="J19" s="70">
        <f t="shared" si="8"/>
        <v>0</v>
      </c>
      <c r="K19" s="66">
        <f t="shared" si="9"/>
        <v>0</v>
      </c>
      <c r="L19" s="85">
        <f t="shared" si="1"/>
        <v>0</v>
      </c>
      <c r="M19" s="85"/>
      <c r="N19" s="66">
        <f t="shared" si="10"/>
        <v>0</v>
      </c>
      <c r="O19" s="70">
        <f t="shared" si="2"/>
        <v>0</v>
      </c>
      <c r="P19" s="70">
        <f>$G$96-SUM($G$11:G19)</f>
        <v>0</v>
      </c>
      <c r="R19" s="68">
        <f t="shared" si="13"/>
        <v>1</v>
      </c>
      <c r="T19" s="83">
        <f ca="1">IF(ISNA(VLOOKUP($A19,Summary!$D$14:$AX$56,COLUMNS(Summary!$D$15:$AX$15),FALSE))=TRUE,0,VLOOKUP($A19,Summary!$D$14:$AX$56,COLUMNS(Summary!$D$15:$AX$15),FALSE))</f>
        <v>522157.45421755937</v>
      </c>
      <c r="U19" s="84">
        <f ca="1">IF(ISERROR(IF(ISNA(VLOOKUP($A19,Summary!$D$14:$AX$56,COLUMNS(Summary!$D$15:$AX$15),FALSE))=TRUE,0,VLOOKUP($A19,Summary!$D$14:$AX$56,COLUMNS(Summary!$D$15:$AX$15),FALSE))/O19),0,IF(ISNA(VLOOKUP($A19,Summary!$D$14:$AX$56,COLUMNS(Summary!$D$15:$AX$15),FALSE))=TRUE,0,VLOOKUP($A19,Summary!$D$14:$AX$56,COLUMNS(Summary!$D$15:$AX$15),FALSE))/O19)</f>
        <v>0</v>
      </c>
      <c r="V19" s="72">
        <f t="shared" si="11"/>
        <v>1.2</v>
      </c>
      <c r="X19" s="83">
        <f t="shared" si="3"/>
        <v>0</v>
      </c>
      <c r="Y19" s="83"/>
      <c r="Z19" s="83"/>
      <c r="AB19" s="144">
        <f t="shared" ca="1" si="21"/>
        <v>4.5839777410367072E-2</v>
      </c>
      <c r="AC19" s="83">
        <f t="shared" ca="1" si="14"/>
        <v>0</v>
      </c>
      <c r="AD19" s="145">
        <f t="shared" si="17"/>
        <v>1</v>
      </c>
      <c r="AE19" s="83">
        <f t="shared" si="18"/>
        <v>0</v>
      </c>
      <c r="AG19" s="144">
        <f t="shared" ca="1" si="22"/>
        <v>5.7739893764931209E-2</v>
      </c>
      <c r="AH19" s="83">
        <f t="shared" ca="1" si="15"/>
        <v>0</v>
      </c>
      <c r="AI19" s="145">
        <f t="shared" si="19"/>
        <v>1</v>
      </c>
      <c r="AJ19" s="83">
        <f t="shared" ca="1" si="20"/>
        <v>-1263354.3402777778</v>
      </c>
    </row>
    <row r="20" spans="1:36" x14ac:dyDescent="0.25">
      <c r="A20" s="67">
        <f t="shared" si="4"/>
        <v>48823</v>
      </c>
      <c r="B20" s="161">
        <f t="shared" si="0"/>
        <v>0</v>
      </c>
      <c r="C20" s="161">
        <f t="shared" si="12"/>
        <v>0</v>
      </c>
      <c r="D20" s="68">
        <f t="shared" si="5"/>
        <v>0</v>
      </c>
      <c r="E20" s="137"/>
      <c r="F20" s="66">
        <f t="shared" si="16"/>
        <v>0</v>
      </c>
      <c r="G20" s="66">
        <f>IF(REFUND_FINANCING="Yes",IF(OR(CAPI_TERM&gt;A20,MONTH(A20)&lt;&gt;PRIN_MATURITY,FIRST_PRIN&gt;A20),0,MAX(0,INT(((((VLOOKUP($A20,Summary!$D$14:$AX$56,COLUMNS(Summary!$D$15:$AX$15))+M20)/$V20-H21*2*R20)/(1+B20*R20)+IF($A20=SURPLUS_FUND_RELEASE_DATE_REFUNDING,IF(SURPLUS_RELEASE_SIZING="Yes",SURPLUS_FUND_DEPOSIT_REFUNDING,0),0)/(1+B20*R20)))/5000)*5000)),0)</f>
        <v>0</v>
      </c>
      <c r="H20" s="66">
        <f t="shared" si="6"/>
        <v>0</v>
      </c>
      <c r="I20" s="66">
        <f t="shared" si="7"/>
        <v>0</v>
      </c>
      <c r="J20" s="70">
        <f t="shared" si="8"/>
        <v>0</v>
      </c>
      <c r="K20" s="66">
        <f t="shared" si="9"/>
        <v>0</v>
      </c>
      <c r="L20" s="85">
        <f t="shared" si="1"/>
        <v>0</v>
      </c>
      <c r="M20" s="85">
        <f>IF(REFUND_FINANCING="No",0,IF($A20&lt;PREMIUM_CALL_FIRST,0,SURPLUS_FUND_DEPOSIT* INTEREST_EARN_RATE))</f>
        <v>0</v>
      </c>
      <c r="N20" s="66">
        <f t="shared" si="10"/>
        <v>0</v>
      </c>
      <c r="O20" s="70">
        <f t="shared" si="2"/>
        <v>0</v>
      </c>
      <c r="P20" s="70">
        <f>$G$96-SUM($G$11:G20)</f>
        <v>0</v>
      </c>
      <c r="R20" s="68">
        <f t="shared" si="13"/>
        <v>0</v>
      </c>
      <c r="T20" s="83">
        <f>IF(ISNA(VLOOKUP($A20,Summary!$D$14:$AX$56,COLUMNS(Summary!$D$15:$AX$15),FALSE))=TRUE,0,VLOOKUP($A20,Summary!$D$14:$AX$56,COLUMNS(Summary!$D$15:$AX$15),FALSE))</f>
        <v>0</v>
      </c>
      <c r="U20" s="84">
        <f>IF(ISERROR(IF(ISNA(VLOOKUP($A20,Summary!$D$14:$AX$56,COLUMNS(Summary!$D$15:$AX$15),FALSE))=TRUE,0,VLOOKUP($A20,Summary!$D$14:$AX$56,COLUMNS(Summary!$D$15:$AX$15),FALSE))/O20),0,IF(ISNA(VLOOKUP($A20,Summary!$D$14:$AX$56,COLUMNS(Summary!$D$15:$AX$15),FALSE))=TRUE,0,VLOOKUP($A20,Summary!$D$14:$AX$56,COLUMNS(Summary!$D$15:$AX$15),FALSE))/O20)</f>
        <v>0</v>
      </c>
      <c r="V20" s="72" t="str">
        <f t="shared" si="11"/>
        <v/>
      </c>
      <c r="X20" s="83">
        <f t="shared" si="3"/>
        <v>0</v>
      </c>
      <c r="Y20" s="83"/>
      <c r="Z20" s="83"/>
      <c r="AB20" s="144">
        <f t="shared" ca="1" si="21"/>
        <v>4.5839967632474235E-2</v>
      </c>
      <c r="AC20" s="83">
        <f t="shared" ca="1" si="14"/>
        <v>0</v>
      </c>
      <c r="AD20" s="145">
        <f t="shared" si="17"/>
        <v>1</v>
      </c>
      <c r="AE20" s="83">
        <f t="shared" si="18"/>
        <v>0</v>
      </c>
      <c r="AG20" s="144">
        <f t="shared" ca="1" si="22"/>
        <v>5.7742112084311854E-2</v>
      </c>
      <c r="AH20" s="83">
        <f t="shared" ca="1" si="15"/>
        <v>0</v>
      </c>
      <c r="AI20" s="145">
        <f t="shared" si="19"/>
        <v>1</v>
      </c>
      <c r="AJ20" s="83">
        <f t="shared" ca="1" si="20"/>
        <v>-1263354.3402777778</v>
      </c>
    </row>
    <row r="21" spans="1:36" x14ac:dyDescent="0.25">
      <c r="A21" s="67">
        <f t="shared" si="4"/>
        <v>49004</v>
      </c>
      <c r="B21" s="161">
        <f t="shared" si="0"/>
        <v>4.4999999999999998E-2</v>
      </c>
      <c r="C21" s="161">
        <f t="shared" si="12"/>
        <v>4.4999999999999998E-2</v>
      </c>
      <c r="D21" s="161">
        <f>IF(C21=0,0,TRUNC(IF(B21=C21,100,IF(A21&lt;=(EDATE(PAR_CALL_FIRST,10*12)),PRICE(DELIVERY_REFUNDING,A21,B21,C21,100,2,0),MIN(PRICE(DELIVERY_REFUNDING,A21,B21,C21,100,2,0),PRICE(DELIVERY_REFUNDING,(EDATE(PAR_CALL_FIRST,10*12)),B21,C21,100,2,0)))),3)/100)</f>
        <v>1</v>
      </c>
      <c r="E21" s="137"/>
      <c r="F21" s="66">
        <f t="shared" si="16"/>
        <v>0</v>
      </c>
      <c r="G21" s="66">
        <f>IF(REFUND_FINANCING="Yes",IF(OR(CAPI_TERM&gt;A21,MONTH(A21)&lt;&gt;PRIN_MATURITY,FIRST_PRIN&gt;A21),0,MAX(0,INT(((((VLOOKUP($A21,Summary!$D$14:$AX$56,COLUMNS(Summary!$D$15:$AX$15))+M21)/$V21-H22*2*R21)/(1+B21*R21)+IF($A21=SURPLUS_FUND_RELEASE_DATE_REFUNDING,IF(SURPLUS_RELEASE_SIZING="Yes",SURPLUS_FUND_DEPOSIT_REFUNDING,0),0)/(1+B21*R21)))/5000)*5000)),0)</f>
        <v>0</v>
      </c>
      <c r="H21" s="66">
        <f t="shared" si="6"/>
        <v>0</v>
      </c>
      <c r="I21" s="66">
        <f t="shared" si="7"/>
        <v>0</v>
      </c>
      <c r="J21" s="70">
        <f t="shared" si="8"/>
        <v>0</v>
      </c>
      <c r="K21" s="66">
        <f t="shared" si="9"/>
        <v>0</v>
      </c>
      <c r="L21" s="85">
        <f t="shared" si="1"/>
        <v>0</v>
      </c>
      <c r="M21" s="85"/>
      <c r="N21" s="66">
        <f t="shared" si="10"/>
        <v>0</v>
      </c>
      <c r="O21" s="70">
        <f t="shared" si="2"/>
        <v>0</v>
      </c>
      <c r="P21" s="70">
        <f>$G$96-SUM($G$11:G21)</f>
        <v>0</v>
      </c>
      <c r="R21" s="68">
        <f t="shared" si="13"/>
        <v>1</v>
      </c>
      <c r="T21" s="83">
        <f ca="1">IF(ISNA(VLOOKUP($A21,Summary!$D$14:$AX$56,COLUMNS(Summary!$D$15:$AX$15),FALSE))=TRUE,0,VLOOKUP($A21,Summary!$D$14:$AX$56,COLUMNS(Summary!$D$15:$AX$15),FALSE))</f>
        <v>526821.48698007339</v>
      </c>
      <c r="U21" s="84">
        <f ca="1">IF(ISERROR(IF(ISNA(VLOOKUP($A21,Summary!$D$14:$AX$56,COLUMNS(Summary!$D$15:$AX$15),FALSE))=TRUE,0,VLOOKUP($A21,Summary!$D$14:$AX$56,COLUMNS(Summary!$D$15:$AX$15),FALSE))/O21),0,IF(ISNA(VLOOKUP($A21,Summary!$D$14:$AX$56,COLUMNS(Summary!$D$15:$AX$15),FALSE))=TRUE,0,VLOOKUP($A21,Summary!$D$14:$AX$56,COLUMNS(Summary!$D$15:$AX$15),FALSE))/O21)</f>
        <v>0</v>
      </c>
      <c r="V21" s="72">
        <f t="shared" si="11"/>
        <v>1.2</v>
      </c>
      <c r="X21" s="83">
        <f t="shared" si="3"/>
        <v>0</v>
      </c>
      <c r="Y21" s="83"/>
      <c r="Z21" s="83"/>
      <c r="AB21" s="144">
        <f t="shared" ca="1" si="21"/>
        <v>4.5839967689685665E-2</v>
      </c>
      <c r="AC21" s="83">
        <f t="shared" ca="1" si="14"/>
        <v>0</v>
      </c>
      <c r="AD21" s="145">
        <f>$AD$11</f>
        <v>1</v>
      </c>
      <c r="AE21" s="83">
        <f t="shared" si="18"/>
        <v>0</v>
      </c>
      <c r="AG21" s="144">
        <f t="shared" ca="1" si="22"/>
        <v>5.7742115025928964E-2</v>
      </c>
      <c r="AH21" s="83">
        <f t="shared" ca="1" si="15"/>
        <v>0</v>
      </c>
      <c r="AI21" s="145">
        <f>$AD$11</f>
        <v>1</v>
      </c>
      <c r="AJ21" s="83">
        <f t="shared" ca="1" si="20"/>
        <v>-1263354.3402777778</v>
      </c>
    </row>
    <row r="22" spans="1:36" x14ac:dyDescent="0.25">
      <c r="A22" s="67">
        <f t="shared" si="4"/>
        <v>49188</v>
      </c>
      <c r="B22" s="161">
        <f t="shared" si="0"/>
        <v>0</v>
      </c>
      <c r="C22" s="161">
        <f t="shared" si="12"/>
        <v>0</v>
      </c>
      <c r="D22" s="68">
        <f t="shared" si="5"/>
        <v>0</v>
      </c>
      <c r="E22" s="137"/>
      <c r="F22" s="66">
        <f t="shared" si="16"/>
        <v>0</v>
      </c>
      <c r="G22" s="66">
        <f>IF(REFUND_FINANCING="Yes",IF(OR(CAPI_TERM&gt;A22,MONTH(A22)&lt;&gt;PRIN_MATURITY,FIRST_PRIN&gt;A22),0,MAX(0,INT(((((VLOOKUP($A22,Summary!$D$14:$AX$56,COLUMNS(Summary!$D$15:$AX$15))+M22)/$V22-H23*2*R22)/(1+B22*R22)+IF($A22=SURPLUS_FUND_RELEASE_DATE_REFUNDING,IF(SURPLUS_RELEASE_SIZING="Yes",SURPLUS_FUND_DEPOSIT_REFUNDING,0),0)/(1+B22*R22)))/5000)*5000)),0)</f>
        <v>0</v>
      </c>
      <c r="H22" s="66">
        <f t="shared" si="6"/>
        <v>0</v>
      </c>
      <c r="I22" s="66">
        <f t="shared" si="7"/>
        <v>0</v>
      </c>
      <c r="J22" s="70">
        <f t="shared" si="8"/>
        <v>0</v>
      </c>
      <c r="K22" s="66">
        <f t="shared" si="9"/>
        <v>0</v>
      </c>
      <c r="L22" s="85">
        <f t="shared" si="1"/>
        <v>0</v>
      </c>
      <c r="M22" s="85">
        <f>IF(REFUND_FINANCING="No",0,IF($A22&lt;PREMIUM_CALL_FIRST,0,SURPLUS_FUND_DEPOSIT* INTEREST_EARN_RATE))</f>
        <v>0</v>
      </c>
      <c r="N22" s="66">
        <f t="shared" si="10"/>
        <v>0</v>
      </c>
      <c r="O22" s="70">
        <f t="shared" si="2"/>
        <v>0</v>
      </c>
      <c r="P22" s="70">
        <f>$G$96-SUM($G$11:G22)</f>
        <v>0</v>
      </c>
      <c r="R22" s="68">
        <f t="shared" si="13"/>
        <v>0</v>
      </c>
      <c r="T22" s="83">
        <f>IF(ISNA(VLOOKUP($A22,Summary!$D$14:$AX$56,COLUMNS(Summary!$D$15:$AX$15),FALSE))=TRUE,0,VLOOKUP($A22,Summary!$D$14:$AX$56,COLUMNS(Summary!$D$15:$AX$15),FALSE))</f>
        <v>0</v>
      </c>
      <c r="U22" s="84">
        <f>IF(ISERROR(IF(ISNA(VLOOKUP($A22,Summary!$D$14:$AX$56,COLUMNS(Summary!$D$15:$AX$15),FALSE))=TRUE,0,VLOOKUP($A22,Summary!$D$14:$AX$56,COLUMNS(Summary!$D$15:$AX$15),FALSE))/O22),0,IF(ISNA(VLOOKUP($A22,Summary!$D$14:$AX$56,COLUMNS(Summary!$D$15:$AX$15),FALSE))=TRUE,0,VLOOKUP($A22,Summary!$D$14:$AX$56,COLUMNS(Summary!$D$15:$AX$15),FALSE))/O22)</f>
        <v>0</v>
      </c>
      <c r="V22" s="72" t="str">
        <f t="shared" si="11"/>
        <v/>
      </c>
      <c r="X22" s="83">
        <f t="shared" si="3"/>
        <v>0</v>
      </c>
      <c r="Y22" s="83"/>
      <c r="Z22" s="83"/>
      <c r="AB22" s="144">
        <f t="shared" ca="1" si="21"/>
        <v>4.5839967689685603E-2</v>
      </c>
      <c r="AC22" s="83">
        <f t="shared" ca="1" si="14"/>
        <v>0</v>
      </c>
      <c r="AD22" s="145">
        <f t="shared" si="17"/>
        <v>1</v>
      </c>
      <c r="AE22" s="83">
        <f t="shared" si="18"/>
        <v>0</v>
      </c>
      <c r="AG22" s="144">
        <f t="shared" ca="1" si="22"/>
        <v>5.7742115025989527E-2</v>
      </c>
      <c r="AH22" s="83">
        <f t="shared" ca="1" si="15"/>
        <v>0</v>
      </c>
      <c r="AI22" s="145">
        <f t="shared" si="19"/>
        <v>1</v>
      </c>
      <c r="AJ22" s="83">
        <f t="shared" ca="1" si="20"/>
        <v>-1263354.3402777778</v>
      </c>
    </row>
    <row r="23" spans="1:36" x14ac:dyDescent="0.25">
      <c r="A23" s="67">
        <f t="shared" si="4"/>
        <v>49369</v>
      </c>
      <c r="B23" s="161">
        <f t="shared" si="0"/>
        <v>4.4999999999999998E-2</v>
      </c>
      <c r="C23" s="161">
        <f t="shared" si="12"/>
        <v>4.4999999999999998E-2</v>
      </c>
      <c r="D23" s="68">
        <f t="shared" si="5"/>
        <v>1</v>
      </c>
      <c r="E23" s="137"/>
      <c r="F23" s="66">
        <f t="shared" si="16"/>
        <v>0</v>
      </c>
      <c r="G23" s="66">
        <f>IF(REFUND_FINANCING="Yes",IF(OR(CAPI_TERM&gt;A23,MONTH(A23)&lt;&gt;PRIN_MATURITY,FIRST_PRIN&gt;A23),0,MAX(0,INT(((((VLOOKUP($A23,Summary!$D$14:$AX$56,COLUMNS(Summary!$D$15:$AX$15))+M23)/$V23-H24*2*R23)/(1+B23*R23)+IF($A23=SURPLUS_FUND_RELEASE_DATE_REFUNDING,IF(SURPLUS_RELEASE_SIZING="Yes",SURPLUS_FUND_DEPOSIT_REFUNDING,0),0)/(1+B23*R23)))/5000)*5000)),0)</f>
        <v>0</v>
      </c>
      <c r="H23" s="66">
        <f t="shared" si="6"/>
        <v>0</v>
      </c>
      <c r="I23" s="66">
        <f t="shared" si="7"/>
        <v>0</v>
      </c>
      <c r="J23" s="70">
        <f t="shared" si="8"/>
        <v>0</v>
      </c>
      <c r="K23" s="66">
        <f t="shared" si="9"/>
        <v>0</v>
      </c>
      <c r="L23" s="85">
        <f t="shared" si="1"/>
        <v>0</v>
      </c>
      <c r="M23" s="85"/>
      <c r="N23" s="66">
        <f t="shared" si="10"/>
        <v>0</v>
      </c>
      <c r="O23" s="70">
        <f t="shared" si="2"/>
        <v>0</v>
      </c>
      <c r="P23" s="70">
        <f>$G$96-SUM($G$11:G23)</f>
        <v>0</v>
      </c>
      <c r="R23" s="68">
        <f t="shared" si="13"/>
        <v>1</v>
      </c>
      <c r="T23" s="83">
        <f ca="1">IF(ISNA(VLOOKUP($A23,Summary!$D$14:$AX$56,COLUMNS(Summary!$D$15:$AX$15),FALSE))=TRUE,0,VLOOKUP($A23,Summary!$D$14:$AX$56,COLUMNS(Summary!$D$15:$AX$15),FALSE))</f>
        <v>531520.20923461951</v>
      </c>
      <c r="U23" s="84">
        <f ca="1">IF(ISERROR(IF(ISNA(VLOOKUP($A23,Summary!$D$14:$AX$56,COLUMNS(Summary!$D$15:$AX$15),FALSE))=TRUE,0,VLOOKUP($A23,Summary!$D$14:$AX$56,COLUMNS(Summary!$D$15:$AX$15),FALSE))/O23),0,IF(ISNA(VLOOKUP($A23,Summary!$D$14:$AX$56,COLUMNS(Summary!$D$15:$AX$15),FALSE))=TRUE,0,VLOOKUP($A23,Summary!$D$14:$AX$56,COLUMNS(Summary!$D$15:$AX$15),FALSE))/O23)</f>
        <v>0</v>
      </c>
      <c r="V23" s="72">
        <f t="shared" si="11"/>
        <v>1.2</v>
      </c>
      <c r="X23" s="83">
        <f t="shared" si="3"/>
        <v>0</v>
      </c>
      <c r="Y23" s="83"/>
      <c r="Z23" s="83"/>
    </row>
    <row r="24" spans="1:36" x14ac:dyDescent="0.25">
      <c r="A24" s="67">
        <f t="shared" si="4"/>
        <v>49553</v>
      </c>
      <c r="B24" s="161">
        <f t="shared" si="0"/>
        <v>0</v>
      </c>
      <c r="C24" s="161">
        <f t="shared" si="12"/>
        <v>0</v>
      </c>
      <c r="D24" s="161">
        <f>IF(C24=0,0,TRUNC(IF(B24=C24,100,IF(A24&lt;=(EDATE(PAR_CALL_FIRST,10*12)),PRICE(DELIVERY_REFUNDING,A24,B24,C24,100,2,0),MIN(PRICE(DELIVERY_REFUNDING,A24,B24,C24,100,2,0),PRICE(DELIVERY_REFUNDING,(EDATE(PAR_CALL_FIRST,10*12)),B24,C24,100,2,0)))),3)/100)</f>
        <v>0</v>
      </c>
      <c r="E24" s="137"/>
      <c r="F24" s="66">
        <f t="shared" si="16"/>
        <v>0</v>
      </c>
      <c r="G24" s="66">
        <f>IF(REFUND_FINANCING="Yes",IF(OR(CAPI_TERM&gt;A24,MONTH(A24)&lt;&gt;PRIN_MATURITY,FIRST_PRIN&gt;A24),0,MAX(0,INT(((((VLOOKUP($A24,Summary!$D$14:$AX$56,COLUMNS(Summary!$D$15:$AX$15))+M24)/$V24-H25*2*R24)/(1+B24*R24)+IF($A24=SURPLUS_FUND_RELEASE_DATE_REFUNDING,IF(SURPLUS_RELEASE_SIZING="Yes",SURPLUS_FUND_DEPOSIT_REFUNDING,0),0)/(1+B24*R24)))/5000)*5000)),0)</f>
        <v>0</v>
      </c>
      <c r="H24" s="66">
        <f t="shared" si="6"/>
        <v>0</v>
      </c>
      <c r="I24" s="66">
        <f t="shared" si="7"/>
        <v>0</v>
      </c>
      <c r="J24" s="70">
        <f t="shared" si="8"/>
        <v>0</v>
      </c>
      <c r="K24" s="66">
        <f t="shared" si="9"/>
        <v>0</v>
      </c>
      <c r="L24" s="85">
        <f t="shared" si="1"/>
        <v>0</v>
      </c>
      <c r="M24" s="85">
        <f>IF(REFUND_FINANCING="No",0,IF($A24&lt;PREMIUM_CALL_FIRST,0,SURPLUS_FUND_DEPOSIT* INTEREST_EARN_RATE))</f>
        <v>0</v>
      </c>
      <c r="N24" s="66">
        <f t="shared" si="10"/>
        <v>0</v>
      </c>
      <c r="O24" s="70">
        <f t="shared" si="2"/>
        <v>0</v>
      </c>
      <c r="P24" s="70">
        <f>$G$96-SUM($G$11:G24)</f>
        <v>0</v>
      </c>
      <c r="R24" s="68">
        <f t="shared" si="13"/>
        <v>0</v>
      </c>
      <c r="T24" s="83">
        <f>IF(ISNA(VLOOKUP($A24,Summary!$D$14:$AX$56,COLUMNS(Summary!$D$15:$AX$15),FALSE))=TRUE,0,VLOOKUP($A24,Summary!$D$14:$AX$56,COLUMNS(Summary!$D$15:$AX$15),FALSE))</f>
        <v>0</v>
      </c>
      <c r="U24" s="84">
        <f>IF(ISERROR(IF(ISNA(VLOOKUP($A24,Summary!$D$14:$AX$56,COLUMNS(Summary!$D$15:$AX$15),FALSE))=TRUE,0,VLOOKUP($A24,Summary!$D$14:$AX$56,COLUMNS(Summary!$D$15:$AX$15),FALSE))/O24),0,IF(ISNA(VLOOKUP($A24,Summary!$D$14:$AX$56,COLUMNS(Summary!$D$15:$AX$15),FALSE))=TRUE,0,VLOOKUP($A24,Summary!$D$14:$AX$56,COLUMNS(Summary!$D$15:$AX$15),FALSE))/O24)</f>
        <v>0</v>
      </c>
      <c r="V24" s="72" t="str">
        <f t="shared" si="11"/>
        <v/>
      </c>
      <c r="X24" s="83">
        <f t="shared" si="3"/>
        <v>0</v>
      </c>
      <c r="Y24" s="83"/>
      <c r="Z24" s="83"/>
    </row>
    <row r="25" spans="1:36" x14ac:dyDescent="0.25">
      <c r="A25" s="67">
        <f t="shared" si="4"/>
        <v>49735</v>
      </c>
      <c r="B25" s="161">
        <f t="shared" si="0"/>
        <v>4.4999999999999998E-2</v>
      </c>
      <c r="C25" s="161">
        <f t="shared" si="12"/>
        <v>4.4999999999999998E-2</v>
      </c>
      <c r="D25" s="68">
        <f t="shared" si="5"/>
        <v>1</v>
      </c>
      <c r="E25" s="137"/>
      <c r="F25" s="66">
        <f t="shared" si="16"/>
        <v>0</v>
      </c>
      <c r="G25" s="66">
        <f>IF(REFUND_FINANCING="Yes",IF(OR(CAPI_TERM&gt;A25,MONTH(A25)&lt;&gt;PRIN_MATURITY,FIRST_PRIN&gt;A25),0,MAX(0,INT(((((VLOOKUP($A25,Summary!$D$14:$AX$56,COLUMNS(Summary!$D$15:$AX$15))+M25)/$V25-H26*2*R25)/(1+B25*R25)+IF($A25=SURPLUS_FUND_RELEASE_DATE_REFUNDING,IF(SURPLUS_RELEASE_SIZING="Yes",SURPLUS_FUND_DEPOSIT_REFUNDING,0),0)/(1+B25*R25)))/5000)*5000)),0)</f>
        <v>0</v>
      </c>
      <c r="H25" s="66">
        <f t="shared" si="6"/>
        <v>0</v>
      </c>
      <c r="I25" s="66">
        <f t="shared" si="7"/>
        <v>0</v>
      </c>
      <c r="J25" s="70">
        <f t="shared" si="8"/>
        <v>0</v>
      </c>
      <c r="K25" s="66">
        <f t="shared" si="9"/>
        <v>0</v>
      </c>
      <c r="L25" s="85">
        <f t="shared" si="1"/>
        <v>0</v>
      </c>
      <c r="M25" s="85"/>
      <c r="N25" s="66">
        <f t="shared" si="10"/>
        <v>0</v>
      </c>
      <c r="O25" s="70">
        <f t="shared" si="2"/>
        <v>0</v>
      </c>
      <c r="P25" s="70">
        <f>$G$96-SUM($G$11:G25)</f>
        <v>0</v>
      </c>
      <c r="R25" s="68">
        <f t="shared" si="13"/>
        <v>1</v>
      </c>
      <c r="T25" s="83">
        <f ca="1">IF(ISNA(VLOOKUP($A25,Summary!$D$14:$AX$56,COLUMNS(Summary!$D$15:$AX$15),FALSE))=TRUE,0,VLOOKUP($A25,Summary!$D$14:$AX$56,COLUMNS(Summary!$D$15:$AX$15),FALSE))</f>
        <v>536253.72885940585</v>
      </c>
      <c r="U25" s="84">
        <f ca="1">IF(ISERROR(IF(ISNA(VLOOKUP($A25,Summary!$D$14:$AX$56,COLUMNS(Summary!$D$15:$AX$15),FALSE))=TRUE,0,VLOOKUP($A25,Summary!$D$14:$AX$56,COLUMNS(Summary!$D$15:$AX$15),FALSE))/O25),0,IF(ISNA(VLOOKUP($A25,Summary!$D$14:$AX$56,COLUMNS(Summary!$D$15:$AX$15),FALSE))=TRUE,0,VLOOKUP($A25,Summary!$D$14:$AX$56,COLUMNS(Summary!$D$15:$AX$15),FALSE))/O25)</f>
        <v>0</v>
      </c>
      <c r="V25" s="72">
        <f t="shared" si="11"/>
        <v>1.2</v>
      </c>
      <c r="X25" s="83">
        <f t="shared" si="3"/>
        <v>0</v>
      </c>
      <c r="Y25" s="83"/>
      <c r="Z25" s="83"/>
    </row>
    <row r="26" spans="1:36" x14ac:dyDescent="0.25">
      <c r="A26" s="67">
        <f t="shared" si="4"/>
        <v>49919</v>
      </c>
      <c r="B26" s="161">
        <f t="shared" si="0"/>
        <v>0</v>
      </c>
      <c r="C26" s="161">
        <f t="shared" si="12"/>
        <v>0</v>
      </c>
      <c r="D26" s="161">
        <f>IF(C26=0,0,TRUNC(IF(B26=C26,100,IF(A26&lt;=(EDATE(PAR_CALL_FIRST,10*12)),PRICE(DELIVERY_REFUNDING,A26,B26,C26,100,2,0),MIN(PRICE(DELIVERY_REFUNDING,A26,B26,C26,100,2,0),PRICE(DELIVERY_REFUNDING,(EDATE(PAR_CALL_FIRST,10*12)),B26,C26,100,2,0)))),3)/100)</f>
        <v>0</v>
      </c>
      <c r="E26" s="137"/>
      <c r="F26" s="66">
        <f t="shared" si="16"/>
        <v>0</v>
      </c>
      <c r="G26" s="66">
        <f>IF(REFUND_FINANCING="Yes",IF(OR(CAPI_TERM&gt;A26,MONTH(A26)&lt;&gt;PRIN_MATURITY,FIRST_PRIN&gt;A26),0,MAX(0,INT(((((VLOOKUP($A26,Summary!$D$14:$AX$56,COLUMNS(Summary!$D$15:$AX$15))+M26)/$V26-H27*2*R26)/(1+B26*R26)+IF($A26=SURPLUS_FUND_RELEASE_DATE_REFUNDING,IF(SURPLUS_RELEASE_SIZING="Yes",SURPLUS_FUND_DEPOSIT_REFUNDING,0),0)/(1+B26*R26)))/5000)*5000)),0)</f>
        <v>0</v>
      </c>
      <c r="H26" s="66">
        <f t="shared" si="6"/>
        <v>0</v>
      </c>
      <c r="I26" s="66">
        <f t="shared" si="7"/>
        <v>0</v>
      </c>
      <c r="J26" s="70">
        <f t="shared" si="8"/>
        <v>0</v>
      </c>
      <c r="K26" s="66">
        <f t="shared" si="9"/>
        <v>0</v>
      </c>
      <c r="L26" s="85">
        <f t="shared" si="1"/>
        <v>0</v>
      </c>
      <c r="M26" s="85">
        <f>IF(REFUND_FINANCING="No",0,IF($A26&lt;PREMIUM_CALL_FIRST,0,SURPLUS_FUND_DEPOSIT* INTEREST_EARN_RATE))</f>
        <v>0</v>
      </c>
      <c r="N26" s="66">
        <f t="shared" si="10"/>
        <v>0</v>
      </c>
      <c r="O26" s="70">
        <f t="shared" si="2"/>
        <v>0</v>
      </c>
      <c r="P26" s="70">
        <f>$G$96-SUM($G$11:G26)</f>
        <v>0</v>
      </c>
      <c r="R26" s="68">
        <f t="shared" si="13"/>
        <v>0</v>
      </c>
      <c r="T26" s="83">
        <f>IF(ISNA(VLOOKUP($A26,Summary!$D$14:$AX$56,COLUMNS(Summary!$D$15:$AX$15),FALSE))=TRUE,0,VLOOKUP($A26,Summary!$D$14:$AX$56,COLUMNS(Summary!$D$15:$AX$15),FALSE))</f>
        <v>0</v>
      </c>
      <c r="U26" s="84">
        <f>IF(ISERROR(IF(ISNA(VLOOKUP($A26,Summary!$D$14:$AX$56,COLUMNS(Summary!$D$15:$AX$15),FALSE))=TRUE,0,VLOOKUP($A26,Summary!$D$14:$AX$56,COLUMNS(Summary!$D$15:$AX$15),FALSE))/O26),0,IF(ISNA(VLOOKUP($A26,Summary!$D$14:$AX$56,COLUMNS(Summary!$D$15:$AX$15),FALSE))=TRUE,0,VLOOKUP($A26,Summary!$D$14:$AX$56,COLUMNS(Summary!$D$15:$AX$15),FALSE))/O26)</f>
        <v>0</v>
      </c>
      <c r="V26" s="72" t="str">
        <f t="shared" si="11"/>
        <v/>
      </c>
      <c r="X26" s="83">
        <f t="shared" si="3"/>
        <v>0</v>
      </c>
      <c r="Y26" s="83"/>
      <c r="Z26" s="83"/>
    </row>
    <row r="27" spans="1:36" x14ac:dyDescent="0.25">
      <c r="A27" s="67">
        <f t="shared" si="4"/>
        <v>50100</v>
      </c>
      <c r="B27" s="161">
        <f t="shared" si="0"/>
        <v>4.4999999999999998E-2</v>
      </c>
      <c r="C27" s="161">
        <f t="shared" si="12"/>
        <v>4.4999999999999998E-2</v>
      </c>
      <c r="D27" s="68">
        <f t="shared" si="5"/>
        <v>1</v>
      </c>
      <c r="E27" s="137"/>
      <c r="F27" s="66">
        <f t="shared" si="16"/>
        <v>0</v>
      </c>
      <c r="G27" s="66">
        <f>IF(REFUND_FINANCING="Yes",IF(OR(CAPI_TERM&gt;A27,MONTH(A27)&lt;&gt;PRIN_MATURITY,FIRST_PRIN&gt;A27),0,MAX(0,INT(((((VLOOKUP($A27,Summary!$D$14:$AX$56,COLUMNS(Summary!$D$15:$AX$15))+M27)/$V27-H28*2*R27)/(1+B27*R27)+IF($A27=SURPLUS_FUND_RELEASE_DATE_REFUNDING,IF(SURPLUS_RELEASE_SIZING="Yes",SURPLUS_FUND_DEPOSIT_REFUNDING,0),0)/(1+B27*R27)))/5000)*5000)),0)</f>
        <v>0</v>
      </c>
      <c r="H27" s="66">
        <f t="shared" si="6"/>
        <v>0</v>
      </c>
      <c r="I27" s="66">
        <f t="shared" si="7"/>
        <v>0</v>
      </c>
      <c r="J27" s="70">
        <f t="shared" si="8"/>
        <v>0</v>
      </c>
      <c r="K27" s="66">
        <f t="shared" si="9"/>
        <v>0</v>
      </c>
      <c r="L27" s="85">
        <f t="shared" si="1"/>
        <v>0</v>
      </c>
      <c r="M27" s="85"/>
      <c r="N27" s="66">
        <f t="shared" si="10"/>
        <v>0</v>
      </c>
      <c r="O27" s="70">
        <f t="shared" si="2"/>
        <v>0</v>
      </c>
      <c r="P27" s="70">
        <f>$G$96-SUM($G$11:G27)</f>
        <v>0</v>
      </c>
      <c r="R27" s="68">
        <f t="shared" si="13"/>
        <v>1</v>
      </c>
      <c r="T27" s="83">
        <f ca="1">IF(ISNA(VLOOKUP($A27,Summary!$D$14:$AX$56,COLUMNS(Summary!$D$15:$AX$15),FALSE))=TRUE,0,VLOOKUP($A27,Summary!$D$14:$AX$56,COLUMNS(Summary!$D$15:$AX$15),FALSE))</f>
        <v>541022.15003108897</v>
      </c>
      <c r="U27" s="84">
        <f ca="1">IF(ISERROR(IF(ISNA(VLOOKUP($A27,Summary!$D$14:$AX$56,COLUMNS(Summary!$D$15:$AX$15),FALSE))=TRUE,0,VLOOKUP($A27,Summary!$D$14:$AX$56,COLUMNS(Summary!$D$15:$AX$15),FALSE))/O27),0,IF(ISNA(VLOOKUP($A27,Summary!$D$14:$AX$56,COLUMNS(Summary!$D$15:$AX$15),FALSE))=TRUE,0,VLOOKUP($A27,Summary!$D$14:$AX$56,COLUMNS(Summary!$D$15:$AX$15),FALSE))/O27)</f>
        <v>0</v>
      </c>
      <c r="V27" s="72">
        <f t="shared" si="11"/>
        <v>1.2</v>
      </c>
      <c r="X27" s="83">
        <f t="shared" si="3"/>
        <v>0</v>
      </c>
      <c r="Y27" s="83"/>
      <c r="Z27" s="83"/>
    </row>
    <row r="28" spans="1:36" x14ac:dyDescent="0.25">
      <c r="A28" s="67">
        <f t="shared" si="4"/>
        <v>50284</v>
      </c>
      <c r="B28" s="161">
        <f t="shared" si="0"/>
        <v>0</v>
      </c>
      <c r="C28" s="161">
        <f t="shared" si="12"/>
        <v>0</v>
      </c>
      <c r="D28" s="161">
        <f>IF(C28=0,0,TRUNC(IF(B28=C28,100,IF(A28&lt;=(EDATE(PAR_CALL_FIRST,10*12)),PRICE(DELIVERY_REFUNDING,A28,B28,C28,100,2,0),MIN(PRICE(DELIVERY_REFUNDING,A28,B28,C28,100,2,0),PRICE(DELIVERY_REFUNDING,(EDATE(PAR_CALL_FIRST,10*12)),B28,C28,100,2,0)))),3)/100)</f>
        <v>0</v>
      </c>
      <c r="E28" s="137"/>
      <c r="F28" s="66">
        <f t="shared" si="16"/>
        <v>0</v>
      </c>
      <c r="G28" s="66">
        <f>IF(REFUND_FINANCING="Yes",IF(OR(CAPI_TERM&gt;A28,MONTH(A28)&lt;&gt;PRIN_MATURITY,FIRST_PRIN&gt;A28),0,MAX(0,INT(((((VLOOKUP($A28,Summary!$D$14:$AX$56,COLUMNS(Summary!$D$15:$AX$15))+M28)/$V28-H29*2*R28)/(1+B28*R28)+IF($A28=SURPLUS_FUND_RELEASE_DATE_REFUNDING,IF(SURPLUS_RELEASE_SIZING="Yes",SURPLUS_FUND_DEPOSIT_REFUNDING,0),0)/(1+B28*R28)))/5000)*5000)),0)</f>
        <v>0</v>
      </c>
      <c r="H28" s="66">
        <f t="shared" si="6"/>
        <v>0</v>
      </c>
      <c r="I28" s="66">
        <f t="shared" si="7"/>
        <v>0</v>
      </c>
      <c r="J28" s="70">
        <f t="shared" si="8"/>
        <v>0</v>
      </c>
      <c r="K28" s="66">
        <f t="shared" si="9"/>
        <v>0</v>
      </c>
      <c r="L28" s="85">
        <f t="shared" si="1"/>
        <v>0</v>
      </c>
      <c r="M28" s="85">
        <f>IF(REFUND_FINANCING="No",0,IF($A28&lt;PREMIUM_CALL_FIRST,0,SURPLUS_FUND_DEPOSIT* INTEREST_EARN_RATE))</f>
        <v>0</v>
      </c>
      <c r="N28" s="66">
        <f t="shared" si="10"/>
        <v>0</v>
      </c>
      <c r="O28" s="70">
        <f t="shared" si="2"/>
        <v>0</v>
      </c>
      <c r="P28" s="70">
        <f>$G$96-SUM($G$11:G28)</f>
        <v>0</v>
      </c>
      <c r="R28" s="68">
        <f t="shared" si="13"/>
        <v>0</v>
      </c>
      <c r="T28" s="83">
        <f>IF(ISNA(VLOOKUP($A28,Summary!$D$14:$AX$56,COLUMNS(Summary!$D$15:$AX$15),FALSE))=TRUE,0,VLOOKUP($A28,Summary!$D$14:$AX$56,COLUMNS(Summary!$D$15:$AX$15),FALSE))</f>
        <v>0</v>
      </c>
      <c r="U28" s="84">
        <f>IF(ISERROR(IF(ISNA(VLOOKUP($A28,Summary!$D$14:$AX$56,COLUMNS(Summary!$D$15:$AX$15),FALSE))=TRUE,0,VLOOKUP($A28,Summary!$D$14:$AX$56,COLUMNS(Summary!$D$15:$AX$15),FALSE))/O28),0,IF(ISNA(VLOOKUP($A28,Summary!$D$14:$AX$56,COLUMNS(Summary!$D$15:$AX$15),FALSE))=TRUE,0,VLOOKUP($A28,Summary!$D$14:$AX$56,COLUMNS(Summary!$D$15:$AX$15),FALSE))/O28)</f>
        <v>0</v>
      </c>
      <c r="V28" s="72" t="str">
        <f t="shared" si="11"/>
        <v/>
      </c>
      <c r="X28" s="83">
        <f t="shared" si="3"/>
        <v>0</v>
      </c>
      <c r="Y28" s="83"/>
      <c r="Z28" s="83"/>
    </row>
    <row r="29" spans="1:36" x14ac:dyDescent="0.25">
      <c r="A29" s="67">
        <f t="shared" si="4"/>
        <v>50465</v>
      </c>
      <c r="B29" s="161">
        <f t="shared" si="0"/>
        <v>4.4999999999999998E-2</v>
      </c>
      <c r="C29" s="161">
        <f t="shared" si="12"/>
        <v>4.4999999999999998E-2</v>
      </c>
      <c r="D29" s="68">
        <f t="shared" si="5"/>
        <v>1</v>
      </c>
      <c r="E29" s="137"/>
      <c r="F29" s="66">
        <f t="shared" si="16"/>
        <v>0</v>
      </c>
      <c r="G29" s="66">
        <f>IF(REFUND_FINANCING="Yes",IF(OR(CAPI_TERM&gt;A29,MONTH(A29)&lt;&gt;PRIN_MATURITY,FIRST_PRIN&gt;A29),0,MAX(0,INT(((((VLOOKUP($A29,Summary!$D$14:$AX$56,COLUMNS(Summary!$D$15:$AX$15))+M29)/$V29-H30*2*R29)/(1+B29*R29)+IF($A29=SURPLUS_FUND_RELEASE_DATE_REFUNDING,IF(SURPLUS_RELEASE_SIZING="Yes",SURPLUS_FUND_DEPOSIT_REFUNDING,0),0)/(1+B29*R29)))/5000)*5000)),0)</f>
        <v>0</v>
      </c>
      <c r="H29" s="66">
        <f t="shared" si="6"/>
        <v>0</v>
      </c>
      <c r="I29" s="66">
        <f t="shared" si="7"/>
        <v>0</v>
      </c>
      <c r="J29" s="70">
        <f t="shared" si="8"/>
        <v>0</v>
      </c>
      <c r="K29" s="66">
        <f t="shared" si="9"/>
        <v>0</v>
      </c>
      <c r="L29" s="85">
        <f t="shared" si="1"/>
        <v>0</v>
      </c>
      <c r="M29" s="85"/>
      <c r="N29" s="66">
        <f t="shared" si="10"/>
        <v>0</v>
      </c>
      <c r="O29" s="70">
        <f t="shared" si="2"/>
        <v>0</v>
      </c>
      <c r="P29" s="70">
        <f>$G$96-SUM($G$11:G29)</f>
        <v>0</v>
      </c>
      <c r="R29" s="68">
        <f t="shared" si="13"/>
        <v>1</v>
      </c>
      <c r="T29" s="83">
        <f ca="1">IF(ISNA(VLOOKUP($A29,Summary!$D$14:$AX$56,COLUMNS(Summary!$D$15:$AX$15),FALSE))=TRUE,0,VLOOKUP($A29,Summary!$D$14:$AX$56,COLUMNS(Summary!$D$15:$AX$15),FALSE))</f>
        <v>545825.5730921505</v>
      </c>
      <c r="U29" s="84">
        <f ca="1">IF(ISERROR(IF(ISNA(VLOOKUP($A29,Summary!$D$14:$AX$56,COLUMNS(Summary!$D$15:$AX$15),FALSE))=TRUE,0,VLOOKUP($A29,Summary!$D$14:$AX$56,COLUMNS(Summary!$D$15:$AX$15),FALSE))/O29),0,IF(ISNA(VLOOKUP($A29,Summary!$D$14:$AX$56,COLUMNS(Summary!$D$15:$AX$15),FALSE))=TRUE,0,VLOOKUP($A29,Summary!$D$14:$AX$56,COLUMNS(Summary!$D$15:$AX$15),FALSE))/O29)</f>
        <v>0</v>
      </c>
      <c r="V29" s="72">
        <f t="shared" si="11"/>
        <v>1.2</v>
      </c>
      <c r="X29" s="83">
        <f t="shared" si="3"/>
        <v>0</v>
      </c>
      <c r="Y29" s="83"/>
      <c r="Z29" s="83"/>
    </row>
    <row r="30" spans="1:36" x14ac:dyDescent="0.25">
      <c r="A30" s="67">
        <f t="shared" si="4"/>
        <v>50649</v>
      </c>
      <c r="B30" s="161">
        <f t="shared" si="0"/>
        <v>0</v>
      </c>
      <c r="C30" s="161">
        <f t="shared" si="12"/>
        <v>0</v>
      </c>
      <c r="D30" s="161">
        <f>IF(C30=0,0,TRUNC(IF(B30=C30,100,IF(A30&lt;=(EDATE(PAR_CALL_FIRST,10*12)),PRICE(DELIVERY_REFUNDING,A30,B30,C30,100,2,0),MIN(PRICE(DELIVERY_REFUNDING,A30,B30,C30,100,2,0),PRICE(DELIVERY_REFUNDING,(EDATE(PAR_CALL_FIRST,10*12)),B30,C30,100,2,0)))),3)/100)</f>
        <v>0</v>
      </c>
      <c r="E30" s="137"/>
      <c r="F30" s="66">
        <f t="shared" si="16"/>
        <v>0</v>
      </c>
      <c r="G30" s="66">
        <f>IF(REFUND_FINANCING="Yes",IF(OR(CAPI_TERM&gt;A30,MONTH(A30)&lt;&gt;PRIN_MATURITY,FIRST_PRIN&gt;A30),0,MAX(0,INT(((((VLOOKUP($A30,Summary!$D$14:$AX$56,COLUMNS(Summary!$D$15:$AX$15))+M30)/$V30-H31*2*R30)/(1+B30*R30)+IF($A30=SURPLUS_FUND_RELEASE_DATE_REFUNDING,IF(SURPLUS_RELEASE_SIZING="Yes",SURPLUS_FUND_DEPOSIT_REFUNDING,0),0)/(1+B30*R30)))/5000)*5000)),0)</f>
        <v>0</v>
      </c>
      <c r="H30" s="66">
        <f t="shared" si="6"/>
        <v>0</v>
      </c>
      <c r="I30" s="66">
        <f t="shared" si="7"/>
        <v>0</v>
      </c>
      <c r="J30" s="70">
        <f t="shared" si="8"/>
        <v>0</v>
      </c>
      <c r="K30" s="66">
        <f t="shared" si="9"/>
        <v>0</v>
      </c>
      <c r="L30" s="85">
        <f t="shared" si="1"/>
        <v>0</v>
      </c>
      <c r="M30" s="85">
        <f>IF(REFUND_FINANCING="No",0,IF($A30&lt;PREMIUM_CALL_FIRST,0,SURPLUS_FUND_DEPOSIT* INTEREST_EARN_RATE))</f>
        <v>0</v>
      </c>
      <c r="N30" s="66">
        <f t="shared" si="10"/>
        <v>0</v>
      </c>
      <c r="O30" s="70">
        <f t="shared" si="2"/>
        <v>0</v>
      </c>
      <c r="P30" s="70">
        <f>$G$96-SUM($G$11:G30)</f>
        <v>0</v>
      </c>
      <c r="R30" s="68">
        <f t="shared" si="13"/>
        <v>0</v>
      </c>
      <c r="T30" s="83">
        <f>IF(ISNA(VLOOKUP($A30,Summary!$D$14:$AX$56,COLUMNS(Summary!$D$15:$AX$15),FALSE))=TRUE,0,VLOOKUP($A30,Summary!$D$14:$AX$56,COLUMNS(Summary!$D$15:$AX$15),FALSE))</f>
        <v>0</v>
      </c>
      <c r="U30" s="84">
        <f>IF(ISERROR(IF(ISNA(VLOOKUP($A30,Summary!$D$14:$AX$56,COLUMNS(Summary!$D$15:$AX$15),FALSE))=TRUE,0,VLOOKUP($A30,Summary!$D$14:$AX$56,COLUMNS(Summary!$D$15:$AX$15),FALSE))/O30),0,IF(ISNA(VLOOKUP($A30,Summary!$D$14:$AX$56,COLUMNS(Summary!$D$15:$AX$15),FALSE))=TRUE,0,VLOOKUP($A30,Summary!$D$14:$AX$56,COLUMNS(Summary!$D$15:$AX$15),FALSE))/O30)</f>
        <v>0</v>
      </c>
      <c r="V30" s="72" t="str">
        <f t="shared" si="11"/>
        <v/>
      </c>
      <c r="X30" s="83">
        <f t="shared" si="3"/>
        <v>0</v>
      </c>
      <c r="Y30" s="83"/>
      <c r="Z30" s="83"/>
    </row>
    <row r="31" spans="1:36" x14ac:dyDescent="0.25">
      <c r="A31" s="67">
        <f t="shared" si="4"/>
        <v>50830</v>
      </c>
      <c r="B31" s="161">
        <f t="shared" si="0"/>
        <v>4.4999999999999998E-2</v>
      </c>
      <c r="C31" s="161">
        <f t="shared" si="12"/>
        <v>4.4999999999999998E-2</v>
      </c>
      <c r="D31" s="68">
        <f t="shared" si="5"/>
        <v>1</v>
      </c>
      <c r="E31" s="137"/>
      <c r="F31" s="66">
        <f t="shared" si="16"/>
        <v>0</v>
      </c>
      <c r="G31" s="66">
        <f>IF(REFUND_FINANCING="Yes",IF(OR(CAPI_TERM&gt;A31,MONTH(A31)&lt;&gt;PRIN_MATURITY,FIRST_PRIN&gt;A31),0,MAX(0,INT(((((VLOOKUP($A31,Summary!$D$14:$AX$56,COLUMNS(Summary!$D$15:$AX$15))+M31)/$V31-H32*2*R31)/(1+B31*R31)+IF($A31=SURPLUS_FUND_RELEASE_DATE_REFUNDING,IF(SURPLUS_RELEASE_SIZING="Yes",SURPLUS_FUND_DEPOSIT_REFUNDING,0),0)/(1+B31*R31)))/5000)*5000)),0)</f>
        <v>0</v>
      </c>
      <c r="H31" s="66">
        <f t="shared" si="6"/>
        <v>0</v>
      </c>
      <c r="I31" s="66">
        <f t="shared" si="7"/>
        <v>0</v>
      </c>
      <c r="J31" s="70">
        <f t="shared" si="8"/>
        <v>0</v>
      </c>
      <c r="K31" s="66">
        <f t="shared" si="9"/>
        <v>0</v>
      </c>
      <c r="L31" s="85">
        <f t="shared" si="1"/>
        <v>0</v>
      </c>
      <c r="M31" s="85"/>
      <c r="N31" s="66">
        <f t="shared" si="10"/>
        <v>0</v>
      </c>
      <c r="O31" s="70">
        <f t="shared" si="2"/>
        <v>0</v>
      </c>
      <c r="P31" s="70">
        <f>$G$96-SUM($G$11:G31)</f>
        <v>0</v>
      </c>
      <c r="R31" s="68">
        <f t="shared" si="13"/>
        <v>1</v>
      </c>
      <c r="T31" s="83">
        <f ca="1">IF(ISNA(VLOOKUP($A31,Summary!$D$14:$AX$56,COLUMNS(Summary!$D$15:$AX$15),FALSE))=TRUE,0,VLOOKUP($A31,Summary!$D$14:$AX$56,COLUMNS(Summary!$D$15:$AX$15),FALSE))</f>
        <v>550664.09441503801</v>
      </c>
      <c r="U31" s="84">
        <f ca="1">IF(ISERROR(IF(ISNA(VLOOKUP($A31,Summary!$D$14:$AX$56,COLUMNS(Summary!$D$15:$AX$15),FALSE))=TRUE,0,VLOOKUP($A31,Summary!$D$14:$AX$56,COLUMNS(Summary!$D$15:$AX$15),FALSE))/O31),0,IF(ISNA(VLOOKUP($A31,Summary!$D$14:$AX$56,COLUMNS(Summary!$D$15:$AX$15),FALSE))=TRUE,0,VLOOKUP($A31,Summary!$D$14:$AX$56,COLUMNS(Summary!$D$15:$AX$15),FALSE))/O31)</f>
        <v>0</v>
      </c>
      <c r="V31" s="72">
        <f t="shared" si="11"/>
        <v>1.2</v>
      </c>
      <c r="X31" s="83">
        <f t="shared" si="3"/>
        <v>0</v>
      </c>
      <c r="Y31" s="83"/>
      <c r="Z31" s="83"/>
    </row>
    <row r="32" spans="1:36" x14ac:dyDescent="0.25">
      <c r="A32" s="67">
        <f t="shared" si="4"/>
        <v>51014</v>
      </c>
      <c r="B32" s="161">
        <f t="shared" si="0"/>
        <v>0</v>
      </c>
      <c r="C32" s="161">
        <f t="shared" si="12"/>
        <v>0</v>
      </c>
      <c r="D32" s="161">
        <f>IF(C32=0,0,TRUNC(IF(B32=C32,100,IF(A32&lt;=(EDATE(PAR_CALL_FIRST,10*12)),PRICE(DELIVERY_REFUNDING,A32,B32,C32,100,2,0),MIN(PRICE(DELIVERY_REFUNDING,A32,B32,C32,100,2,0),PRICE(DELIVERY_REFUNDING,(EDATE(PAR_CALL_FIRST,10*12)),B32,C32,100,2,0)))),3)/100)</f>
        <v>0</v>
      </c>
      <c r="E32" s="137"/>
      <c r="F32" s="66">
        <f t="shared" si="16"/>
        <v>0</v>
      </c>
      <c r="G32" s="66">
        <f>IF(REFUND_FINANCING="Yes",IF(OR(CAPI_TERM&gt;A32,MONTH(A32)&lt;&gt;PRIN_MATURITY,FIRST_PRIN&gt;A32),0,MAX(0,INT(((((VLOOKUP($A32,Summary!$D$14:$AX$56,COLUMNS(Summary!$D$15:$AX$15))+M32)/$V32-H33*2*R32)/(1+B32*R32)+IF($A32=SURPLUS_FUND_RELEASE_DATE_REFUNDING,IF(SURPLUS_RELEASE_SIZING="Yes",SURPLUS_FUND_DEPOSIT_REFUNDING,0),0)/(1+B32*R32)))/5000)*5000)),0)</f>
        <v>0</v>
      </c>
      <c r="H32" s="66">
        <f t="shared" si="6"/>
        <v>0</v>
      </c>
      <c r="I32" s="66">
        <f t="shared" si="7"/>
        <v>0</v>
      </c>
      <c r="J32" s="70">
        <f t="shared" si="8"/>
        <v>0</v>
      </c>
      <c r="K32" s="66">
        <f t="shared" si="9"/>
        <v>0</v>
      </c>
      <c r="L32" s="85">
        <f t="shared" si="1"/>
        <v>0</v>
      </c>
      <c r="M32" s="85">
        <f>IF(REFUND_FINANCING="No",0,IF($A32&lt;PREMIUM_CALL_FIRST,0,SURPLUS_FUND_DEPOSIT* INTEREST_EARN_RATE))</f>
        <v>0</v>
      </c>
      <c r="N32" s="66">
        <f t="shared" si="10"/>
        <v>0</v>
      </c>
      <c r="O32" s="70">
        <f t="shared" si="2"/>
        <v>0</v>
      </c>
      <c r="P32" s="70">
        <f>$G$96-SUM($G$11:G32)</f>
        <v>0</v>
      </c>
      <c r="R32" s="68">
        <f t="shared" si="13"/>
        <v>0</v>
      </c>
      <c r="T32" s="83">
        <f>IF(ISNA(VLOOKUP($A32,Summary!$D$14:$AX$56,COLUMNS(Summary!$D$15:$AX$15),FALSE))=TRUE,0,VLOOKUP($A32,Summary!$D$14:$AX$56,COLUMNS(Summary!$D$15:$AX$15),FALSE))</f>
        <v>0</v>
      </c>
      <c r="U32" s="84">
        <f>IF(ISERROR(IF(ISNA(VLOOKUP($A32,Summary!$D$14:$AX$56,COLUMNS(Summary!$D$15:$AX$15),FALSE))=TRUE,0,VLOOKUP($A32,Summary!$D$14:$AX$56,COLUMNS(Summary!$D$15:$AX$15),FALSE))/O32),0,IF(ISNA(VLOOKUP($A32,Summary!$D$14:$AX$56,COLUMNS(Summary!$D$15:$AX$15),FALSE))=TRUE,0,VLOOKUP($A32,Summary!$D$14:$AX$56,COLUMNS(Summary!$D$15:$AX$15),FALSE))/O32)</f>
        <v>0</v>
      </c>
      <c r="V32" s="72" t="str">
        <f t="shared" si="11"/>
        <v/>
      </c>
      <c r="X32" s="83">
        <f t="shared" si="3"/>
        <v>0</v>
      </c>
      <c r="Y32" s="83"/>
      <c r="Z32" s="83"/>
    </row>
    <row r="33" spans="1:26" x14ac:dyDescent="0.25">
      <c r="A33" s="67">
        <f t="shared" si="4"/>
        <v>51196</v>
      </c>
      <c r="B33" s="161">
        <f t="shared" si="0"/>
        <v>4.4999999999999998E-2</v>
      </c>
      <c r="C33" s="161">
        <f t="shared" si="12"/>
        <v>4.4999999999999998E-2</v>
      </c>
      <c r="D33" s="68">
        <f t="shared" si="5"/>
        <v>1</v>
      </c>
      <c r="E33" s="137"/>
      <c r="F33" s="66">
        <f t="shared" si="16"/>
        <v>0</v>
      </c>
      <c r="G33" s="66">
        <f>IF(REFUND_FINANCING="Yes",IF(OR(CAPI_TERM&gt;A33,MONTH(A33)&lt;&gt;PRIN_MATURITY,FIRST_PRIN&gt;A33),0,MAX(0,INT(((((VLOOKUP($A33,Summary!$D$14:$AX$56,COLUMNS(Summary!$D$15:$AX$15))+M33)/$V33-H34*2*R33)/(1+B33*R33)+IF($A33=SURPLUS_FUND_RELEASE_DATE_REFUNDING,IF(SURPLUS_RELEASE_SIZING="Yes",SURPLUS_FUND_DEPOSIT_REFUNDING,0),0)/(1+B33*R33)))/5000)*5000)),0)</f>
        <v>0</v>
      </c>
      <c r="H33" s="66">
        <f t="shared" si="6"/>
        <v>0</v>
      </c>
      <c r="I33" s="66">
        <f t="shared" si="7"/>
        <v>0</v>
      </c>
      <c r="J33" s="70">
        <f t="shared" si="8"/>
        <v>0</v>
      </c>
      <c r="K33" s="66">
        <f t="shared" si="9"/>
        <v>0</v>
      </c>
      <c r="L33" s="85">
        <f t="shared" si="1"/>
        <v>0</v>
      </c>
      <c r="M33" s="85"/>
      <c r="N33" s="66">
        <f t="shared" si="10"/>
        <v>0</v>
      </c>
      <c r="O33" s="70">
        <f t="shared" si="2"/>
        <v>0</v>
      </c>
      <c r="P33" s="70">
        <f>$G$96-SUM($G$11:G33)</f>
        <v>0</v>
      </c>
      <c r="R33" s="68">
        <f t="shared" si="13"/>
        <v>1</v>
      </c>
      <c r="T33" s="83">
        <f ca="1">IF(ISNA(VLOOKUP($A33,Summary!$D$14:$AX$56,COLUMNS(Summary!$D$15:$AX$15),FALSE))=TRUE,0,VLOOKUP($A33,Summary!$D$14:$AX$56,COLUMNS(Summary!$D$15:$AX$15),FALSE))</f>
        <v>555537.80626299349</v>
      </c>
      <c r="U33" s="84">
        <f ca="1">IF(ISERROR(IF(ISNA(VLOOKUP($A33,Summary!$D$14:$AX$56,COLUMNS(Summary!$D$15:$AX$15),FALSE))=TRUE,0,VLOOKUP($A33,Summary!$D$14:$AX$56,COLUMNS(Summary!$D$15:$AX$15),FALSE))/O33),0,IF(ISNA(VLOOKUP($A33,Summary!$D$14:$AX$56,COLUMNS(Summary!$D$15:$AX$15),FALSE))=TRUE,0,VLOOKUP($A33,Summary!$D$14:$AX$56,COLUMNS(Summary!$D$15:$AX$15),FALSE))/O33)</f>
        <v>0</v>
      </c>
      <c r="V33" s="72">
        <f t="shared" si="11"/>
        <v>1.2</v>
      </c>
      <c r="X33" s="83">
        <f t="shared" si="3"/>
        <v>0</v>
      </c>
      <c r="Y33" s="83"/>
      <c r="Z33" s="83"/>
    </row>
    <row r="34" spans="1:26" x14ac:dyDescent="0.25">
      <c r="A34" s="67">
        <f t="shared" si="4"/>
        <v>51380</v>
      </c>
      <c r="B34" s="161">
        <f t="shared" si="0"/>
        <v>0</v>
      </c>
      <c r="C34" s="161">
        <f t="shared" si="12"/>
        <v>0</v>
      </c>
      <c r="D34" s="68">
        <f t="shared" si="5"/>
        <v>0</v>
      </c>
      <c r="E34" s="137" t="s">
        <v>182</v>
      </c>
      <c r="F34" s="66">
        <f t="shared" si="16"/>
        <v>0</v>
      </c>
      <c r="G34" s="66">
        <f>IF(REFUND_FINANCING="Yes",IF(OR(CAPI_TERM&gt;A34,MONTH(A34)&lt;&gt;PRIN_MATURITY,FIRST_PRIN&gt;A34),0,MAX(0,INT(((((VLOOKUP($A34,Summary!$D$14:$AX$56,COLUMNS(Summary!$D$15:$AX$15))+M34)/$V34-H35*2*R34)/(1+B34*R34)+IF($A34=SURPLUS_FUND_RELEASE_DATE_REFUNDING,IF(SURPLUS_RELEASE_SIZING="Yes",SURPLUS_FUND_DEPOSIT_REFUNDING,0),0)/(1+B34*R34)))/5000)*5000)),0)</f>
        <v>0</v>
      </c>
      <c r="H34" s="66">
        <f t="shared" si="6"/>
        <v>0</v>
      </c>
      <c r="I34" s="66">
        <f t="shared" si="7"/>
        <v>0</v>
      </c>
      <c r="J34" s="70">
        <f t="shared" si="8"/>
        <v>0</v>
      </c>
      <c r="K34" s="66">
        <f t="shared" si="9"/>
        <v>0</v>
      </c>
      <c r="L34" s="85">
        <f t="shared" si="1"/>
        <v>0</v>
      </c>
      <c r="M34" s="85">
        <f>IF(REFUND_FINANCING="No",0,IF($A34&lt;PREMIUM_CALL_FIRST,0,SURPLUS_FUND_DEPOSIT* INTEREST_EARN_RATE))</f>
        <v>0</v>
      </c>
      <c r="N34" s="66">
        <f t="shared" si="10"/>
        <v>0</v>
      </c>
      <c r="O34" s="70">
        <f t="shared" si="2"/>
        <v>0</v>
      </c>
      <c r="P34" s="70">
        <f>$G$96-SUM($G$11:G34)</f>
        <v>0</v>
      </c>
      <c r="R34" s="68">
        <f t="shared" si="13"/>
        <v>0</v>
      </c>
      <c r="T34" s="83">
        <f>IF(ISNA(VLOOKUP($A34,Summary!$D$14:$AX$56,COLUMNS(Summary!$D$15:$AX$15),FALSE))=TRUE,0,VLOOKUP($A34,Summary!$D$14:$AX$56,COLUMNS(Summary!$D$15:$AX$15),FALSE))</f>
        <v>0</v>
      </c>
      <c r="U34" s="84">
        <f>IF(ISERROR(IF(ISNA(VLOOKUP($A34,Summary!$D$14:$AX$56,COLUMNS(Summary!$D$15:$AX$15),FALSE))=TRUE,0,VLOOKUP($A34,Summary!$D$14:$AX$56,COLUMNS(Summary!$D$15:$AX$15),FALSE))/O34),0,IF(ISNA(VLOOKUP($A34,Summary!$D$14:$AX$56,COLUMNS(Summary!$D$15:$AX$15),FALSE))=TRUE,0,VLOOKUP($A34,Summary!$D$14:$AX$56,COLUMNS(Summary!$D$15:$AX$15),FALSE))/O34)</f>
        <v>0</v>
      </c>
      <c r="V34" s="72" t="str">
        <f t="shared" si="11"/>
        <v/>
      </c>
      <c r="X34" s="83">
        <f t="shared" si="3"/>
        <v>0</v>
      </c>
      <c r="Y34" s="83"/>
      <c r="Z34" s="83"/>
    </row>
    <row r="35" spans="1:26" x14ac:dyDescent="0.25">
      <c r="A35" s="67">
        <f t="shared" si="4"/>
        <v>51561</v>
      </c>
      <c r="B35" s="161">
        <f t="shared" si="0"/>
        <v>4.4999999999999998E-2</v>
      </c>
      <c r="C35" s="161">
        <f t="shared" si="12"/>
        <v>4.4999999999999998E-2</v>
      </c>
      <c r="D35" s="161">
        <f>IF(C35=0,0,TRUNC(IF(B35=C35,100,IF(A35&lt;=(EDATE(PAR_CALL_FIRST,10*12)),PRICE(DELIVERY_REFUNDING,A35,B35,C35,100,2,0),MIN(PRICE(DELIVERY_REFUNDING,A35,B35,C35,100,2,0),PRICE(DELIVERY_REFUNDING,(EDATE(PAR_CALL_FIRST,10*12)),B35,C35,100,2,0)))),3)/100)</f>
        <v>1</v>
      </c>
      <c r="E35" s="137"/>
      <c r="F35" s="66">
        <f t="shared" si="16"/>
        <v>0</v>
      </c>
      <c r="G35" s="66">
        <f>IF(REFUND_FINANCING="Yes",IF(OR(CAPI_TERM&gt;A35,MONTH(A35)&lt;&gt;PRIN_MATURITY,FIRST_PRIN&gt;A35),0,MAX(0,INT(((((VLOOKUP($A35,Summary!$D$14:$AX$56,COLUMNS(Summary!$D$15:$AX$15))+M35)/$V35-H36*2*R35)/(1+B35*R35)+IF($A35=SURPLUS_FUND_RELEASE_DATE_REFUNDING,IF(SURPLUS_RELEASE_SIZING="Yes",SURPLUS_FUND_DEPOSIT_REFUNDING,0),0)/(1+B35*R35)))/5000)*5000)),0)</f>
        <v>0</v>
      </c>
      <c r="H35" s="66">
        <f t="shared" si="6"/>
        <v>0</v>
      </c>
      <c r="I35" s="66">
        <f t="shared" si="7"/>
        <v>0</v>
      </c>
      <c r="J35" s="70">
        <f t="shared" si="8"/>
        <v>0</v>
      </c>
      <c r="K35" s="66">
        <f t="shared" si="9"/>
        <v>0</v>
      </c>
      <c r="L35" s="85">
        <f t="shared" si="1"/>
        <v>0</v>
      </c>
      <c r="M35" s="85"/>
      <c r="N35" s="66">
        <f t="shared" si="10"/>
        <v>0</v>
      </c>
      <c r="O35" s="70">
        <f t="shared" si="2"/>
        <v>0</v>
      </c>
      <c r="P35" s="70">
        <f>$G$96-SUM($G$11:G35)</f>
        <v>0</v>
      </c>
      <c r="R35" s="68">
        <f t="shared" si="13"/>
        <v>1</v>
      </c>
      <c r="T35" s="83">
        <f ca="1">IF(ISNA(VLOOKUP($A35,Summary!$D$14:$AX$56,COLUMNS(Summary!$D$15:$AX$15),FALSE))=TRUE,0,VLOOKUP($A35,Summary!$D$14:$AX$56,COLUMNS(Summary!$D$15:$AX$15),FALSE))</f>
        <v>560446.79664750455</v>
      </c>
      <c r="U35" s="84">
        <f ca="1">IF(ISERROR(IF(ISNA(VLOOKUP($A35,Summary!$D$14:$AX$56,COLUMNS(Summary!$D$15:$AX$15),FALSE))=TRUE,0,VLOOKUP($A35,Summary!$D$14:$AX$56,COLUMNS(Summary!$D$15:$AX$15),FALSE))/O35),0,IF(ISNA(VLOOKUP($A35,Summary!$D$14:$AX$56,COLUMNS(Summary!$D$15:$AX$15),FALSE))=TRUE,0,VLOOKUP($A35,Summary!$D$14:$AX$56,COLUMNS(Summary!$D$15:$AX$15),FALSE))/O35)</f>
        <v>0</v>
      </c>
      <c r="V35" s="72">
        <f t="shared" si="11"/>
        <v>1.2</v>
      </c>
      <c r="X35" s="83">
        <f t="shared" si="3"/>
        <v>0</v>
      </c>
      <c r="Y35" s="83"/>
      <c r="Z35" s="83"/>
    </row>
    <row r="36" spans="1:26" x14ac:dyDescent="0.25">
      <c r="A36" s="67">
        <f t="shared" si="4"/>
        <v>51745</v>
      </c>
      <c r="B36" s="161">
        <f t="shared" si="0"/>
        <v>0</v>
      </c>
      <c r="C36" s="161">
        <f t="shared" si="12"/>
        <v>0</v>
      </c>
      <c r="D36" s="68">
        <f t="shared" si="5"/>
        <v>0</v>
      </c>
      <c r="E36" s="137"/>
      <c r="F36" s="66">
        <f t="shared" si="16"/>
        <v>0</v>
      </c>
      <c r="G36" s="66">
        <f>IF(REFUND_FINANCING="Yes",IF(OR(CAPI_TERM&gt;A36,MONTH(A36)&lt;&gt;PRIN_MATURITY,FIRST_PRIN&gt;A36),0,MAX(0,INT(((((VLOOKUP($A36,Summary!$D$14:$AX$56,COLUMNS(Summary!$D$15:$AX$15))+M36)/$V36-H37*2*R36)/(1+B36*R36)+IF($A36=SURPLUS_FUND_RELEASE_DATE_REFUNDING,IF(SURPLUS_RELEASE_SIZING="Yes",SURPLUS_FUND_DEPOSIT_REFUNDING,0),0)/(1+B36*R36)))/5000)*5000)),0)</f>
        <v>0</v>
      </c>
      <c r="H36" s="66">
        <f t="shared" si="6"/>
        <v>0</v>
      </c>
      <c r="I36" s="66">
        <f t="shared" si="7"/>
        <v>0</v>
      </c>
      <c r="J36" s="70">
        <f t="shared" si="8"/>
        <v>0</v>
      </c>
      <c r="K36" s="66">
        <f t="shared" si="9"/>
        <v>0</v>
      </c>
      <c r="L36" s="85">
        <f t="shared" si="1"/>
        <v>0</v>
      </c>
      <c r="M36" s="85">
        <f>IF(REFUND_FINANCING="No",0,IF($A36&lt;PREMIUM_CALL_FIRST,0,SURPLUS_FUND_DEPOSIT* INTEREST_EARN_RATE))</f>
        <v>0</v>
      </c>
      <c r="N36" s="66">
        <f t="shared" si="10"/>
        <v>0</v>
      </c>
      <c r="O36" s="70">
        <f t="shared" si="2"/>
        <v>0</v>
      </c>
      <c r="P36" s="70">
        <f>$G$96-SUM($G$11:G36)</f>
        <v>0</v>
      </c>
      <c r="R36" s="68">
        <f t="shared" si="13"/>
        <v>0</v>
      </c>
      <c r="T36" s="83">
        <f>IF(ISNA(VLOOKUP($A36,Summary!$D$14:$AX$56,COLUMNS(Summary!$D$15:$AX$15),FALSE))=TRUE,0,VLOOKUP($A36,Summary!$D$14:$AX$56,COLUMNS(Summary!$D$15:$AX$15),FALSE))</f>
        <v>0</v>
      </c>
      <c r="U36" s="84">
        <f>IF(ISERROR(IF(ISNA(VLOOKUP($A36,Summary!$D$14:$AX$56,COLUMNS(Summary!$D$15:$AX$15),FALSE))=TRUE,0,VLOOKUP($A36,Summary!$D$14:$AX$56,COLUMNS(Summary!$D$15:$AX$15),FALSE))/O36),0,IF(ISNA(VLOOKUP($A36,Summary!$D$14:$AX$56,COLUMNS(Summary!$D$15:$AX$15),FALSE))=TRUE,0,VLOOKUP($A36,Summary!$D$14:$AX$56,COLUMNS(Summary!$D$15:$AX$15),FALSE))/O36)</f>
        <v>0</v>
      </c>
      <c r="V36" s="72" t="str">
        <f t="shared" si="11"/>
        <v/>
      </c>
      <c r="X36" s="83">
        <f t="shared" si="3"/>
        <v>0</v>
      </c>
      <c r="Y36" s="83"/>
      <c r="Z36" s="83"/>
    </row>
    <row r="37" spans="1:26" x14ac:dyDescent="0.25">
      <c r="A37" s="67">
        <f t="shared" si="4"/>
        <v>51926</v>
      </c>
      <c r="B37" s="161">
        <f t="shared" si="0"/>
        <v>4.4999999999999998E-2</v>
      </c>
      <c r="C37" s="161">
        <f t="shared" si="12"/>
        <v>4.4999999999999998E-2</v>
      </c>
      <c r="D37" s="161">
        <f>IF(C37=0,0,TRUNC(IF(B37=C37,100,IF(A37&lt;=(EDATE(PAR_CALL_FIRST,10*12)),PRICE(DELIVERY_REFUNDING,A37,B37,C37,100,2,0),MIN(PRICE(DELIVERY_REFUNDING,A37,B37,C37,100,2,0),PRICE(DELIVERY_REFUNDING,(EDATE(PAR_CALL_FIRST,10*12)),B37,C37,100,2,0)))),3)/100)</f>
        <v>1</v>
      </c>
      <c r="E37" s="137"/>
      <c r="F37" s="66">
        <f t="shared" si="16"/>
        <v>0</v>
      </c>
      <c r="G37" s="66">
        <f>IF(REFUND_FINANCING="Yes",IF(OR(CAPI_TERM&gt;A37,MONTH(A37)&lt;&gt;PRIN_MATURITY,FIRST_PRIN&gt;A37),0,MAX(0,INT(((((VLOOKUP($A37,Summary!$D$14:$AX$56,COLUMNS(Summary!$D$15:$AX$15))+M37)/$V37-H38*2*R37)/(1+B37*R37)+IF($A37=SURPLUS_FUND_RELEASE_DATE_REFUNDING,IF(SURPLUS_RELEASE_SIZING="Yes",SURPLUS_FUND_DEPOSIT_REFUNDING,0),0)/(1+B37*R37)))/5000)*5000)),0)</f>
        <v>0</v>
      </c>
      <c r="H37" s="66">
        <f t="shared" si="6"/>
        <v>0</v>
      </c>
      <c r="I37" s="66">
        <f t="shared" si="7"/>
        <v>0</v>
      </c>
      <c r="J37" s="70">
        <f t="shared" si="8"/>
        <v>0</v>
      </c>
      <c r="K37" s="66">
        <f t="shared" si="9"/>
        <v>0</v>
      </c>
      <c r="L37" s="85">
        <f t="shared" si="1"/>
        <v>0</v>
      </c>
      <c r="M37" s="85"/>
      <c r="N37" s="66">
        <f t="shared" si="10"/>
        <v>0</v>
      </c>
      <c r="O37" s="70">
        <f t="shared" si="2"/>
        <v>0</v>
      </c>
      <c r="P37" s="70">
        <f>$G$96-SUM($G$11:G37)</f>
        <v>0</v>
      </c>
      <c r="R37" s="68">
        <f t="shared" si="13"/>
        <v>1</v>
      </c>
      <c r="T37" s="83">
        <f ca="1">IF(ISNA(VLOOKUP($A37,Summary!$D$14:$AX$56,COLUMNS(Summary!$D$15:$AX$15),FALSE))=TRUE,0,VLOOKUP($A37,Summary!$D$14:$AX$56,COLUMNS(Summary!$D$15:$AX$15),FALSE))</f>
        <v>565391.14918229869</v>
      </c>
      <c r="U37" s="84">
        <f ca="1">IF(ISERROR(IF(ISNA(VLOOKUP($A37,Summary!$D$14:$AX$56,COLUMNS(Summary!$D$15:$AX$15),FALSE))=TRUE,0,VLOOKUP($A37,Summary!$D$14:$AX$56,COLUMNS(Summary!$D$15:$AX$15),FALSE))/O37),0,IF(ISNA(VLOOKUP($A37,Summary!$D$14:$AX$56,COLUMNS(Summary!$D$15:$AX$15),FALSE))=TRUE,0,VLOOKUP($A37,Summary!$D$14:$AX$56,COLUMNS(Summary!$D$15:$AX$15),FALSE))/O37)</f>
        <v>0</v>
      </c>
      <c r="V37" s="72">
        <f t="shared" si="11"/>
        <v>1.2</v>
      </c>
      <c r="X37" s="83">
        <f t="shared" si="3"/>
        <v>0</v>
      </c>
      <c r="Y37" s="83"/>
      <c r="Z37" s="83"/>
    </row>
    <row r="38" spans="1:26" x14ac:dyDescent="0.25">
      <c r="A38" s="67">
        <f t="shared" si="4"/>
        <v>52110</v>
      </c>
      <c r="B38" s="161">
        <f t="shared" si="0"/>
        <v>0</v>
      </c>
      <c r="C38" s="161">
        <f t="shared" si="12"/>
        <v>0</v>
      </c>
      <c r="D38" s="68">
        <f t="shared" si="5"/>
        <v>0</v>
      </c>
      <c r="E38" s="137"/>
      <c r="F38" s="66">
        <f t="shared" si="16"/>
        <v>0</v>
      </c>
      <c r="G38" s="66">
        <f>IF(REFUND_FINANCING="Yes",IF(OR(CAPI_TERM&gt;A38,MONTH(A38)&lt;&gt;PRIN_MATURITY,FIRST_PRIN&gt;A38),0,MAX(0,INT(((((VLOOKUP($A38,Summary!$D$14:$AX$56,COLUMNS(Summary!$D$15:$AX$15))+M38)/$V38-H39*2*R38)/(1+B38*R38)+IF($A38=SURPLUS_FUND_RELEASE_DATE_REFUNDING,IF(SURPLUS_RELEASE_SIZING="Yes",SURPLUS_FUND_DEPOSIT_REFUNDING,0),0)/(1+B38*R38)))/5000)*5000)),0)</f>
        <v>0</v>
      </c>
      <c r="H38" s="66">
        <f t="shared" si="6"/>
        <v>0</v>
      </c>
      <c r="I38" s="66">
        <f t="shared" si="7"/>
        <v>0</v>
      </c>
      <c r="J38" s="70">
        <f t="shared" si="8"/>
        <v>0</v>
      </c>
      <c r="K38" s="66">
        <f t="shared" si="9"/>
        <v>0</v>
      </c>
      <c r="L38" s="85">
        <f t="shared" si="1"/>
        <v>0</v>
      </c>
      <c r="M38" s="85">
        <f>IF(REFUND_FINANCING="No",0,IF($A38&lt;PREMIUM_CALL_FIRST,0,SURPLUS_FUND_DEPOSIT* INTEREST_EARN_RATE))</f>
        <v>0</v>
      </c>
      <c r="N38" s="66">
        <f t="shared" si="10"/>
        <v>0</v>
      </c>
      <c r="O38" s="70">
        <f t="shared" si="2"/>
        <v>0</v>
      </c>
      <c r="P38" s="70">
        <f>$G$96-SUM($G$11:G38)</f>
        <v>0</v>
      </c>
      <c r="R38" s="68">
        <f t="shared" si="13"/>
        <v>0</v>
      </c>
      <c r="T38" s="83">
        <f>IF(ISNA(VLOOKUP($A38,Summary!$D$14:$AX$56,COLUMNS(Summary!$D$15:$AX$15),FALSE))=TRUE,0,VLOOKUP($A38,Summary!$D$14:$AX$56,COLUMNS(Summary!$D$15:$AX$15),FALSE))</f>
        <v>0</v>
      </c>
      <c r="U38" s="84">
        <f>IF(ISERROR(IF(ISNA(VLOOKUP($A38,Summary!$D$14:$AX$56,COLUMNS(Summary!$D$15:$AX$15),FALSE))=TRUE,0,VLOOKUP($A38,Summary!$D$14:$AX$56,COLUMNS(Summary!$D$15:$AX$15),FALSE))/O38),0,IF(ISNA(VLOOKUP($A38,Summary!$D$14:$AX$56,COLUMNS(Summary!$D$15:$AX$15),FALSE))=TRUE,0,VLOOKUP($A38,Summary!$D$14:$AX$56,COLUMNS(Summary!$D$15:$AX$15),FALSE))/O38)</f>
        <v>0</v>
      </c>
      <c r="V38" s="72" t="str">
        <f t="shared" si="11"/>
        <v/>
      </c>
      <c r="X38" s="83">
        <f t="shared" si="3"/>
        <v>0</v>
      </c>
      <c r="Y38" s="83"/>
      <c r="Z38" s="83"/>
    </row>
    <row r="39" spans="1:26" x14ac:dyDescent="0.25">
      <c r="A39" s="67">
        <f t="shared" si="4"/>
        <v>52291</v>
      </c>
      <c r="B39" s="161">
        <f t="shared" si="0"/>
        <v>4.4999999999999998E-2</v>
      </c>
      <c r="C39" s="161">
        <f t="shared" si="12"/>
        <v>4.4999999999999998E-2</v>
      </c>
      <c r="D39" s="161">
        <f>IF(C39=0,0,TRUNC(IF(B39=C39,100,IF(A39&lt;=(EDATE(PAR_CALL_FIRST,10*12)),PRICE(DELIVERY_REFUNDING,A39,B39,C39,100,2,0),MIN(PRICE(DELIVERY_REFUNDING,A39,B39,C39,100,2,0),PRICE(DELIVERY_REFUNDING,(EDATE(PAR_CALL_FIRST,10*12)),B39,C39,100,2,0)))),3)/100)</f>
        <v>1</v>
      </c>
      <c r="E39" s="137"/>
      <c r="F39" s="66">
        <f t="shared" si="16"/>
        <v>0</v>
      </c>
      <c r="G39" s="66">
        <f>IF(REFUND_FINANCING="Yes",IF(OR(CAPI_TERM&gt;A39,MONTH(A39)&lt;&gt;PRIN_MATURITY,FIRST_PRIN&gt;A39),0,MAX(0,INT(((((VLOOKUP($A39,Summary!$D$14:$AX$56,COLUMNS(Summary!$D$15:$AX$15))+M39)/$V39-H40*2*R39)/(1+B39*R39)+IF($A39=SURPLUS_FUND_RELEASE_DATE_REFUNDING,IF(SURPLUS_RELEASE_SIZING="Yes",SURPLUS_FUND_DEPOSIT_REFUNDING,0),0)/(1+B39*R39)))/5000)*5000)),0)</f>
        <v>0</v>
      </c>
      <c r="H39" s="66">
        <f t="shared" si="6"/>
        <v>0</v>
      </c>
      <c r="I39" s="66">
        <f t="shared" si="7"/>
        <v>0</v>
      </c>
      <c r="J39" s="70">
        <f t="shared" si="8"/>
        <v>0</v>
      </c>
      <c r="K39" s="66">
        <f t="shared" si="9"/>
        <v>0</v>
      </c>
      <c r="L39" s="85">
        <f t="shared" si="1"/>
        <v>0</v>
      </c>
      <c r="M39" s="85"/>
      <c r="N39" s="66">
        <f t="shared" si="10"/>
        <v>0</v>
      </c>
      <c r="O39" s="70">
        <f t="shared" si="2"/>
        <v>0</v>
      </c>
      <c r="P39" s="70">
        <f>$G$96-SUM($G$11:G39)</f>
        <v>0</v>
      </c>
      <c r="R39" s="68">
        <f t="shared" si="13"/>
        <v>1</v>
      </c>
      <c r="T39" s="83">
        <f ca="1">IF(ISNA(VLOOKUP($A39,Summary!$D$14:$AX$56,COLUMNS(Summary!$D$15:$AX$15),FALSE))=TRUE,0,VLOOKUP($A39,Summary!$D$14:$AX$56,COLUMNS(Summary!$D$15:$AX$15),FALSE))</f>
        <v>570370.94293380657</v>
      </c>
      <c r="U39" s="84">
        <f ca="1">IF(ISERROR(IF(ISNA(VLOOKUP($A39,Summary!$D$14:$AX$56,COLUMNS(Summary!$D$15:$AX$15),FALSE))=TRUE,0,VLOOKUP($A39,Summary!$D$14:$AX$56,COLUMNS(Summary!$D$15:$AX$15),FALSE))/O39),0,IF(ISNA(VLOOKUP($A39,Summary!$D$14:$AX$56,COLUMNS(Summary!$D$15:$AX$15),FALSE))=TRUE,0,VLOOKUP($A39,Summary!$D$14:$AX$56,COLUMNS(Summary!$D$15:$AX$15),FALSE))/O39)</f>
        <v>0</v>
      </c>
      <c r="V39" s="72">
        <f t="shared" si="11"/>
        <v>1.2</v>
      </c>
      <c r="X39" s="83">
        <f t="shared" si="3"/>
        <v>0</v>
      </c>
      <c r="Y39" s="83"/>
      <c r="Z39" s="83"/>
    </row>
    <row r="40" spans="1:26" x14ac:dyDescent="0.25">
      <c r="A40" s="67">
        <f t="shared" si="4"/>
        <v>52475</v>
      </c>
      <c r="B40" s="161">
        <f t="shared" si="0"/>
        <v>0</v>
      </c>
      <c r="C40" s="161">
        <f t="shared" si="12"/>
        <v>0</v>
      </c>
      <c r="D40" s="68">
        <f t="shared" si="5"/>
        <v>0</v>
      </c>
      <c r="E40" s="137"/>
      <c r="F40" s="66">
        <f t="shared" si="16"/>
        <v>0</v>
      </c>
      <c r="G40" s="66">
        <f>IF(REFUND_FINANCING="Yes",IF(OR(CAPI_TERM&gt;A40,MONTH(A40)&lt;&gt;PRIN_MATURITY,FIRST_PRIN&gt;A40),0,MAX(0,INT(((((VLOOKUP($A40,Summary!$D$14:$AX$56,COLUMNS(Summary!$D$15:$AX$15))+M40)/$V40-H41*2*R40)/(1+B40*R40)+IF($A40=SURPLUS_FUND_RELEASE_DATE_REFUNDING,IF(SURPLUS_RELEASE_SIZING="Yes",SURPLUS_FUND_DEPOSIT_REFUNDING,0),0)/(1+B40*R40)))/5000)*5000)),0)</f>
        <v>0</v>
      </c>
      <c r="H40" s="66">
        <f t="shared" si="6"/>
        <v>0</v>
      </c>
      <c r="I40" s="66">
        <f t="shared" si="7"/>
        <v>0</v>
      </c>
      <c r="J40" s="70">
        <f t="shared" si="8"/>
        <v>0</v>
      </c>
      <c r="K40" s="66">
        <f t="shared" si="9"/>
        <v>0</v>
      </c>
      <c r="L40" s="85">
        <f t="shared" si="1"/>
        <v>0</v>
      </c>
      <c r="M40" s="85">
        <f>IF(REFUND_FINANCING="No",0,IF($A40&lt;PREMIUM_CALL_FIRST,0,SURPLUS_FUND_DEPOSIT* INTEREST_EARN_RATE))</f>
        <v>0</v>
      </c>
      <c r="N40" s="66">
        <f t="shared" si="10"/>
        <v>0</v>
      </c>
      <c r="O40" s="70">
        <f t="shared" si="2"/>
        <v>0</v>
      </c>
      <c r="P40" s="70">
        <f>$G$96-SUM($G$11:G40)</f>
        <v>0</v>
      </c>
      <c r="R40" s="68">
        <f t="shared" si="13"/>
        <v>0</v>
      </c>
      <c r="T40" s="83">
        <f>IF(ISNA(VLOOKUP($A40,Summary!$D$14:$AX$56,COLUMNS(Summary!$D$15:$AX$15),FALSE))=TRUE,0,VLOOKUP($A40,Summary!$D$14:$AX$56,COLUMNS(Summary!$D$15:$AX$15),FALSE))</f>
        <v>0</v>
      </c>
      <c r="U40" s="84">
        <f>IF(ISERROR(IF(ISNA(VLOOKUP($A40,Summary!$D$14:$AX$56,COLUMNS(Summary!$D$15:$AX$15),FALSE))=TRUE,0,VLOOKUP($A40,Summary!$D$14:$AX$56,COLUMNS(Summary!$D$15:$AX$15),FALSE))/O40),0,IF(ISNA(VLOOKUP($A40,Summary!$D$14:$AX$56,COLUMNS(Summary!$D$15:$AX$15),FALSE))=TRUE,0,VLOOKUP($A40,Summary!$D$14:$AX$56,COLUMNS(Summary!$D$15:$AX$15),FALSE))/O40)</f>
        <v>0</v>
      </c>
      <c r="V40" s="72" t="str">
        <f t="shared" si="11"/>
        <v/>
      </c>
      <c r="X40" s="83">
        <f t="shared" si="3"/>
        <v>0</v>
      </c>
      <c r="Y40" s="83"/>
      <c r="Z40" s="83"/>
    </row>
    <row r="41" spans="1:26" x14ac:dyDescent="0.25">
      <c r="A41" s="67">
        <f t="shared" si="4"/>
        <v>52657</v>
      </c>
      <c r="B41" s="161">
        <f t="shared" si="0"/>
        <v>4.4999999999999998E-2</v>
      </c>
      <c r="C41" s="161">
        <f t="shared" si="12"/>
        <v>4.4999999999999998E-2</v>
      </c>
      <c r="D41" s="161">
        <f>IF(C41=0,0,TRUNC(IF(B41=C41,100,IF(A41&lt;=(EDATE(PAR_CALL_FIRST,10*12)),PRICE(DELIVERY_REFUNDING,A41,B41,C41,100,2,0),MIN(PRICE(DELIVERY_REFUNDING,A41,B41,C41,100,2,0),PRICE(DELIVERY_REFUNDING,(EDATE(PAR_CALL_FIRST,10*12)),B41,C41,100,2,0)))),3)/100)</f>
        <v>1</v>
      </c>
      <c r="E41" s="137"/>
      <c r="F41" s="66">
        <f t="shared" si="16"/>
        <v>0</v>
      </c>
      <c r="G41" s="66">
        <f>IF(REFUND_FINANCING="Yes",IF(OR(CAPI_TERM&gt;A41,MONTH(A41)&lt;&gt;PRIN_MATURITY,FIRST_PRIN&gt;A41),0,MAX(0,INT(((((VLOOKUP($A41,Summary!$D$14:$AX$56,COLUMNS(Summary!$D$15:$AX$15))+M41)/$V41-H42*2*R41)/(1+B41*R41)+IF($A41=SURPLUS_FUND_RELEASE_DATE_REFUNDING,IF(SURPLUS_RELEASE_SIZING="Yes",SURPLUS_FUND_DEPOSIT_REFUNDING,0),0)/(1+B41*R41)))/5000)*5000)),0)</f>
        <v>0</v>
      </c>
      <c r="H41" s="66">
        <f t="shared" si="6"/>
        <v>0</v>
      </c>
      <c r="I41" s="66">
        <f t="shared" si="7"/>
        <v>0</v>
      </c>
      <c r="J41" s="70">
        <f t="shared" si="8"/>
        <v>0</v>
      </c>
      <c r="K41" s="66">
        <f t="shared" si="9"/>
        <v>0</v>
      </c>
      <c r="L41" s="85">
        <f t="shared" si="1"/>
        <v>0</v>
      </c>
      <c r="M41" s="85"/>
      <c r="N41" s="66">
        <f t="shared" si="10"/>
        <v>0</v>
      </c>
      <c r="O41" s="70">
        <f t="shared" si="2"/>
        <v>0</v>
      </c>
      <c r="P41" s="70">
        <f>$G$96-SUM($G$11:G41)</f>
        <v>0</v>
      </c>
      <c r="R41" s="68">
        <f t="shared" si="13"/>
        <v>1</v>
      </c>
      <c r="T41" s="83">
        <f ca="1">IF(ISNA(VLOOKUP($A41,Summary!$D$14:$AX$56,COLUMNS(Summary!$D$15:$AX$15),FALSE))=TRUE,0,VLOOKUP($A41,Summary!$D$14:$AX$56,COLUMNS(Summary!$D$15:$AX$15),FALSE))</f>
        <v>575386.25226802367</v>
      </c>
      <c r="U41" s="84">
        <f ca="1">IF(ISERROR(IF(ISNA(VLOOKUP($A41,Summary!$D$14:$AX$56,COLUMNS(Summary!$D$15:$AX$15),FALSE))=TRUE,0,VLOOKUP($A41,Summary!$D$14:$AX$56,COLUMNS(Summary!$D$15:$AX$15),FALSE))/O41),0,IF(ISNA(VLOOKUP($A41,Summary!$D$14:$AX$56,COLUMNS(Summary!$D$15:$AX$15),FALSE))=TRUE,0,VLOOKUP($A41,Summary!$D$14:$AX$56,COLUMNS(Summary!$D$15:$AX$15),FALSE))/O41)</f>
        <v>0</v>
      </c>
      <c r="V41" s="72">
        <f t="shared" si="11"/>
        <v>1.2</v>
      </c>
      <c r="X41" s="83">
        <f t="shared" si="3"/>
        <v>0</v>
      </c>
      <c r="Y41" s="83"/>
      <c r="Z41" s="83"/>
    </row>
    <row r="42" spans="1:26" x14ac:dyDescent="0.25">
      <c r="A42" s="67">
        <f t="shared" si="4"/>
        <v>52841</v>
      </c>
      <c r="B42" s="161">
        <f t="shared" si="0"/>
        <v>0</v>
      </c>
      <c r="C42" s="161">
        <f t="shared" si="12"/>
        <v>0</v>
      </c>
      <c r="D42" s="68">
        <f t="shared" si="5"/>
        <v>0</v>
      </c>
      <c r="E42" s="137"/>
      <c r="F42" s="66">
        <f t="shared" si="16"/>
        <v>0</v>
      </c>
      <c r="G42" s="66">
        <f>IF(REFUND_FINANCING="Yes",IF(OR(CAPI_TERM&gt;A42,MONTH(A42)&lt;&gt;PRIN_MATURITY,FIRST_PRIN&gt;A42),0,MAX(0,INT(((((VLOOKUP($A42,Summary!$D$14:$AX$56,COLUMNS(Summary!$D$15:$AX$15))+M42)/$V42-H43*2*R42)/(1+B42*R42)+IF($A42=SURPLUS_FUND_RELEASE_DATE_REFUNDING,IF(SURPLUS_RELEASE_SIZING="Yes",SURPLUS_FUND_DEPOSIT_REFUNDING,0),0)/(1+B42*R42)))/5000)*5000)),0)</f>
        <v>0</v>
      </c>
      <c r="H42" s="66">
        <f t="shared" si="6"/>
        <v>0</v>
      </c>
      <c r="I42" s="66">
        <f t="shared" si="7"/>
        <v>0</v>
      </c>
      <c r="J42" s="70">
        <f t="shared" si="8"/>
        <v>0</v>
      </c>
      <c r="K42" s="66">
        <f t="shared" si="9"/>
        <v>0</v>
      </c>
      <c r="L42" s="85">
        <f t="shared" si="1"/>
        <v>0</v>
      </c>
      <c r="M42" s="85">
        <f>IF(REFUND_FINANCING="No",0,IF($A42&lt;PREMIUM_CALL_FIRST,0,SURPLUS_FUND_DEPOSIT* INTEREST_EARN_RATE))</f>
        <v>0</v>
      </c>
      <c r="N42" s="66">
        <f t="shared" si="10"/>
        <v>0</v>
      </c>
      <c r="O42" s="70">
        <f t="shared" si="2"/>
        <v>0</v>
      </c>
      <c r="P42" s="70">
        <f>$G$96-SUM($G$11:G42)</f>
        <v>0</v>
      </c>
      <c r="R42" s="68">
        <f t="shared" si="13"/>
        <v>0</v>
      </c>
      <c r="T42" s="83">
        <f>IF(ISNA(VLOOKUP($A42,Summary!$D$14:$AX$56,COLUMNS(Summary!$D$15:$AX$15),FALSE))=TRUE,0,VLOOKUP($A42,Summary!$D$14:$AX$56,COLUMNS(Summary!$D$15:$AX$15),FALSE))</f>
        <v>0</v>
      </c>
      <c r="U42" s="84">
        <f>IF(ISERROR(IF(ISNA(VLOOKUP($A42,Summary!$D$14:$AX$56,COLUMNS(Summary!$D$15:$AX$15),FALSE))=TRUE,0,VLOOKUP($A42,Summary!$D$14:$AX$56,COLUMNS(Summary!$D$15:$AX$15),FALSE))/O42),0,IF(ISNA(VLOOKUP($A42,Summary!$D$14:$AX$56,COLUMNS(Summary!$D$15:$AX$15),FALSE))=TRUE,0,VLOOKUP($A42,Summary!$D$14:$AX$56,COLUMNS(Summary!$D$15:$AX$15),FALSE))/O42)</f>
        <v>0</v>
      </c>
      <c r="V42" s="72" t="str">
        <f t="shared" si="11"/>
        <v/>
      </c>
      <c r="X42" s="83">
        <f t="shared" si="3"/>
        <v>0</v>
      </c>
      <c r="Y42" s="83"/>
      <c r="Z42" s="83"/>
    </row>
    <row r="43" spans="1:26" x14ac:dyDescent="0.25">
      <c r="A43" s="67">
        <f t="shared" si="4"/>
        <v>53022</v>
      </c>
      <c r="B43" s="161">
        <f t="shared" ref="B43:B74" si="23">IF(ISERROR(IF(MONTH(A43)=PRIN_MATURITY,SENIOR_REFUNDING_INTEREST_RATE,)),"",IF(MONTH(A43)=PRIN_MATURITY,SENIOR_REFUNDING_INTEREST_RATE,))</f>
        <v>4.4999999999999998E-2</v>
      </c>
      <c r="C43" s="161">
        <f t="shared" si="12"/>
        <v>4.4999999999999998E-2</v>
      </c>
      <c r="D43" s="161">
        <f>IF(C43=0,0,TRUNC(IF(B43=C43,100,IF(A43&lt;=(EDATE(PAR_CALL_FIRST,10*12)),PRICE(DELIVERY_REFUNDING,A43,B43,C43,100,2,0),MIN(PRICE(DELIVERY_REFUNDING,A43,B43,C43,100,2,0),PRICE(DELIVERY_REFUNDING,(EDATE(PAR_CALL_FIRST,10*12)),B43,C43,100,2,0)))),3)/100)</f>
        <v>1</v>
      </c>
      <c r="E43" s="137"/>
      <c r="F43" s="66">
        <f t="shared" si="16"/>
        <v>0</v>
      </c>
      <c r="G43" s="66">
        <f>IF(REFUND_FINANCING="Yes",IF(OR(CAPI_TERM&gt;A43,MONTH(A43)&lt;&gt;PRIN_MATURITY,FIRST_PRIN&gt;A43),0,MAX(0,INT(((((VLOOKUP($A43,Summary!$D$14:$AX$56,COLUMNS(Summary!$D$15:$AX$15))+M43)/$V43-H44*2*R43)/(1+B43*R43)+IF($A43=SURPLUS_FUND_RELEASE_DATE_REFUNDING,IF(SURPLUS_RELEASE_SIZING="Yes",SURPLUS_FUND_DEPOSIT_REFUNDING,0),0)/(1+B43*R43)))/5000)*5000)),0)</f>
        <v>0</v>
      </c>
      <c r="H43" s="66">
        <f t="shared" si="6"/>
        <v>0</v>
      </c>
      <c r="I43" s="66">
        <f t="shared" si="7"/>
        <v>0</v>
      </c>
      <c r="J43" s="70">
        <f t="shared" si="8"/>
        <v>0</v>
      </c>
      <c r="K43" s="66">
        <f t="shared" si="9"/>
        <v>0</v>
      </c>
      <c r="L43" s="85">
        <f t="shared" ref="L43:L74" si="24">IF(REFUND_FINANCING="Yes",IF($A43=SURPLUS_FUND_RELEASE_DATE_REFUNDING,IF(SURPLUS_RELEASE_SIZING="Yes", SURPLUS_FUND_DEPOSIT_REFUNDING,0),0),0)</f>
        <v>0</v>
      </c>
      <c r="M43" s="85"/>
      <c r="N43" s="66">
        <f t="shared" si="10"/>
        <v>0</v>
      </c>
      <c r="O43" s="70">
        <f t="shared" si="2"/>
        <v>0</v>
      </c>
      <c r="P43" s="70">
        <f>$G$96-SUM($G$11:G43)</f>
        <v>0</v>
      </c>
      <c r="R43" s="68">
        <f t="shared" si="13"/>
        <v>1</v>
      </c>
      <c r="T43" s="83">
        <f ca="1">IF(ISNA(VLOOKUP($A43,Summary!$D$14:$AX$56,COLUMNS(Summary!$D$15:$AX$15),FALSE))=TRUE,0,VLOOKUP($A43,Summary!$D$14:$AX$56,COLUMNS(Summary!$D$15:$AX$15),FALSE))</f>
        <v>580437.14669368044</v>
      </c>
      <c r="U43" s="84">
        <f ca="1">IF(ISERROR(IF(ISNA(VLOOKUP($A43,Summary!$D$14:$AX$56,COLUMNS(Summary!$D$15:$AX$15),FALSE))=TRUE,0,VLOOKUP($A43,Summary!$D$14:$AX$56,COLUMNS(Summary!$D$15:$AX$15),FALSE))/O43),0,IF(ISNA(VLOOKUP($A43,Summary!$D$14:$AX$56,COLUMNS(Summary!$D$15:$AX$15),FALSE))=TRUE,0,VLOOKUP($A43,Summary!$D$14:$AX$56,COLUMNS(Summary!$D$15:$AX$15),FALSE))/O43)</f>
        <v>0</v>
      </c>
      <c r="V43" s="72">
        <f t="shared" si="11"/>
        <v>1.2</v>
      </c>
      <c r="X43" s="83">
        <f t="shared" ref="X43:X74" si="25">D43*G43*DAYS360(DELIVERY_REFUNDING,A43)/360</f>
        <v>0</v>
      </c>
      <c r="Y43" s="83"/>
      <c r="Z43" s="83"/>
    </row>
    <row r="44" spans="1:26" x14ac:dyDescent="0.25">
      <c r="A44" s="67">
        <f t="shared" si="4"/>
        <v>53206</v>
      </c>
      <c r="B44" s="161">
        <f t="shared" si="23"/>
        <v>0</v>
      </c>
      <c r="C44" s="161">
        <f t="shared" si="12"/>
        <v>0</v>
      </c>
      <c r="D44" s="68">
        <f t="shared" si="5"/>
        <v>0</v>
      </c>
      <c r="E44" s="137"/>
      <c r="F44" s="66">
        <f t="shared" si="16"/>
        <v>0</v>
      </c>
      <c r="G44" s="66">
        <f>IF(REFUND_FINANCING="Yes",IF(OR(CAPI_TERM&gt;A44,MONTH(A44)&lt;&gt;PRIN_MATURITY,FIRST_PRIN&gt;A44),0,MAX(0,INT(((((VLOOKUP($A44,Summary!$D$14:$AX$56,COLUMNS(Summary!$D$15:$AX$15))+M44)/$V44-H45*2*R44)/(1+B44*R44)+IF($A44=SURPLUS_FUND_RELEASE_DATE_REFUNDING,IF(SURPLUS_RELEASE_SIZING="Yes",SURPLUS_FUND_DEPOSIT_REFUNDING,0),0)/(1+B44*R44)))/5000)*5000)),0)</f>
        <v>0</v>
      </c>
      <c r="H44" s="66">
        <f t="shared" si="6"/>
        <v>0</v>
      </c>
      <c r="I44" s="66">
        <f t="shared" si="7"/>
        <v>0</v>
      </c>
      <c r="J44" s="70">
        <f t="shared" ref="J44:J75" si="26">IF($A44=0,0,IF(MONTH(A44)=INT_MATURITY,0,SUM(I43:I44)))</f>
        <v>0</v>
      </c>
      <c r="K44" s="66">
        <f t="shared" si="9"/>
        <v>0</v>
      </c>
      <c r="L44" s="85">
        <f t="shared" si="24"/>
        <v>0</v>
      </c>
      <c r="M44" s="85">
        <f>IF(REFUND_FINANCING="No",0,IF($A44&lt;PREMIUM_CALL_FIRST,0,SURPLUS_FUND_DEPOSIT* INTEREST_EARN_RATE))</f>
        <v>0</v>
      </c>
      <c r="N44" s="66">
        <f t="shared" si="10"/>
        <v>0</v>
      </c>
      <c r="O44" s="70">
        <f t="shared" si="2"/>
        <v>0</v>
      </c>
      <c r="P44" s="70">
        <f>$G$96-SUM($G$11:G44)</f>
        <v>0</v>
      </c>
      <c r="R44" s="68">
        <f t="shared" si="13"/>
        <v>0</v>
      </c>
      <c r="T44" s="83">
        <f>IF(ISNA(VLOOKUP($A44,Summary!$D$14:$AX$56,COLUMNS(Summary!$D$15:$AX$15),FALSE))=TRUE,0,VLOOKUP($A44,Summary!$D$14:$AX$56,COLUMNS(Summary!$D$15:$AX$15),FALSE))</f>
        <v>0</v>
      </c>
      <c r="U44" s="84">
        <f>IF(ISERROR(IF(ISNA(VLOOKUP($A44,Summary!$D$14:$AX$56,COLUMNS(Summary!$D$15:$AX$15),FALSE))=TRUE,0,VLOOKUP($A44,Summary!$D$14:$AX$56,COLUMNS(Summary!$D$15:$AX$15),FALSE))/O44),0,IF(ISNA(VLOOKUP($A44,Summary!$D$14:$AX$56,COLUMNS(Summary!$D$15:$AX$15),FALSE))=TRUE,0,VLOOKUP($A44,Summary!$D$14:$AX$56,COLUMNS(Summary!$D$15:$AX$15),FALSE))/O44)</f>
        <v>0</v>
      </c>
      <c r="V44" s="72" t="str">
        <f t="shared" ref="V44:V75" si="27">IF($B44&lt;&gt;0,DSC_REFUNDING_BONDS,"")</f>
        <v/>
      </c>
      <c r="X44" s="83">
        <f t="shared" si="25"/>
        <v>0</v>
      </c>
      <c r="Y44" s="83"/>
      <c r="Z44" s="83"/>
    </row>
    <row r="45" spans="1:26" x14ac:dyDescent="0.25">
      <c r="A45" s="67">
        <f t="shared" si="4"/>
        <v>53387</v>
      </c>
      <c r="B45" s="161">
        <f t="shared" si="23"/>
        <v>4.4999999999999998E-2</v>
      </c>
      <c r="C45" s="161">
        <f t="shared" si="12"/>
        <v>4.4999999999999998E-2</v>
      </c>
      <c r="D45" s="68">
        <f t="shared" si="5"/>
        <v>1</v>
      </c>
      <c r="E45" s="137"/>
      <c r="F45" s="66">
        <f t="shared" si="16"/>
        <v>0</v>
      </c>
      <c r="G45" s="66">
        <f>IF(REFUND_FINANCING="Yes",IF(OR(CAPI_TERM&gt;A45,MONTH(A45)&lt;&gt;PRIN_MATURITY,FIRST_PRIN&gt;A45),0,MAX(0,INT(((((VLOOKUP($A45,Summary!$D$14:$AX$56,COLUMNS(Summary!$D$15:$AX$15))+M45)/$V45-H46*2*R45)/(1+B45*R45)+IF($A45=SURPLUS_FUND_RELEASE_DATE_REFUNDING,IF(SURPLUS_RELEASE_SIZING="Yes",SURPLUS_FUND_DEPOSIT_REFUNDING,0),0)/(1+B45*R45)))/5000)*5000)),0)</f>
        <v>0</v>
      </c>
      <c r="H45" s="66">
        <f t="shared" si="6"/>
        <v>0</v>
      </c>
      <c r="I45" s="66">
        <f t="shared" si="7"/>
        <v>0</v>
      </c>
      <c r="J45" s="70">
        <f t="shared" si="26"/>
        <v>0</v>
      </c>
      <c r="K45" s="66">
        <f t="shared" si="9"/>
        <v>0</v>
      </c>
      <c r="L45" s="85">
        <f t="shared" si="24"/>
        <v>0</v>
      </c>
      <c r="M45" s="85"/>
      <c r="N45" s="66">
        <f t="shared" si="10"/>
        <v>0</v>
      </c>
      <c r="O45" s="70">
        <f t="shared" si="2"/>
        <v>0</v>
      </c>
      <c r="P45" s="70">
        <f>$G$96-SUM($G$11:G45)</f>
        <v>0</v>
      </c>
      <c r="R45" s="68">
        <f t="shared" si="13"/>
        <v>1</v>
      </c>
      <c r="T45" s="83">
        <f ca="1">IF(ISNA(VLOOKUP($A45,Summary!$D$14:$AX$56,COLUMNS(Summary!$D$15:$AX$15),FALSE))=TRUE,0,VLOOKUP($A45,Summary!$D$14:$AX$56,COLUMNS(Summary!$D$15:$AX$15),FALSE))</f>
        <v>585523.69070165325</v>
      </c>
      <c r="U45" s="84">
        <f ca="1">IF(ISERROR(IF(ISNA(VLOOKUP($A45,Summary!$D$14:$AX$56,COLUMNS(Summary!$D$15:$AX$15),FALSE))=TRUE,0,VLOOKUP($A45,Summary!$D$14:$AX$56,COLUMNS(Summary!$D$15:$AX$15),FALSE))/O45),0,IF(ISNA(VLOOKUP($A45,Summary!$D$14:$AX$56,COLUMNS(Summary!$D$15:$AX$15),FALSE))=TRUE,0,VLOOKUP($A45,Summary!$D$14:$AX$56,COLUMNS(Summary!$D$15:$AX$15),FALSE))/O45)</f>
        <v>0</v>
      </c>
      <c r="V45" s="72">
        <f t="shared" si="27"/>
        <v>1.2</v>
      </c>
      <c r="X45" s="83">
        <f t="shared" si="25"/>
        <v>0</v>
      </c>
      <c r="Y45" s="83"/>
      <c r="Z45" s="83"/>
    </row>
    <row r="46" spans="1:26" x14ac:dyDescent="0.25">
      <c r="A46" s="67">
        <f t="shared" si="4"/>
        <v>53571</v>
      </c>
      <c r="B46" s="161">
        <f t="shared" si="23"/>
        <v>0</v>
      </c>
      <c r="C46" s="161">
        <f t="shared" si="12"/>
        <v>0</v>
      </c>
      <c r="D46" s="161">
        <f>IF(C46=0,0,TRUNC(IF(B46=C46,100,IF(A46&lt;=(EDATE(PAR_CALL_FIRST,10*12)),PRICE(DELIVERY_REFUNDING,A46,B46,C46,100,2,0),MIN(PRICE(DELIVERY_REFUNDING,A46,B46,C46,100,2,0),PRICE(DELIVERY_REFUNDING,(EDATE(PAR_CALL_FIRST,10*12)),B46,C46,100,2,0)))),3)/100)</f>
        <v>0</v>
      </c>
      <c r="E46" s="137"/>
      <c r="F46" s="66">
        <f t="shared" si="16"/>
        <v>0</v>
      </c>
      <c r="G46" s="66">
        <f>IF(REFUND_FINANCING="Yes",IF(OR(CAPI_TERM&gt;A46,MONTH(A46)&lt;&gt;PRIN_MATURITY,FIRST_PRIN&gt;A46),0,MAX(0,INT(((((VLOOKUP($A46,Summary!$D$14:$AX$56,COLUMNS(Summary!$D$15:$AX$15))+M46)/$V46-H47*2*R46)/(1+B46*R46)+IF($A46=SURPLUS_FUND_RELEASE_DATE_REFUNDING,IF(SURPLUS_RELEASE_SIZING="Yes",SURPLUS_FUND_DEPOSIT_REFUNDING,0),0)/(1+B46*R46)))/5000)*5000)),0)</f>
        <v>0</v>
      </c>
      <c r="H46" s="66">
        <f t="shared" si="6"/>
        <v>0</v>
      </c>
      <c r="I46" s="66">
        <f t="shared" si="7"/>
        <v>0</v>
      </c>
      <c r="J46" s="70">
        <f t="shared" si="26"/>
        <v>0</v>
      </c>
      <c r="K46" s="66">
        <f t="shared" si="9"/>
        <v>0</v>
      </c>
      <c r="L46" s="85">
        <f t="shared" si="24"/>
        <v>0</v>
      </c>
      <c r="M46" s="85">
        <f>IF(REFUND_FINANCING="No",0,IF($A46&lt;PREMIUM_CALL_FIRST,0,SURPLUS_FUND_DEPOSIT* INTEREST_EARN_RATE))</f>
        <v>0</v>
      </c>
      <c r="N46" s="66">
        <f t="shared" si="10"/>
        <v>0</v>
      </c>
      <c r="O46" s="70">
        <f t="shared" si="2"/>
        <v>0</v>
      </c>
      <c r="P46" s="70">
        <f>$G$96-SUM($G$11:G46)</f>
        <v>0</v>
      </c>
      <c r="R46" s="68">
        <f t="shared" si="13"/>
        <v>0</v>
      </c>
      <c r="T46" s="83">
        <f>IF(ISNA(VLOOKUP($A46,Summary!$D$14:$AX$56,COLUMNS(Summary!$D$15:$AX$15),FALSE))=TRUE,0,VLOOKUP($A46,Summary!$D$14:$AX$56,COLUMNS(Summary!$D$15:$AX$15),FALSE))</f>
        <v>0</v>
      </c>
      <c r="U46" s="84">
        <f>IF(ISERROR(IF(ISNA(VLOOKUP($A46,Summary!$D$14:$AX$56,COLUMNS(Summary!$D$15:$AX$15),FALSE))=TRUE,0,VLOOKUP($A46,Summary!$D$14:$AX$56,COLUMNS(Summary!$D$15:$AX$15),FALSE))/O46),0,IF(ISNA(VLOOKUP($A46,Summary!$D$14:$AX$56,COLUMNS(Summary!$D$15:$AX$15),FALSE))=TRUE,0,VLOOKUP($A46,Summary!$D$14:$AX$56,COLUMNS(Summary!$D$15:$AX$15),FALSE))/O46)</f>
        <v>0</v>
      </c>
      <c r="V46" s="72" t="str">
        <f t="shared" si="27"/>
        <v/>
      </c>
      <c r="X46" s="83">
        <f t="shared" si="25"/>
        <v>0</v>
      </c>
      <c r="Y46" s="83"/>
      <c r="Z46" s="83"/>
    </row>
    <row r="47" spans="1:26" x14ac:dyDescent="0.25">
      <c r="A47" s="67">
        <f t="shared" si="4"/>
        <v>53752</v>
      </c>
      <c r="B47" s="161">
        <f t="shared" si="23"/>
        <v>4.4999999999999998E-2</v>
      </c>
      <c r="C47" s="161">
        <f t="shared" si="12"/>
        <v>4.4999999999999998E-2</v>
      </c>
      <c r="D47" s="68">
        <f t="shared" si="5"/>
        <v>1</v>
      </c>
      <c r="E47" s="137"/>
      <c r="F47" s="66">
        <f t="shared" si="16"/>
        <v>0</v>
      </c>
      <c r="G47" s="66">
        <f>IF(REFUND_FINANCING="Yes",IF(OR(CAPI_TERM&gt;A47,MONTH(A47)&lt;&gt;PRIN_MATURITY,FIRST_PRIN&gt;A47),0,MAX(0,INT(((((VLOOKUP($A47,Summary!$D$14:$AX$56,COLUMNS(Summary!$D$15:$AX$15))+M47)/$V47-H48*2*R47)/(1+B47*R47)+IF($A47=SURPLUS_FUND_RELEASE_DATE_REFUNDING,IF(SURPLUS_RELEASE_SIZING="Yes",SURPLUS_FUND_DEPOSIT_REFUNDING,0),0)/(1+B47*R47)))/5000)*5000)),0)</f>
        <v>0</v>
      </c>
      <c r="H47" s="66">
        <f t="shared" si="6"/>
        <v>0</v>
      </c>
      <c r="I47" s="66">
        <f t="shared" si="7"/>
        <v>0</v>
      </c>
      <c r="J47" s="70">
        <f t="shared" si="26"/>
        <v>0</v>
      </c>
      <c r="K47" s="66">
        <f t="shared" si="9"/>
        <v>0</v>
      </c>
      <c r="L47" s="85">
        <f t="shared" si="24"/>
        <v>0</v>
      </c>
      <c r="M47" s="85"/>
      <c r="N47" s="66">
        <f t="shared" si="10"/>
        <v>0</v>
      </c>
      <c r="O47" s="70">
        <f t="shared" si="2"/>
        <v>0</v>
      </c>
      <c r="P47" s="70">
        <f>$G$96-SUM($G$11:G47)</f>
        <v>0</v>
      </c>
      <c r="R47" s="68">
        <f t="shared" si="13"/>
        <v>1</v>
      </c>
      <c r="T47" s="83">
        <f ca="1">IF(ISNA(VLOOKUP($A47,Summary!$D$14:$AX$56,COLUMNS(Summary!$D$15:$AX$15),FALSE))=TRUE,0,VLOOKUP($A47,Summary!$D$14:$AX$56,COLUMNS(Summary!$D$15:$AX$15),FALSE))</f>
        <v>590645.94360052655</v>
      </c>
      <c r="U47" s="84">
        <f ca="1">IF(ISERROR(IF(ISNA(VLOOKUP($A47,Summary!$D$14:$AX$56,COLUMNS(Summary!$D$15:$AX$15),FALSE))=TRUE,0,VLOOKUP($A47,Summary!$D$14:$AX$56,COLUMNS(Summary!$D$15:$AX$15),FALSE))/O47),0,IF(ISNA(VLOOKUP($A47,Summary!$D$14:$AX$56,COLUMNS(Summary!$D$15:$AX$15),FALSE))=TRUE,0,VLOOKUP($A47,Summary!$D$14:$AX$56,COLUMNS(Summary!$D$15:$AX$15),FALSE))/O47)</f>
        <v>0</v>
      </c>
      <c r="V47" s="72">
        <f t="shared" si="27"/>
        <v>1.2</v>
      </c>
      <c r="X47" s="83">
        <f t="shared" si="25"/>
        <v>0</v>
      </c>
      <c r="Y47" s="83"/>
      <c r="Z47" s="83"/>
    </row>
    <row r="48" spans="1:26" x14ac:dyDescent="0.25">
      <c r="A48" s="67">
        <f t="shared" si="4"/>
        <v>53936</v>
      </c>
      <c r="B48" s="161">
        <f t="shared" si="23"/>
        <v>0</v>
      </c>
      <c r="C48" s="161">
        <f t="shared" si="12"/>
        <v>0</v>
      </c>
      <c r="D48" s="161">
        <f>IF(C48=0,0,TRUNC(IF(B48=C48,100,IF(A48&lt;=(EDATE(PAR_CALL_FIRST,10*12)),PRICE(DELIVERY_REFUNDING,A48,B48,C48,100,2,0),MIN(PRICE(DELIVERY_REFUNDING,A48,B48,C48,100,2,0),PRICE(DELIVERY_REFUNDING,(EDATE(PAR_CALL_FIRST,10*12)),B48,C48,100,2,0)))),3)/100)</f>
        <v>0</v>
      </c>
      <c r="E48" s="137"/>
      <c r="F48" s="66">
        <f t="shared" si="16"/>
        <v>0</v>
      </c>
      <c r="G48" s="66">
        <f>IF(REFUND_FINANCING="Yes",IF(OR(CAPI_TERM&gt;A48,MONTH(A48)&lt;&gt;PRIN_MATURITY,FIRST_PRIN&gt;A48),0,MAX(0,INT(((((VLOOKUP($A48,Summary!$D$14:$AX$56,COLUMNS(Summary!$D$15:$AX$15))+M48)/$V48-H49*2*R48)/(1+B48*R48)+IF($A48=SURPLUS_FUND_RELEASE_DATE_REFUNDING,IF(SURPLUS_RELEASE_SIZING="Yes",SURPLUS_FUND_DEPOSIT_REFUNDING,0),0)/(1+B48*R48)))/5000)*5000)),0)</f>
        <v>0</v>
      </c>
      <c r="H48" s="66">
        <f t="shared" si="6"/>
        <v>0</v>
      </c>
      <c r="I48" s="66">
        <f t="shared" si="7"/>
        <v>0</v>
      </c>
      <c r="J48" s="70">
        <f t="shared" si="26"/>
        <v>0</v>
      </c>
      <c r="K48" s="66">
        <f t="shared" si="9"/>
        <v>0</v>
      </c>
      <c r="L48" s="85">
        <f t="shared" si="24"/>
        <v>0</v>
      </c>
      <c r="M48" s="85">
        <f>IF(REFUND_FINANCING="No",0,IF($A48&lt;PREMIUM_CALL_FIRST,0,SURPLUS_FUND_DEPOSIT* INTEREST_EARN_RATE))</f>
        <v>0</v>
      </c>
      <c r="N48" s="66">
        <f t="shared" si="10"/>
        <v>0</v>
      </c>
      <c r="O48" s="70">
        <f t="shared" si="2"/>
        <v>0</v>
      </c>
      <c r="P48" s="70">
        <f>$G$96-SUM($G$11:G48)</f>
        <v>0</v>
      </c>
      <c r="R48" s="68">
        <f t="shared" si="13"/>
        <v>0</v>
      </c>
      <c r="T48" s="83">
        <f>IF(ISNA(VLOOKUP($A48,Summary!$D$14:$AX$56,COLUMNS(Summary!$D$15:$AX$15),FALSE))=TRUE,0,VLOOKUP($A48,Summary!$D$14:$AX$56,COLUMNS(Summary!$D$15:$AX$15),FALSE))</f>
        <v>0</v>
      </c>
      <c r="U48" s="84">
        <f>IF(ISERROR(IF(ISNA(VLOOKUP($A48,Summary!$D$14:$AX$56,COLUMNS(Summary!$D$15:$AX$15),FALSE))=TRUE,0,VLOOKUP($A48,Summary!$D$14:$AX$56,COLUMNS(Summary!$D$15:$AX$15),FALSE))/O48),0,IF(ISNA(VLOOKUP($A48,Summary!$D$14:$AX$56,COLUMNS(Summary!$D$15:$AX$15),FALSE))=TRUE,0,VLOOKUP($A48,Summary!$D$14:$AX$56,COLUMNS(Summary!$D$15:$AX$15),FALSE))/O48)</f>
        <v>0</v>
      </c>
      <c r="V48" s="72" t="str">
        <f t="shared" si="27"/>
        <v/>
      </c>
      <c r="X48" s="83">
        <f t="shared" si="25"/>
        <v>0</v>
      </c>
      <c r="Y48" s="83"/>
      <c r="Z48" s="83"/>
    </row>
    <row r="49" spans="1:26" x14ac:dyDescent="0.25">
      <c r="A49" s="67">
        <f t="shared" si="4"/>
        <v>54118</v>
      </c>
      <c r="B49" s="161">
        <f t="shared" si="23"/>
        <v>4.4999999999999998E-2</v>
      </c>
      <c r="C49" s="161">
        <f t="shared" si="12"/>
        <v>4.4999999999999998E-2</v>
      </c>
      <c r="D49" s="68">
        <f t="shared" si="5"/>
        <v>1</v>
      </c>
      <c r="E49" s="137"/>
      <c r="F49" s="66">
        <f t="shared" si="16"/>
        <v>0</v>
      </c>
      <c r="G49" s="66">
        <f>IF(REFUND_FINANCING="Yes",IF(OR(CAPI_TERM&gt;A49,MONTH(A49)&lt;&gt;PRIN_MATURITY,FIRST_PRIN&gt;A49),0,MAX(0,INT(((((VLOOKUP($A49,Summary!$D$14:$AX$56,COLUMNS(Summary!$D$15:$AX$15))+M49)/$V49-H50*2*R49)/(1+B49*R49)+IF($A49=SURPLUS_FUND_RELEASE_DATE_REFUNDING,IF(SURPLUS_RELEASE_SIZING="Yes",SURPLUS_FUND_DEPOSIT_REFUNDING,0),0)/(1+B49*R49)))/5000)*5000)),0)</f>
        <v>0</v>
      </c>
      <c r="H49" s="66">
        <f t="shared" si="6"/>
        <v>0</v>
      </c>
      <c r="I49" s="66">
        <f t="shared" si="7"/>
        <v>0</v>
      </c>
      <c r="J49" s="70">
        <f t="shared" si="26"/>
        <v>0</v>
      </c>
      <c r="K49" s="66">
        <f t="shared" si="9"/>
        <v>0</v>
      </c>
      <c r="L49" s="85">
        <f t="shared" si="24"/>
        <v>0</v>
      </c>
      <c r="M49" s="85"/>
      <c r="N49" s="66">
        <f t="shared" si="10"/>
        <v>0</v>
      </c>
      <c r="O49" s="70">
        <f t="shared" si="2"/>
        <v>0</v>
      </c>
      <c r="P49" s="70">
        <f>$G$96-SUM($G$11:G49)</f>
        <v>0</v>
      </c>
      <c r="R49" s="68">
        <f t="shared" si="13"/>
        <v>1</v>
      </c>
      <c r="T49" s="83">
        <f ca="1">IF(ISNA(VLOOKUP($A49,Summary!$D$14:$AX$56,COLUMNS(Summary!$D$15:$AX$15),FALSE))=TRUE,0,VLOOKUP($A49,Summary!$D$14:$AX$56,COLUMNS(Summary!$D$15:$AX$15),FALSE))</f>
        <v>595803.95934822562</v>
      </c>
      <c r="U49" s="84">
        <f ca="1">IF(ISERROR(IF(ISNA(VLOOKUP($A49,Summary!$D$14:$AX$56,COLUMNS(Summary!$D$15:$AX$15),FALSE))=TRUE,0,VLOOKUP($A49,Summary!$D$14:$AX$56,COLUMNS(Summary!$D$15:$AX$15),FALSE))/O49),0,IF(ISNA(VLOOKUP($A49,Summary!$D$14:$AX$56,COLUMNS(Summary!$D$15:$AX$15),FALSE))=TRUE,0,VLOOKUP($A49,Summary!$D$14:$AX$56,COLUMNS(Summary!$D$15:$AX$15),FALSE))/O49)</f>
        <v>0</v>
      </c>
      <c r="V49" s="72">
        <f t="shared" si="27"/>
        <v>1.2</v>
      </c>
      <c r="X49" s="83">
        <f t="shared" si="25"/>
        <v>0</v>
      </c>
      <c r="Y49" s="83"/>
      <c r="Z49" s="83"/>
    </row>
    <row r="50" spans="1:26" x14ac:dyDescent="0.25">
      <c r="A50" s="67">
        <f t="shared" si="4"/>
        <v>54302</v>
      </c>
      <c r="B50" s="161">
        <f t="shared" si="23"/>
        <v>0</v>
      </c>
      <c r="C50" s="161">
        <f t="shared" si="12"/>
        <v>0</v>
      </c>
      <c r="D50" s="161">
        <f>IF(C50=0,0,TRUNC(IF(B50=C50,100,IF(A50&lt;=(EDATE(PAR_CALL_FIRST,10*12)),PRICE(DELIVERY_REFUNDING,A50,B50,C50,100,2,0),MIN(PRICE(DELIVERY_REFUNDING,A50,B50,C50,100,2,0),PRICE(DELIVERY_REFUNDING,(EDATE(PAR_CALL_FIRST,10*12)),B50,C50,100,2,0)))),3)/100)</f>
        <v>0</v>
      </c>
      <c r="E50" s="137"/>
      <c r="F50" s="66">
        <f t="shared" si="16"/>
        <v>0</v>
      </c>
      <c r="G50" s="66">
        <f>IF(REFUND_FINANCING="Yes",IF(OR(CAPI_TERM&gt;A50,MONTH(A50)&lt;&gt;PRIN_MATURITY,FIRST_PRIN&gt;A50),0,MAX(0,INT(((((VLOOKUP($A50,Summary!$D$14:$AX$56,COLUMNS(Summary!$D$15:$AX$15))+M50)/$V50-H51*2*R50)/(1+B50*R50)+IF($A50=SURPLUS_FUND_RELEASE_DATE_REFUNDING,IF(SURPLUS_RELEASE_SIZING="Yes",SURPLUS_FUND_DEPOSIT_REFUNDING,0),0)/(1+B50*R50)))/5000)*5000)),0)</f>
        <v>0</v>
      </c>
      <c r="H50" s="66">
        <f t="shared" si="6"/>
        <v>0</v>
      </c>
      <c r="I50" s="66">
        <f t="shared" si="7"/>
        <v>0</v>
      </c>
      <c r="J50" s="70">
        <f t="shared" si="26"/>
        <v>0</v>
      </c>
      <c r="K50" s="66">
        <f t="shared" si="9"/>
        <v>0</v>
      </c>
      <c r="L50" s="85">
        <f t="shared" si="24"/>
        <v>0</v>
      </c>
      <c r="M50" s="85">
        <f>IF(REFUND_FINANCING="No",0,IF($A50&lt;PREMIUM_CALL_FIRST,0,SURPLUS_FUND_DEPOSIT* INTEREST_EARN_RATE))</f>
        <v>0</v>
      </c>
      <c r="N50" s="66">
        <f t="shared" si="10"/>
        <v>0</v>
      </c>
      <c r="O50" s="70">
        <f t="shared" si="2"/>
        <v>0</v>
      </c>
      <c r="P50" s="70">
        <f>$G$96-SUM($G$11:G50)</f>
        <v>0</v>
      </c>
      <c r="R50" s="68">
        <f t="shared" si="13"/>
        <v>0</v>
      </c>
      <c r="T50" s="83">
        <f>IF(ISNA(VLOOKUP($A50,Summary!$D$14:$AX$56,COLUMNS(Summary!$D$15:$AX$15),FALSE))=TRUE,0,VLOOKUP($A50,Summary!$D$14:$AX$56,COLUMNS(Summary!$D$15:$AX$15),FALSE))</f>
        <v>0</v>
      </c>
      <c r="U50" s="84">
        <f>IF(ISERROR(IF(ISNA(VLOOKUP($A50,Summary!$D$14:$AX$56,COLUMNS(Summary!$D$15:$AX$15),FALSE))=TRUE,0,VLOOKUP($A50,Summary!$D$14:$AX$56,COLUMNS(Summary!$D$15:$AX$15),FALSE))/O50),0,IF(ISNA(VLOOKUP($A50,Summary!$D$14:$AX$56,COLUMNS(Summary!$D$15:$AX$15),FALSE))=TRUE,0,VLOOKUP($A50,Summary!$D$14:$AX$56,COLUMNS(Summary!$D$15:$AX$15),FALSE))/O50)</f>
        <v>0</v>
      </c>
      <c r="V50" s="72" t="str">
        <f t="shared" si="27"/>
        <v/>
      </c>
      <c r="X50" s="83">
        <f t="shared" si="25"/>
        <v>0</v>
      </c>
      <c r="Y50" s="83"/>
      <c r="Z50" s="83"/>
    </row>
    <row r="51" spans="1:26" x14ac:dyDescent="0.25">
      <c r="A51" s="67">
        <f t="shared" si="4"/>
        <v>54483</v>
      </c>
      <c r="B51" s="161">
        <f t="shared" si="23"/>
        <v>4.4999999999999998E-2</v>
      </c>
      <c r="C51" s="161">
        <f t="shared" si="12"/>
        <v>4.4999999999999998E-2</v>
      </c>
      <c r="D51" s="68">
        <f t="shared" si="5"/>
        <v>1</v>
      </c>
      <c r="E51" s="137"/>
      <c r="F51" s="66">
        <f t="shared" si="16"/>
        <v>0</v>
      </c>
      <c r="G51" s="66">
        <f>IF(REFUND_FINANCING="Yes",IF(OR(CAPI_TERM&gt;A51,MONTH(A51)&lt;&gt;PRIN_MATURITY,FIRST_PRIN&gt;A51),0,MAX(0,INT(((((VLOOKUP($A51,Summary!$D$14:$AX$56,COLUMNS(Summary!$D$15:$AX$15))+M51)/$V51-H52*2*R51)/(1+B51*R51)+IF($A51=SURPLUS_FUND_RELEASE_DATE_REFUNDING,IF(SURPLUS_RELEASE_SIZING="Yes",SURPLUS_FUND_DEPOSIT_REFUNDING,0),0)/(1+B51*R51)))/5000)*5000)),0)</f>
        <v>0</v>
      </c>
      <c r="H51" s="66">
        <f t="shared" si="6"/>
        <v>0</v>
      </c>
      <c r="I51" s="66">
        <f t="shared" si="7"/>
        <v>0</v>
      </c>
      <c r="J51" s="70">
        <f t="shared" si="26"/>
        <v>0</v>
      </c>
      <c r="K51" s="66">
        <f t="shared" si="9"/>
        <v>0</v>
      </c>
      <c r="L51" s="85">
        <f t="shared" si="24"/>
        <v>0</v>
      </c>
      <c r="M51" s="85"/>
      <c r="N51" s="66">
        <f t="shared" si="10"/>
        <v>0</v>
      </c>
      <c r="O51" s="70">
        <f t="shared" si="2"/>
        <v>0</v>
      </c>
      <c r="P51" s="70">
        <f>$G$96-SUM($G$11:G51)</f>
        <v>0</v>
      </c>
      <c r="R51" s="68">
        <f t="shared" si="13"/>
        <v>1</v>
      </c>
      <c r="T51" s="83">
        <f ca="1">IF(ISNA(VLOOKUP($A51,Summary!$D$14:$AX$56,COLUMNS(Summary!$D$15:$AX$15),FALSE))=TRUE,0,VLOOKUP($A51,Summary!$D$14:$AX$56,COLUMNS(Summary!$D$15:$AX$15),FALSE))</f>
        <v>600997.78637963592</v>
      </c>
      <c r="U51" s="84">
        <f ca="1">IF(ISERROR(IF(ISNA(VLOOKUP($A51,Summary!$D$14:$AX$56,COLUMNS(Summary!$D$15:$AX$15),FALSE))=TRUE,0,VLOOKUP($A51,Summary!$D$14:$AX$56,COLUMNS(Summary!$D$15:$AX$15),FALSE))/O51),0,IF(ISNA(VLOOKUP($A51,Summary!$D$14:$AX$56,COLUMNS(Summary!$D$15:$AX$15),FALSE))=TRUE,0,VLOOKUP($A51,Summary!$D$14:$AX$56,COLUMNS(Summary!$D$15:$AX$15),FALSE))/O51)</f>
        <v>0</v>
      </c>
      <c r="V51" s="72">
        <f t="shared" si="27"/>
        <v>1.2</v>
      </c>
      <c r="X51" s="83">
        <f t="shared" si="25"/>
        <v>0</v>
      </c>
      <c r="Y51" s="83"/>
      <c r="Z51" s="83"/>
    </row>
    <row r="52" spans="1:26" x14ac:dyDescent="0.25">
      <c r="A52" s="67">
        <f t="shared" si="4"/>
        <v>54667</v>
      </c>
      <c r="B52" s="161">
        <f t="shared" si="23"/>
        <v>0</v>
      </c>
      <c r="C52" s="161">
        <f t="shared" si="12"/>
        <v>0</v>
      </c>
      <c r="D52" s="161">
        <f>IF(C52=0,0,TRUNC(IF(B52=C52,100,IF(A52&lt;=(EDATE(PAR_CALL_FIRST,10*12)),PRICE(DELIVERY_REFUNDING,A52,B52,C52,100,2,0),MIN(PRICE(DELIVERY_REFUNDING,A52,B52,C52,100,2,0),PRICE(DELIVERY_REFUNDING,(EDATE(PAR_CALL_FIRST,10*12)),B52,C52,100,2,0)))),3)/100)</f>
        <v>0</v>
      </c>
      <c r="E52" s="137"/>
      <c r="F52" s="66">
        <f t="shared" si="16"/>
        <v>0</v>
      </c>
      <c r="G52" s="66">
        <f>IF(REFUND_FINANCING="Yes",IF(OR(CAPI_TERM&gt;A52,MONTH(A52)&lt;&gt;PRIN_MATURITY,FIRST_PRIN&gt;A52),0,MAX(0,INT(((((VLOOKUP($A52,Summary!$D$14:$AX$56,COLUMNS(Summary!$D$15:$AX$15))+M52)/$V52-H53*2*R52)/(1+B52*R52)+IF($A52=SURPLUS_FUND_RELEASE_DATE_REFUNDING,IF(SURPLUS_RELEASE_SIZING="Yes",SURPLUS_FUND_DEPOSIT_REFUNDING,0),0)/(1+B52*R52)))/5000)*5000)),0)</f>
        <v>0</v>
      </c>
      <c r="H52" s="66">
        <f t="shared" si="6"/>
        <v>0</v>
      </c>
      <c r="I52" s="66">
        <f t="shared" si="7"/>
        <v>0</v>
      </c>
      <c r="J52" s="70">
        <f t="shared" si="26"/>
        <v>0</v>
      </c>
      <c r="K52" s="66">
        <f t="shared" si="9"/>
        <v>0</v>
      </c>
      <c r="L52" s="85">
        <f t="shared" si="24"/>
        <v>0</v>
      </c>
      <c r="M52" s="85">
        <f>IF(REFUND_FINANCING="No",0,IF($A52&lt;PREMIUM_CALL_FIRST,0,SURPLUS_FUND_DEPOSIT* INTEREST_EARN_RATE))</f>
        <v>0</v>
      </c>
      <c r="N52" s="66">
        <f t="shared" si="10"/>
        <v>0</v>
      </c>
      <c r="O52" s="70">
        <f t="shared" si="2"/>
        <v>0</v>
      </c>
      <c r="P52" s="70">
        <f>$G$96-SUM($G$11:G52)</f>
        <v>0</v>
      </c>
      <c r="R52" s="68">
        <f t="shared" si="13"/>
        <v>0</v>
      </c>
      <c r="T52" s="83">
        <f>IF(ISNA(VLOOKUP($A52,Summary!$D$14:$AX$56,COLUMNS(Summary!$D$15:$AX$15),FALSE))=TRUE,0,VLOOKUP($A52,Summary!$D$14:$AX$56,COLUMNS(Summary!$D$15:$AX$15),FALSE))</f>
        <v>0</v>
      </c>
      <c r="U52" s="84">
        <f>IF(ISERROR(IF(ISNA(VLOOKUP($A52,Summary!$D$14:$AX$56,COLUMNS(Summary!$D$15:$AX$15),FALSE))=TRUE,0,VLOOKUP($A52,Summary!$D$14:$AX$56,COLUMNS(Summary!$D$15:$AX$15),FALSE))/O52),0,IF(ISNA(VLOOKUP($A52,Summary!$D$14:$AX$56,COLUMNS(Summary!$D$15:$AX$15),FALSE))=TRUE,0,VLOOKUP($A52,Summary!$D$14:$AX$56,COLUMNS(Summary!$D$15:$AX$15),FALSE))/O52)</f>
        <v>0</v>
      </c>
      <c r="V52" s="72" t="str">
        <f t="shared" si="27"/>
        <v/>
      </c>
      <c r="X52" s="83">
        <f t="shared" si="25"/>
        <v>0</v>
      </c>
      <c r="Y52" s="83"/>
      <c r="Z52" s="83"/>
    </row>
    <row r="53" spans="1:26" x14ac:dyDescent="0.25">
      <c r="A53" s="67">
        <f t="shared" si="4"/>
        <v>54848</v>
      </c>
      <c r="B53" s="161">
        <f t="shared" si="23"/>
        <v>4.4999999999999998E-2</v>
      </c>
      <c r="C53" s="161">
        <f t="shared" si="12"/>
        <v>4.4999999999999998E-2</v>
      </c>
      <c r="D53" s="68">
        <f t="shared" si="5"/>
        <v>1</v>
      </c>
      <c r="E53" s="137"/>
      <c r="F53" s="66">
        <f t="shared" si="16"/>
        <v>0</v>
      </c>
      <c r="G53" s="66">
        <f>IF(REFUND_FINANCING="Yes",IF(OR(CAPI_TERM&gt;A53,MONTH(A53)&lt;&gt;PRIN_MATURITY,FIRST_PRIN&gt;A53),0,MAX(0,INT(((((VLOOKUP($A53,Summary!$D$14:$AX$56,COLUMNS(Summary!$D$15:$AX$15))+M53)/$V53-H54*2*R53)/(1+B53*R53)+IF($A53=SURPLUS_FUND_RELEASE_DATE_REFUNDING,IF(SURPLUS_RELEASE_SIZING="Yes",SURPLUS_FUND_DEPOSIT_REFUNDING,0),0)/(1+B53*R53)))/5000)*5000)),0)</f>
        <v>0</v>
      </c>
      <c r="H53" s="66">
        <f t="shared" si="6"/>
        <v>0</v>
      </c>
      <c r="I53" s="66">
        <f t="shared" si="7"/>
        <v>0</v>
      </c>
      <c r="J53" s="70">
        <f t="shared" si="26"/>
        <v>0</v>
      </c>
      <c r="K53" s="66">
        <f t="shared" si="9"/>
        <v>0</v>
      </c>
      <c r="L53" s="85">
        <f t="shared" si="24"/>
        <v>0</v>
      </c>
      <c r="M53" s="85"/>
      <c r="N53" s="66">
        <f t="shared" si="10"/>
        <v>0</v>
      </c>
      <c r="O53" s="70">
        <f t="shared" si="2"/>
        <v>0</v>
      </c>
      <c r="P53" s="70">
        <f>$G$96-SUM($G$11:G53)</f>
        <v>0</v>
      </c>
      <c r="R53" s="68">
        <f t="shared" si="13"/>
        <v>1</v>
      </c>
      <c r="T53" s="83">
        <f ca="1">IF(ISNA(VLOOKUP($A53,Summary!$D$14:$AX$56,COLUMNS(Summary!$D$15:$AX$15),FALSE))=TRUE,0,VLOOKUP($A53,Summary!$D$14:$AX$56,COLUMNS(Summary!$D$15:$AX$15),FALSE))</f>
        <v>606227.46743011859</v>
      </c>
      <c r="U53" s="84">
        <f ca="1">IF(ISERROR(IF(ISNA(VLOOKUP($A53,Summary!$D$14:$AX$56,COLUMNS(Summary!$D$15:$AX$15),FALSE))=TRUE,0,VLOOKUP($A53,Summary!$D$14:$AX$56,COLUMNS(Summary!$D$15:$AX$15),FALSE))/O53),0,IF(ISNA(VLOOKUP($A53,Summary!$D$14:$AX$56,COLUMNS(Summary!$D$15:$AX$15),FALSE))=TRUE,0,VLOOKUP($A53,Summary!$D$14:$AX$56,COLUMNS(Summary!$D$15:$AX$15),FALSE))/O53)</f>
        <v>0</v>
      </c>
      <c r="V53" s="72">
        <f t="shared" si="27"/>
        <v>1.2</v>
      </c>
      <c r="X53" s="83">
        <f t="shared" si="25"/>
        <v>0</v>
      </c>
      <c r="Y53" s="83"/>
      <c r="Z53" s="83"/>
    </row>
    <row r="54" spans="1:26" x14ac:dyDescent="0.25">
      <c r="A54" s="67">
        <f t="shared" si="4"/>
        <v>55032</v>
      </c>
      <c r="B54" s="161">
        <f t="shared" si="23"/>
        <v>0</v>
      </c>
      <c r="C54" s="161">
        <f t="shared" si="12"/>
        <v>0</v>
      </c>
      <c r="D54" s="161">
        <f>IF(C54=0,0,TRUNC(IF(B54=C54,100,IF(A54&lt;=(EDATE(PAR_CALL_FIRST,10*12)),PRICE(DELIVERY_REFUNDING,A54,B54,C54,100,2,0),MIN(PRICE(DELIVERY_REFUNDING,A54,B54,C54,100,2,0),PRICE(DELIVERY_REFUNDING,(EDATE(PAR_CALL_FIRST,10*12)),B54,C54,100,2,0)))),3)/100)</f>
        <v>0</v>
      </c>
      <c r="E54" s="137"/>
      <c r="F54" s="66">
        <f t="shared" si="16"/>
        <v>0</v>
      </c>
      <c r="G54" s="66">
        <f>IF(REFUND_FINANCING="Yes",IF(OR(CAPI_TERM&gt;A54,MONTH(A54)&lt;&gt;PRIN_MATURITY,FIRST_PRIN&gt;A54),0,MAX(0,INT(((((VLOOKUP($A54,Summary!$D$14:$AX$56,COLUMNS(Summary!$D$15:$AX$15))+M54)/$V54-H55*2*R54)/(1+B54*R54)+IF($A54=SURPLUS_FUND_RELEASE_DATE_REFUNDING,IF(SURPLUS_RELEASE_SIZING="Yes",SURPLUS_FUND_DEPOSIT_REFUNDING,0),0)/(1+B54*R54)))/5000)*5000)),0)</f>
        <v>0</v>
      </c>
      <c r="H54" s="66">
        <f t="shared" si="6"/>
        <v>0</v>
      </c>
      <c r="I54" s="66">
        <f t="shared" si="7"/>
        <v>0</v>
      </c>
      <c r="J54" s="70">
        <f t="shared" si="26"/>
        <v>0</v>
      </c>
      <c r="K54" s="66">
        <f t="shared" si="9"/>
        <v>0</v>
      </c>
      <c r="L54" s="85">
        <f t="shared" si="24"/>
        <v>0</v>
      </c>
      <c r="M54" s="85">
        <f>IF(REFUND_FINANCING="No",0,IF($A54&lt;PREMIUM_CALL_FIRST,0,SURPLUS_FUND_DEPOSIT* INTEREST_EARN_RATE))</f>
        <v>0</v>
      </c>
      <c r="N54" s="66">
        <f t="shared" si="10"/>
        <v>0</v>
      </c>
      <c r="O54" s="70">
        <f t="shared" si="2"/>
        <v>0</v>
      </c>
      <c r="P54" s="70">
        <f>$G$96-SUM($G$11:G54)</f>
        <v>0</v>
      </c>
      <c r="R54" s="68">
        <f t="shared" si="13"/>
        <v>0</v>
      </c>
      <c r="T54" s="83">
        <f>IF(ISNA(VLOOKUP($A54,Summary!$D$14:$AX$56,COLUMNS(Summary!$D$15:$AX$15),FALSE))=TRUE,0,VLOOKUP($A54,Summary!$D$14:$AX$56,COLUMNS(Summary!$D$15:$AX$15),FALSE))</f>
        <v>0</v>
      </c>
      <c r="U54" s="84">
        <f>IF(ISERROR(IF(ISNA(VLOOKUP($A54,Summary!$D$14:$AX$56,COLUMNS(Summary!$D$15:$AX$15),FALSE))=TRUE,0,VLOOKUP($A54,Summary!$D$14:$AX$56,COLUMNS(Summary!$D$15:$AX$15),FALSE))/O54),0,IF(ISNA(VLOOKUP($A54,Summary!$D$14:$AX$56,COLUMNS(Summary!$D$15:$AX$15),FALSE))=TRUE,0,VLOOKUP($A54,Summary!$D$14:$AX$56,COLUMNS(Summary!$D$15:$AX$15),FALSE))/O54)</f>
        <v>0</v>
      </c>
      <c r="V54" s="72" t="str">
        <f t="shared" si="27"/>
        <v/>
      </c>
      <c r="X54" s="83">
        <f t="shared" si="25"/>
        <v>0</v>
      </c>
      <c r="Y54" s="83"/>
      <c r="Z54" s="83"/>
    </row>
    <row r="55" spans="1:26" x14ac:dyDescent="0.25">
      <c r="A55" s="67">
        <f t="shared" si="4"/>
        <v>55213</v>
      </c>
      <c r="B55" s="161">
        <f t="shared" si="23"/>
        <v>4.4999999999999998E-2</v>
      </c>
      <c r="C55" s="161">
        <f t="shared" si="12"/>
        <v>4.4999999999999998E-2</v>
      </c>
      <c r="D55" s="68">
        <f t="shared" si="5"/>
        <v>1</v>
      </c>
      <c r="E55" s="137"/>
      <c r="F55" s="66">
        <f t="shared" si="16"/>
        <v>0</v>
      </c>
      <c r="G55" s="66">
        <f>IF(REFUND_FINANCING="Yes",IF(OR(CAPI_TERM&gt;A55,MONTH(A55)&lt;&gt;PRIN_MATURITY,FIRST_PRIN&gt;A55),0,MAX(0,INT(((((VLOOKUP($A55,Summary!$D$14:$AX$56,COLUMNS(Summary!$D$15:$AX$15))+M55)/$V55-H56*2*R55)/(1+B55*R55)+IF($A55=SURPLUS_FUND_RELEASE_DATE_REFUNDING,IF(SURPLUS_RELEASE_SIZING="Yes",SURPLUS_FUND_DEPOSIT_REFUNDING,0),0)/(1+B55*R55)))/5000)*5000)),0)</f>
        <v>0</v>
      </c>
      <c r="H55" s="66">
        <f t="shared" si="6"/>
        <v>0</v>
      </c>
      <c r="I55" s="66">
        <f t="shared" si="7"/>
        <v>0</v>
      </c>
      <c r="J55" s="70">
        <f t="shared" si="26"/>
        <v>0</v>
      </c>
      <c r="K55" s="66">
        <f t="shared" si="9"/>
        <v>0</v>
      </c>
      <c r="L55" s="85">
        <f t="shared" si="24"/>
        <v>0</v>
      </c>
      <c r="M55" s="85"/>
      <c r="N55" s="66">
        <f t="shared" si="10"/>
        <v>0</v>
      </c>
      <c r="O55" s="70">
        <f t="shared" si="2"/>
        <v>0</v>
      </c>
      <c r="P55" s="70">
        <f>$G$96-SUM($G$11:G55)</f>
        <v>0</v>
      </c>
      <c r="R55" s="68">
        <f t="shared" si="13"/>
        <v>1</v>
      </c>
      <c r="T55" s="83">
        <f ca="1">IF(ISNA(VLOOKUP($A55,Summary!$D$14:$AX$56,COLUMNS(Summary!$D$15:$AX$15),FALSE))=TRUE,0,VLOOKUP($A55,Summary!$D$14:$AX$56,COLUMNS(Summary!$D$15:$AX$15),FALSE))</f>
        <v>611493.0393548396</v>
      </c>
      <c r="U55" s="84">
        <f ca="1">IF(ISERROR(IF(ISNA(VLOOKUP($A55,Summary!$D$14:$AX$56,COLUMNS(Summary!$D$15:$AX$15),FALSE))=TRUE,0,VLOOKUP($A55,Summary!$D$14:$AX$56,COLUMNS(Summary!$D$15:$AX$15),FALSE))/O55),0,IF(ISNA(VLOOKUP($A55,Summary!$D$14:$AX$56,COLUMNS(Summary!$D$15:$AX$15),FALSE))=TRUE,0,VLOOKUP($A55,Summary!$D$14:$AX$56,COLUMNS(Summary!$D$15:$AX$15),FALSE))/O55)</f>
        <v>0</v>
      </c>
      <c r="V55" s="72">
        <f t="shared" si="27"/>
        <v>1.2</v>
      </c>
      <c r="X55" s="83">
        <f t="shared" si="25"/>
        <v>0</v>
      </c>
      <c r="Y55" s="83"/>
      <c r="Z55" s="83"/>
    </row>
    <row r="56" spans="1:26" x14ac:dyDescent="0.25">
      <c r="A56" s="67">
        <f t="shared" si="4"/>
        <v>55397</v>
      </c>
      <c r="B56" s="161">
        <f t="shared" si="23"/>
        <v>0</v>
      </c>
      <c r="C56" s="161">
        <f t="shared" si="12"/>
        <v>0</v>
      </c>
      <c r="D56" s="68">
        <f t="shared" si="5"/>
        <v>0</v>
      </c>
      <c r="E56" s="137"/>
      <c r="F56" s="66">
        <f t="shared" si="16"/>
        <v>0</v>
      </c>
      <c r="G56" s="66">
        <f>IF(REFUND_FINANCING="Yes",IF(OR(CAPI_TERM&gt;A56,MONTH(A56)&lt;&gt;PRIN_MATURITY,FIRST_PRIN&gt;A56),0,MAX(0,INT(((((VLOOKUP($A56,Summary!$D$14:$AX$56,COLUMNS(Summary!$D$15:$AX$15))+M56)/$V56-H57*2*R56)/(1+B56*R56)+IF($A56=SURPLUS_FUND_RELEASE_DATE_REFUNDING,IF(SURPLUS_RELEASE_SIZING="Yes",SURPLUS_FUND_DEPOSIT_REFUNDING,0),0)/(1+B56*R56)))/5000)*5000)),0)</f>
        <v>0</v>
      </c>
      <c r="H56" s="66">
        <f t="shared" si="6"/>
        <v>0</v>
      </c>
      <c r="I56" s="66">
        <f t="shared" si="7"/>
        <v>0</v>
      </c>
      <c r="J56" s="70">
        <f t="shared" si="26"/>
        <v>0</v>
      </c>
      <c r="K56" s="66">
        <f t="shared" si="9"/>
        <v>0</v>
      </c>
      <c r="L56" s="85">
        <f t="shared" si="24"/>
        <v>0</v>
      </c>
      <c r="M56" s="85">
        <f>IF(REFUND_FINANCING="No",0,IF($A56&lt;PREMIUM_CALL_FIRST,0,SURPLUS_FUND_DEPOSIT* INTEREST_EARN_RATE))</f>
        <v>0</v>
      </c>
      <c r="N56" s="66">
        <f t="shared" si="10"/>
        <v>0</v>
      </c>
      <c r="O56" s="70">
        <f t="shared" si="2"/>
        <v>0</v>
      </c>
      <c r="P56" s="70">
        <f>$G$96-SUM($G$11:G56)</f>
        <v>0</v>
      </c>
      <c r="R56" s="68">
        <f t="shared" si="13"/>
        <v>0</v>
      </c>
      <c r="T56" s="83">
        <f>IF(ISNA(VLOOKUP($A56,Summary!$D$14:$AX$56,COLUMNS(Summary!$D$15:$AX$15),FALSE))=TRUE,0,VLOOKUP($A56,Summary!$D$14:$AX$56,COLUMNS(Summary!$D$15:$AX$15),FALSE))</f>
        <v>0</v>
      </c>
      <c r="U56" s="84">
        <f>IF(ISERROR(IF(ISNA(VLOOKUP($A56,Summary!$D$14:$AX$56,COLUMNS(Summary!$D$15:$AX$15),FALSE))=TRUE,0,VLOOKUP($A56,Summary!$D$14:$AX$56,COLUMNS(Summary!$D$15:$AX$15),FALSE))/O56),0,IF(ISNA(VLOOKUP($A56,Summary!$D$14:$AX$56,COLUMNS(Summary!$D$15:$AX$15),FALSE))=TRUE,0,VLOOKUP($A56,Summary!$D$14:$AX$56,COLUMNS(Summary!$D$15:$AX$15),FALSE))/O56)</f>
        <v>0</v>
      </c>
      <c r="V56" s="72" t="str">
        <f t="shared" si="27"/>
        <v/>
      </c>
      <c r="X56" s="83">
        <f t="shared" si="25"/>
        <v>0</v>
      </c>
      <c r="Y56" s="83"/>
      <c r="Z56" s="83"/>
    </row>
    <row r="57" spans="1:26" x14ac:dyDescent="0.25">
      <c r="A57" s="67">
        <f t="shared" si="4"/>
        <v>55579</v>
      </c>
      <c r="B57" s="161">
        <f t="shared" si="23"/>
        <v>4.4999999999999998E-2</v>
      </c>
      <c r="C57" s="161">
        <f t="shared" si="12"/>
        <v>4.4999999999999998E-2</v>
      </c>
      <c r="D57" s="161">
        <f>IF(C57=0,0,TRUNC(IF(B57=C57,100,IF(A57&lt;=(EDATE(PAR_CALL_FIRST,10*12)),PRICE(DELIVERY_REFUNDING,A57,B57,C57,100,2,0),MIN(PRICE(DELIVERY_REFUNDING,A57,B57,C57,100,2,0),PRICE(DELIVERY_REFUNDING,(EDATE(PAR_CALL_FIRST,10*12)),B57,C57,100,2,0)))),3)/100)</f>
        <v>1</v>
      </c>
      <c r="E57" s="137"/>
      <c r="F57" s="66">
        <f t="shared" si="16"/>
        <v>0</v>
      </c>
      <c r="G57" s="66">
        <f>IF(REFUND_FINANCING="Yes",IF(OR(CAPI_TERM&gt;A57,MONTH(A57)&lt;&gt;PRIN_MATURITY,FIRST_PRIN&gt;A57),0,MAX(0,INT(((((VLOOKUP($A57,Summary!$D$14:$AX$56,COLUMNS(Summary!$D$15:$AX$15))+M57)/$V57-H58*2*R57)/(1+B57*R57)+IF($A57=SURPLUS_FUND_RELEASE_DATE_REFUNDING,IF(SURPLUS_RELEASE_SIZING="Yes",SURPLUS_FUND_DEPOSIT_REFUNDING,0),0)/(1+B57*R57)))/5000)*5000)),0)</f>
        <v>0</v>
      </c>
      <c r="H57" s="66">
        <f t="shared" si="6"/>
        <v>0</v>
      </c>
      <c r="I57" s="66">
        <f t="shared" si="7"/>
        <v>0</v>
      </c>
      <c r="J57" s="70">
        <f t="shared" si="26"/>
        <v>0</v>
      </c>
      <c r="K57" s="66">
        <f t="shared" si="9"/>
        <v>0</v>
      </c>
      <c r="L57" s="85">
        <f t="shared" si="24"/>
        <v>0</v>
      </c>
      <c r="M57" s="85"/>
      <c r="N57" s="66">
        <f t="shared" si="10"/>
        <v>0</v>
      </c>
      <c r="O57" s="70">
        <f t="shared" si="2"/>
        <v>0</v>
      </c>
      <c r="P57" s="70">
        <f>$G$96-SUM($G$11:G57)</f>
        <v>0</v>
      </c>
      <c r="R57" s="68">
        <f t="shared" si="13"/>
        <v>1</v>
      </c>
      <c r="T57" s="83">
        <f ca="1">IF(ISNA(VLOOKUP($A57,Summary!$D$14:$AX$56,COLUMNS(Summary!$D$15:$AX$15),FALSE))=TRUE,0,VLOOKUP($A57,Summary!$D$14:$AX$56,COLUMNS(Summary!$D$15:$AX$15),FALSE))</f>
        <v>616794.53294381662</v>
      </c>
      <c r="U57" s="84">
        <f ca="1">IF(ISERROR(IF(ISNA(VLOOKUP($A57,Summary!$D$14:$AX$56,COLUMNS(Summary!$D$15:$AX$15),FALSE))=TRUE,0,VLOOKUP($A57,Summary!$D$14:$AX$56,COLUMNS(Summary!$D$15:$AX$15),FALSE))/O57),0,IF(ISNA(VLOOKUP($A57,Summary!$D$14:$AX$56,COLUMNS(Summary!$D$15:$AX$15),FALSE))=TRUE,0,VLOOKUP($A57,Summary!$D$14:$AX$56,COLUMNS(Summary!$D$15:$AX$15),FALSE))/O57)</f>
        <v>0</v>
      </c>
      <c r="V57" s="72">
        <f t="shared" si="27"/>
        <v>1.2</v>
      </c>
      <c r="X57" s="83">
        <f t="shared" si="25"/>
        <v>0</v>
      </c>
      <c r="Y57" s="83"/>
      <c r="Z57" s="83"/>
    </row>
    <row r="58" spans="1:26" x14ac:dyDescent="0.25">
      <c r="A58" s="67">
        <f t="shared" si="4"/>
        <v>55763</v>
      </c>
      <c r="B58" s="161">
        <f t="shared" si="23"/>
        <v>0</v>
      </c>
      <c r="C58" s="161">
        <f t="shared" si="12"/>
        <v>0</v>
      </c>
      <c r="D58" s="68">
        <f t="shared" si="5"/>
        <v>0</v>
      </c>
      <c r="E58" s="137"/>
      <c r="F58" s="66">
        <f t="shared" si="16"/>
        <v>0</v>
      </c>
      <c r="G58" s="66">
        <f>IF(REFUND_FINANCING="Yes",IF(OR(CAPI_TERM&gt;A58,MONTH(A58)&lt;&gt;PRIN_MATURITY,FIRST_PRIN&gt;A58),0,MAX(0,INT(((((VLOOKUP($A58,Summary!$D$14:$AX$56,COLUMNS(Summary!$D$15:$AX$15))+M58)/$V58-H59*2*R58)/(1+B58*R58)+IF($A58=SURPLUS_FUND_RELEASE_DATE_REFUNDING,IF(SURPLUS_RELEASE_SIZING="Yes",SURPLUS_FUND_DEPOSIT_REFUNDING,0),0)/(1+B58*R58)))/5000)*5000)),0)</f>
        <v>0</v>
      </c>
      <c r="H58" s="66">
        <f t="shared" si="6"/>
        <v>0</v>
      </c>
      <c r="I58" s="66">
        <f t="shared" si="7"/>
        <v>0</v>
      </c>
      <c r="J58" s="70">
        <f t="shared" si="26"/>
        <v>0</v>
      </c>
      <c r="K58" s="66">
        <f t="shared" si="9"/>
        <v>0</v>
      </c>
      <c r="L58" s="85">
        <f t="shared" si="24"/>
        <v>0</v>
      </c>
      <c r="M58" s="85">
        <f>IF(REFUND_FINANCING="No",0,IF($A58&lt;PREMIUM_CALL_FIRST,0,SURPLUS_FUND_DEPOSIT* INTEREST_EARN_RATE))</f>
        <v>0</v>
      </c>
      <c r="N58" s="66">
        <f t="shared" si="10"/>
        <v>0</v>
      </c>
      <c r="O58" s="70">
        <f t="shared" si="2"/>
        <v>0</v>
      </c>
      <c r="P58" s="70">
        <f>$G$96-SUM($G$11:G58)</f>
        <v>0</v>
      </c>
      <c r="R58" s="68">
        <f t="shared" si="13"/>
        <v>0</v>
      </c>
      <c r="T58" s="83">
        <f>IF(ISNA(VLOOKUP($A58,Summary!$D$14:$AX$56,COLUMNS(Summary!$D$15:$AX$15),FALSE))=TRUE,0,VLOOKUP($A58,Summary!$D$14:$AX$56,COLUMNS(Summary!$D$15:$AX$15),FALSE))</f>
        <v>0</v>
      </c>
      <c r="U58" s="84">
        <f>IF(ISERROR(IF(ISNA(VLOOKUP($A58,Summary!$D$14:$AX$56,COLUMNS(Summary!$D$15:$AX$15),FALSE))=TRUE,0,VLOOKUP($A58,Summary!$D$14:$AX$56,COLUMNS(Summary!$D$15:$AX$15),FALSE))/O58),0,IF(ISNA(VLOOKUP($A58,Summary!$D$14:$AX$56,COLUMNS(Summary!$D$15:$AX$15),FALSE))=TRUE,0,VLOOKUP($A58,Summary!$D$14:$AX$56,COLUMNS(Summary!$D$15:$AX$15),FALSE))/O58)</f>
        <v>0</v>
      </c>
      <c r="V58" s="72" t="str">
        <f t="shared" si="27"/>
        <v/>
      </c>
      <c r="X58" s="83">
        <f t="shared" si="25"/>
        <v>0</v>
      </c>
      <c r="Y58" s="83"/>
      <c r="Z58" s="83"/>
    </row>
    <row r="59" spans="1:26" x14ac:dyDescent="0.25">
      <c r="A59" s="67">
        <f t="shared" si="4"/>
        <v>55944</v>
      </c>
      <c r="B59" s="161">
        <f t="shared" si="23"/>
        <v>4.4999999999999998E-2</v>
      </c>
      <c r="C59" s="161">
        <f t="shared" si="12"/>
        <v>4.4999999999999998E-2</v>
      </c>
      <c r="D59" s="161">
        <f>IF(C59=0,0,TRUNC(IF(B59=C59,100,IF(A59&lt;=(EDATE(PAR_CALL_FIRST,10*12)),PRICE(DELIVERY_REFUNDING,A59,B59,C59,100,2,0),MIN(PRICE(DELIVERY_REFUNDING,A59,B59,C59,100,2,0),PRICE(DELIVERY_REFUNDING,(EDATE(PAR_CALL_FIRST,10*12)),B59,C59,100,2,0)))),3)/100)</f>
        <v>1</v>
      </c>
      <c r="E59" s="137"/>
      <c r="F59" s="66">
        <f t="shared" si="16"/>
        <v>0</v>
      </c>
      <c r="G59" s="66">
        <f>IF(REFUND_FINANCING="Yes",IF(OR(CAPI_TERM&gt;A59,MONTH(A59)&lt;&gt;PRIN_MATURITY,FIRST_PRIN&gt;A59),0,MAX(0,INT(((((VLOOKUP($A59,Summary!$D$14:$AX$56,COLUMNS(Summary!$D$15:$AX$15))+M59)/$V59-H60*2*R59)/(1+B59*R59)+IF($A59=SURPLUS_FUND_RELEASE_DATE_REFUNDING,IF(SURPLUS_RELEASE_SIZING="Yes",SURPLUS_FUND_DEPOSIT_REFUNDING,0),0)/(1+B59*R59)))/5000)*5000)),0)</f>
        <v>0</v>
      </c>
      <c r="H59" s="66">
        <f t="shared" si="6"/>
        <v>0</v>
      </c>
      <c r="I59" s="66">
        <f t="shared" si="7"/>
        <v>0</v>
      </c>
      <c r="J59" s="70">
        <f t="shared" si="26"/>
        <v>0</v>
      </c>
      <c r="K59" s="66">
        <f t="shared" si="9"/>
        <v>0</v>
      </c>
      <c r="L59" s="85">
        <f t="shared" si="24"/>
        <v>0</v>
      </c>
      <c r="M59" s="85"/>
      <c r="N59" s="66">
        <f t="shared" si="10"/>
        <v>0</v>
      </c>
      <c r="O59" s="70">
        <f t="shared" si="2"/>
        <v>0</v>
      </c>
      <c r="P59" s="70">
        <f>$G$96-SUM($G$11:G59)</f>
        <v>0</v>
      </c>
      <c r="R59" s="68">
        <f t="shared" si="13"/>
        <v>1</v>
      </c>
      <c r="T59" s="83">
        <f ca="1">IF(ISNA(VLOOKUP($A59,Summary!$D$14:$AX$56,COLUMNS(Summary!$D$15:$AX$15),FALSE))=TRUE,0,VLOOKUP($A59,Summary!$D$14:$AX$56,COLUMNS(Summary!$D$15:$AX$15),FALSE))</f>
        <v>622131.97273259168</v>
      </c>
      <c r="U59" s="84">
        <f ca="1">IF(ISERROR(IF(ISNA(VLOOKUP($A59,Summary!$D$14:$AX$56,COLUMNS(Summary!$D$15:$AX$15),FALSE))=TRUE,0,VLOOKUP($A59,Summary!$D$14:$AX$56,COLUMNS(Summary!$D$15:$AX$15),FALSE))/O59),0,IF(ISNA(VLOOKUP($A59,Summary!$D$14:$AX$56,COLUMNS(Summary!$D$15:$AX$15),FALSE))=TRUE,0,VLOOKUP($A59,Summary!$D$14:$AX$56,COLUMNS(Summary!$D$15:$AX$15),FALSE))/O59)</f>
        <v>0</v>
      </c>
      <c r="V59" s="72">
        <f t="shared" si="27"/>
        <v>1.2</v>
      </c>
      <c r="X59" s="83">
        <f t="shared" si="25"/>
        <v>0</v>
      </c>
      <c r="Y59" s="83"/>
      <c r="Z59" s="83"/>
    </row>
    <row r="60" spans="1:26" x14ac:dyDescent="0.25">
      <c r="A60" s="67">
        <f t="shared" si="4"/>
        <v>56128</v>
      </c>
      <c r="B60" s="161">
        <f t="shared" si="23"/>
        <v>0</v>
      </c>
      <c r="C60" s="161">
        <f t="shared" si="12"/>
        <v>0</v>
      </c>
      <c r="D60" s="68">
        <f t="shared" si="5"/>
        <v>0</v>
      </c>
      <c r="E60" s="137" t="s">
        <v>182</v>
      </c>
      <c r="F60" s="66">
        <f t="shared" si="16"/>
        <v>0</v>
      </c>
      <c r="G60" s="66">
        <f>IF(REFUND_FINANCING="Yes",IF(OR(CAPI_TERM&gt;A60,MONTH(A60)&lt;&gt;PRIN_MATURITY,FIRST_PRIN&gt;A60),0,MAX(0,INT(((((VLOOKUP($A60,Summary!$D$14:$AX$56,COLUMNS(Summary!$D$15:$AX$15))+M60)/$V60-H61*2*R60)/(1+B60*R60)+IF($A60=SURPLUS_FUND_RELEASE_DATE_REFUNDING,IF(SURPLUS_RELEASE_SIZING="Yes",SURPLUS_FUND_DEPOSIT_REFUNDING,0),0)/(1+B60*R60)))/5000)*5000)),0)</f>
        <v>0</v>
      </c>
      <c r="H60" s="66">
        <f t="shared" si="6"/>
        <v>0</v>
      </c>
      <c r="I60" s="66">
        <f t="shared" si="7"/>
        <v>0</v>
      </c>
      <c r="J60" s="70">
        <f t="shared" si="26"/>
        <v>0</v>
      </c>
      <c r="K60" s="66">
        <f t="shared" si="9"/>
        <v>0</v>
      </c>
      <c r="L60" s="85">
        <f t="shared" si="24"/>
        <v>0</v>
      </c>
      <c r="M60" s="85">
        <f>IF(REFUND_FINANCING="No",0,IF($A60&lt;PREMIUM_CALL_FIRST,0,SURPLUS_FUND_DEPOSIT* INTEREST_EARN_RATE))</f>
        <v>0</v>
      </c>
      <c r="N60" s="66">
        <f t="shared" si="10"/>
        <v>0</v>
      </c>
      <c r="O60" s="70">
        <f t="shared" si="2"/>
        <v>0</v>
      </c>
      <c r="P60" s="70">
        <f>$G$96-SUM($G$11:G60)</f>
        <v>0</v>
      </c>
      <c r="R60" s="68">
        <f t="shared" si="13"/>
        <v>0</v>
      </c>
      <c r="T60" s="83">
        <f>IF(ISNA(VLOOKUP($A60,Summary!$D$14:$AX$56,COLUMNS(Summary!$D$15:$AX$15),FALSE))=TRUE,0,VLOOKUP($A60,Summary!$D$14:$AX$56,COLUMNS(Summary!$D$15:$AX$15),FALSE))</f>
        <v>0</v>
      </c>
      <c r="U60" s="84">
        <f>IF(ISERROR(IF(ISNA(VLOOKUP($A60,Summary!$D$14:$AX$56,COLUMNS(Summary!$D$15:$AX$15),FALSE))=TRUE,0,VLOOKUP($A60,Summary!$D$14:$AX$56,COLUMNS(Summary!$D$15:$AX$15),FALSE))/O60),0,IF(ISNA(VLOOKUP($A60,Summary!$D$14:$AX$56,COLUMNS(Summary!$D$15:$AX$15),FALSE))=TRUE,0,VLOOKUP($A60,Summary!$D$14:$AX$56,COLUMNS(Summary!$D$15:$AX$15),FALSE))/O60)</f>
        <v>0</v>
      </c>
      <c r="V60" s="72" t="str">
        <f t="shared" si="27"/>
        <v/>
      </c>
      <c r="X60" s="83">
        <f t="shared" si="25"/>
        <v>0</v>
      </c>
      <c r="Y60" s="83"/>
      <c r="Z60" s="83"/>
    </row>
    <row r="61" spans="1:26" x14ac:dyDescent="0.25">
      <c r="A61" s="67">
        <f t="shared" si="4"/>
        <v>56309</v>
      </c>
      <c r="B61" s="161">
        <f t="shared" si="23"/>
        <v>4.4999999999999998E-2</v>
      </c>
      <c r="C61" s="161">
        <f t="shared" si="12"/>
        <v>4.4999999999999998E-2</v>
      </c>
      <c r="D61" s="161">
        <f>IF(C61=0,0,TRUNC(IF(B61=C61,100,IF(A61&lt;=(EDATE(PAR_CALL_FIRST,10*12)),PRICE(DELIVERY_REFUNDING,A61,B61,C61,100,2,0),MIN(PRICE(DELIVERY_REFUNDING,A61,B61,C61,100,2,0),PRICE(DELIVERY_REFUNDING,(EDATE(PAR_CALL_FIRST,10*12)),B61,C61,100,2,0)))),3)/100)</f>
        <v>1</v>
      </c>
      <c r="E61" s="137"/>
      <c r="F61" s="66">
        <f t="shared" si="16"/>
        <v>0</v>
      </c>
      <c r="G61" s="66">
        <f>IF(REFUND_FINANCING="Yes",IF(OR(CAPI_TERM&gt;A61,MONTH(A61)&lt;&gt;PRIN_MATURITY,FIRST_PRIN&gt;A61),0,MAX(0,INT(((((VLOOKUP($A61,Summary!$D$14:$AX$56,COLUMNS(Summary!$D$15:$AX$15))+M61)/$V61-H62*2*R61)/(1+B61*R61)+IF($A61=SURPLUS_FUND_RELEASE_DATE_REFUNDING,IF(SURPLUS_RELEASE_SIZING="Yes",SURPLUS_FUND_DEPOSIT_REFUNDING,0),0)/(1+B61*R61)))/5000)*5000)),0)</f>
        <v>0</v>
      </c>
      <c r="H61" s="66">
        <f t="shared" si="6"/>
        <v>0</v>
      </c>
      <c r="I61" s="66">
        <f t="shared" si="7"/>
        <v>0</v>
      </c>
      <c r="J61" s="70">
        <f t="shared" si="26"/>
        <v>0</v>
      </c>
      <c r="K61" s="66">
        <f t="shared" si="9"/>
        <v>0</v>
      </c>
      <c r="L61" s="85">
        <f t="shared" si="24"/>
        <v>0</v>
      </c>
      <c r="M61" s="85"/>
      <c r="N61" s="66">
        <f t="shared" si="10"/>
        <v>0</v>
      </c>
      <c r="O61" s="70">
        <f t="shared" si="2"/>
        <v>0</v>
      </c>
      <c r="P61" s="70">
        <f>$G$96-SUM($G$11:G61)</f>
        <v>0</v>
      </c>
      <c r="R61" s="68">
        <f t="shared" si="13"/>
        <v>1</v>
      </c>
      <c r="T61" s="83">
        <f ca="1">IF(ISNA(VLOOKUP($A61,Summary!$D$14:$AX$56,COLUMNS(Summary!$D$15:$AX$15),FALSE))=TRUE,0,VLOOKUP($A61,Summary!$D$14:$AX$56,COLUMNS(Summary!$D$15:$AX$15),FALSE))</f>
        <v>627505.37680844136</v>
      </c>
      <c r="U61" s="84">
        <f ca="1">IF(ISERROR(IF(ISNA(VLOOKUP($A61,Summary!$D$14:$AX$56,COLUMNS(Summary!$D$15:$AX$15),FALSE))=TRUE,0,VLOOKUP($A61,Summary!$D$14:$AX$56,COLUMNS(Summary!$D$15:$AX$15),FALSE))/O61),0,IF(ISNA(VLOOKUP($A61,Summary!$D$14:$AX$56,COLUMNS(Summary!$D$15:$AX$15),FALSE))=TRUE,0,VLOOKUP($A61,Summary!$D$14:$AX$56,COLUMNS(Summary!$D$15:$AX$15),FALSE))/O61)</f>
        <v>0</v>
      </c>
      <c r="V61" s="72">
        <f t="shared" si="27"/>
        <v>1.2</v>
      </c>
      <c r="X61" s="83">
        <f t="shared" si="25"/>
        <v>0</v>
      </c>
      <c r="Y61" s="83"/>
      <c r="Z61" s="83"/>
    </row>
    <row r="62" spans="1:26" x14ac:dyDescent="0.25">
      <c r="A62" s="67">
        <f t="shared" si="4"/>
        <v>56493</v>
      </c>
      <c r="B62" s="161">
        <f t="shared" si="23"/>
        <v>0</v>
      </c>
      <c r="C62" s="161">
        <f t="shared" si="12"/>
        <v>0</v>
      </c>
      <c r="D62" s="68">
        <f t="shared" si="5"/>
        <v>0</v>
      </c>
      <c r="E62" s="137"/>
      <c r="F62" s="66">
        <f t="shared" si="16"/>
        <v>0</v>
      </c>
      <c r="G62" s="66">
        <f>IF(REFUND_FINANCING="Yes",IF(OR(CAPI_TERM&gt;A62,MONTH(A62)&lt;&gt;PRIN_MATURITY,FIRST_PRIN&gt;A62),0,MAX(0,INT(((((VLOOKUP($A62,Summary!$D$14:$AX$56,COLUMNS(Summary!$D$15:$AX$15))+M62)/$V62-H63*2*R62)/(1+B62*R62)+IF($A62=SURPLUS_FUND_RELEASE_DATE_REFUNDING,IF(SURPLUS_RELEASE_SIZING="Yes",SURPLUS_FUND_DEPOSIT_REFUNDING,0),0)/(1+B62*R62)))/5000)*5000)),0)</f>
        <v>0</v>
      </c>
      <c r="H62" s="66">
        <f t="shared" si="6"/>
        <v>0</v>
      </c>
      <c r="I62" s="66">
        <f t="shared" si="7"/>
        <v>0</v>
      </c>
      <c r="J62" s="70">
        <f t="shared" si="26"/>
        <v>0</v>
      </c>
      <c r="K62" s="66">
        <f t="shared" si="9"/>
        <v>0</v>
      </c>
      <c r="L62" s="85">
        <f t="shared" si="24"/>
        <v>0</v>
      </c>
      <c r="M62" s="85">
        <f>IF(REFUND_FINANCING="No",0,IF($A62&lt;PREMIUM_CALL_FIRST,0,SURPLUS_FUND_DEPOSIT* INTEREST_EARN_RATE))</f>
        <v>0</v>
      </c>
      <c r="N62" s="66">
        <f t="shared" si="10"/>
        <v>0</v>
      </c>
      <c r="O62" s="70">
        <f t="shared" si="2"/>
        <v>0</v>
      </c>
      <c r="P62" s="70">
        <f>$G$96-SUM($G$11:G62)</f>
        <v>0</v>
      </c>
      <c r="R62" s="68">
        <f t="shared" si="13"/>
        <v>0</v>
      </c>
      <c r="T62" s="83">
        <f>IF(ISNA(VLOOKUP($A62,Summary!$D$14:$AX$56,COLUMNS(Summary!$D$15:$AX$15),FALSE))=TRUE,0,VLOOKUP($A62,Summary!$D$14:$AX$56,COLUMNS(Summary!$D$15:$AX$15),FALSE))</f>
        <v>0</v>
      </c>
      <c r="U62" s="84">
        <f>IF(ISERROR(IF(ISNA(VLOOKUP($A62,Summary!$D$14:$AX$56,COLUMNS(Summary!$D$15:$AX$15),FALSE))=TRUE,0,VLOOKUP($A62,Summary!$D$14:$AX$56,COLUMNS(Summary!$D$15:$AX$15),FALSE))/O62),0,IF(ISNA(VLOOKUP($A62,Summary!$D$14:$AX$56,COLUMNS(Summary!$D$15:$AX$15),FALSE))=TRUE,0,VLOOKUP($A62,Summary!$D$14:$AX$56,COLUMNS(Summary!$D$15:$AX$15),FALSE))/O62)</f>
        <v>0</v>
      </c>
      <c r="V62" s="72" t="str">
        <f t="shared" si="27"/>
        <v/>
      </c>
      <c r="X62" s="83">
        <f t="shared" si="25"/>
        <v>0</v>
      </c>
      <c r="Y62" s="83"/>
      <c r="Z62" s="83"/>
    </row>
    <row r="63" spans="1:26" x14ac:dyDescent="0.25">
      <c r="A63" s="67">
        <f t="shared" si="4"/>
        <v>56674</v>
      </c>
      <c r="B63" s="161">
        <f t="shared" si="23"/>
        <v>4.4999999999999998E-2</v>
      </c>
      <c r="C63" s="161">
        <f t="shared" si="12"/>
        <v>4.4999999999999998E-2</v>
      </c>
      <c r="D63" s="161">
        <f>IF(C63=0,0,TRUNC(IF(B63=C63,100,IF(A63&lt;=(EDATE(PAR_CALL_FIRST,10*12)),PRICE(DELIVERY_REFUNDING,A63,B63,C63,100,2,0),MIN(PRICE(DELIVERY_REFUNDING,A63,B63,C63,100,2,0),PRICE(DELIVERY_REFUNDING,(EDATE(PAR_CALL_FIRST,10*12)),B63,C63,100,2,0)))),3)/100)</f>
        <v>1</v>
      </c>
      <c r="E63" s="137"/>
      <c r="F63" s="66">
        <f t="shared" si="16"/>
        <v>0</v>
      </c>
      <c r="G63" s="66">
        <f>IF(REFUND_FINANCING="Yes",IF(OR(CAPI_TERM&gt;A63,MONTH(A63)&lt;&gt;PRIN_MATURITY,FIRST_PRIN&gt;A63),0,MAX(0,INT(((((VLOOKUP($A63,Summary!$D$14:$AX$56,COLUMNS(Summary!$D$15:$AX$15))+M63)/$V63-H64*2*R63)/(1+B63*R63)+IF($A63=SURPLUS_FUND_RELEASE_DATE_REFUNDING,IF(SURPLUS_RELEASE_SIZING="Yes",SURPLUS_FUND_DEPOSIT_REFUNDING,0),0)/(1+B63*R63)))/5000)*5000)),0)</f>
        <v>0</v>
      </c>
      <c r="H63" s="66">
        <f t="shared" si="6"/>
        <v>0</v>
      </c>
      <c r="I63" s="66">
        <f t="shared" si="7"/>
        <v>0</v>
      </c>
      <c r="J63" s="70">
        <f t="shared" si="26"/>
        <v>0</v>
      </c>
      <c r="K63" s="66">
        <f t="shared" si="9"/>
        <v>0</v>
      </c>
      <c r="L63" s="85">
        <f t="shared" si="24"/>
        <v>0</v>
      </c>
      <c r="M63" s="85"/>
      <c r="N63" s="66">
        <f t="shared" si="10"/>
        <v>0</v>
      </c>
      <c r="O63" s="70">
        <f t="shared" si="2"/>
        <v>0</v>
      </c>
      <c r="P63" s="70">
        <f>$G$96-SUM($G$11:G63)</f>
        <v>0</v>
      </c>
      <c r="R63" s="68">
        <f t="shared" si="13"/>
        <v>1</v>
      </c>
      <c r="T63" s="83">
        <f ca="1">IF(ISNA(VLOOKUP($A63,Summary!$D$14:$AX$56,COLUMNS(Summary!$D$15:$AX$15),FALSE))=TRUE,0,VLOOKUP($A63,Summary!$D$14:$AX$56,COLUMNS(Summary!$D$15:$AX$15),FALSE))</f>
        <v>632914.75661202008</v>
      </c>
      <c r="U63" s="84">
        <f ca="1">IF(ISERROR(IF(ISNA(VLOOKUP($A63,Summary!$D$14:$AX$56,COLUMNS(Summary!$D$15:$AX$15),FALSE))=TRUE,0,VLOOKUP($A63,Summary!$D$14:$AX$56,COLUMNS(Summary!$D$15:$AX$15),FALSE))/O63),0,IF(ISNA(VLOOKUP($A63,Summary!$D$14:$AX$56,COLUMNS(Summary!$D$15:$AX$15),FALSE))=TRUE,0,VLOOKUP($A63,Summary!$D$14:$AX$56,COLUMNS(Summary!$D$15:$AX$15),FALSE))/O63)</f>
        <v>0</v>
      </c>
      <c r="V63" s="72">
        <f t="shared" si="27"/>
        <v>1.2</v>
      </c>
      <c r="X63" s="83">
        <f t="shared" si="25"/>
        <v>0</v>
      </c>
      <c r="Y63" s="83"/>
      <c r="Z63" s="83"/>
    </row>
    <row r="64" spans="1:26" x14ac:dyDescent="0.25">
      <c r="A64" s="67">
        <f t="shared" si="4"/>
        <v>56858</v>
      </c>
      <c r="B64" s="161">
        <f t="shared" si="23"/>
        <v>0</v>
      </c>
      <c r="C64" s="161">
        <f t="shared" si="12"/>
        <v>0</v>
      </c>
      <c r="D64" s="68">
        <f t="shared" si="5"/>
        <v>0</v>
      </c>
      <c r="E64" s="137"/>
      <c r="F64" s="66">
        <f t="shared" si="16"/>
        <v>0</v>
      </c>
      <c r="G64" s="66">
        <f>IF(REFUND_FINANCING="Yes",IF(OR(CAPI_TERM&gt;A64,MONTH(A64)&lt;&gt;PRIN_MATURITY,FIRST_PRIN&gt;A64),0,MAX(0,INT(((((VLOOKUP($A64,Summary!$D$14:$AX$56,COLUMNS(Summary!$D$15:$AX$15))+M64)/$V64-H65*2*R64)/(1+B64*R64)+IF($A64=SURPLUS_FUND_RELEASE_DATE_REFUNDING,IF(SURPLUS_RELEASE_SIZING="Yes",SURPLUS_FUND_DEPOSIT_REFUNDING,0),0)/(1+B64*R64)))/5000)*5000)),0)</f>
        <v>0</v>
      </c>
      <c r="H64" s="66">
        <f t="shared" si="6"/>
        <v>0</v>
      </c>
      <c r="I64" s="66">
        <f t="shared" si="7"/>
        <v>0</v>
      </c>
      <c r="J64" s="70">
        <f t="shared" si="26"/>
        <v>0</v>
      </c>
      <c r="K64" s="66">
        <f t="shared" si="9"/>
        <v>0</v>
      </c>
      <c r="L64" s="85">
        <f t="shared" si="24"/>
        <v>0</v>
      </c>
      <c r="M64" s="85">
        <f>IF(REFUND_FINANCING="No",0,IF($A64&lt;PREMIUM_CALL_FIRST,0,SURPLUS_FUND_DEPOSIT* INTEREST_EARN_RATE))</f>
        <v>0</v>
      </c>
      <c r="N64" s="66">
        <f t="shared" si="10"/>
        <v>0</v>
      </c>
      <c r="O64" s="70">
        <f t="shared" si="2"/>
        <v>0</v>
      </c>
      <c r="P64" s="70">
        <f>$G$96-SUM($G$11:G64)</f>
        <v>0</v>
      </c>
      <c r="R64" s="68">
        <f t="shared" si="13"/>
        <v>0</v>
      </c>
      <c r="T64" s="83">
        <f>IF(ISNA(VLOOKUP($A64,Summary!$D$14:$AX$56,COLUMNS(Summary!$D$15:$AX$15),FALSE))=TRUE,0,VLOOKUP($A64,Summary!$D$14:$AX$56,COLUMNS(Summary!$D$15:$AX$15),FALSE))</f>
        <v>0</v>
      </c>
      <c r="U64" s="84">
        <f>IF(ISERROR(IF(ISNA(VLOOKUP($A64,Summary!$D$14:$AX$56,COLUMNS(Summary!$D$15:$AX$15),FALSE))=TRUE,0,VLOOKUP($A64,Summary!$D$14:$AX$56,COLUMNS(Summary!$D$15:$AX$15),FALSE))/O64),0,IF(ISNA(VLOOKUP($A64,Summary!$D$14:$AX$56,COLUMNS(Summary!$D$15:$AX$15),FALSE))=TRUE,0,VLOOKUP($A64,Summary!$D$14:$AX$56,COLUMNS(Summary!$D$15:$AX$15),FALSE))/O64)</f>
        <v>0</v>
      </c>
      <c r="V64" s="72" t="str">
        <f t="shared" si="27"/>
        <v/>
      </c>
      <c r="X64" s="83">
        <f t="shared" si="25"/>
        <v>0</v>
      </c>
      <c r="Y64" s="83"/>
      <c r="Z64" s="83"/>
    </row>
    <row r="65" spans="1:26" x14ac:dyDescent="0.25">
      <c r="A65" s="67">
        <f t="shared" si="4"/>
        <v>57040</v>
      </c>
      <c r="B65" s="161">
        <f t="shared" si="23"/>
        <v>4.4999999999999998E-2</v>
      </c>
      <c r="C65" s="161">
        <f t="shared" si="12"/>
        <v>4.4999999999999998E-2</v>
      </c>
      <c r="D65" s="161">
        <f>IF(C65=0,0,TRUNC(IF(B65=C65,100,IF(A65&lt;=(EDATE(PAR_CALL_FIRST,10*12)),PRICE(DELIVERY_REFUNDING,A65,B65,C65,100,2,0),MIN(PRICE(DELIVERY_REFUNDING,A65,B65,C65,100,2,0),PRICE(DELIVERY_REFUNDING,(EDATE(PAR_CALL_FIRST,10*12)),B65,C65,100,2,0)))),3)/100)</f>
        <v>1</v>
      </c>
      <c r="E65" s="137"/>
      <c r="F65" s="66">
        <f t="shared" si="16"/>
        <v>0</v>
      </c>
      <c r="G65" s="66">
        <f>IF(REFUND_FINANCING="Yes",IF(OR(CAPI_TERM&gt;A65,MONTH(A65)&lt;&gt;PRIN_MATURITY,FIRST_PRIN&gt;A65),0,MAX(0,INT(((((VLOOKUP($A65,Summary!$D$14:$AX$56,COLUMNS(Summary!$D$15:$AX$15))+M65)/$V65-H66*2*R65)/(1+B65*R65)+IF($A65=SURPLUS_FUND_RELEASE_DATE_REFUNDING,IF(SURPLUS_RELEASE_SIZING="Yes",SURPLUS_FUND_DEPOSIT_REFUNDING,0),0)/(1+B65*R65)))/5000)*5000)),0)</f>
        <v>0</v>
      </c>
      <c r="H65" s="66">
        <f t="shared" si="6"/>
        <v>0</v>
      </c>
      <c r="I65" s="66">
        <f t="shared" si="7"/>
        <v>0</v>
      </c>
      <c r="J65" s="70">
        <f t="shared" si="26"/>
        <v>0</v>
      </c>
      <c r="K65" s="66">
        <f t="shared" si="9"/>
        <v>0</v>
      </c>
      <c r="L65" s="85">
        <f t="shared" si="24"/>
        <v>0</v>
      </c>
      <c r="M65" s="85"/>
      <c r="N65" s="66">
        <f t="shared" si="10"/>
        <v>0</v>
      </c>
      <c r="O65" s="70">
        <f t="shared" si="2"/>
        <v>0</v>
      </c>
      <c r="P65" s="70">
        <f>$G$96-SUM($G$11:G65)</f>
        <v>0</v>
      </c>
      <c r="R65" s="68">
        <f t="shared" si="13"/>
        <v>1</v>
      </c>
      <c r="T65" s="83">
        <f ca="1">IF(ISNA(VLOOKUP($A65,Summary!$D$14:$AX$56,COLUMNS(Summary!$D$15:$AX$15),FALSE))=TRUE,0,VLOOKUP($A65,Summary!$D$14:$AX$56,COLUMNS(Summary!$D$15:$AX$15),FALSE))</f>
        <v>638360.11673434428</v>
      </c>
      <c r="U65" s="84">
        <f ca="1">IF(ISERROR(IF(ISNA(VLOOKUP($A65,Summary!$D$14:$AX$56,COLUMNS(Summary!$D$15:$AX$15),FALSE))=TRUE,0,VLOOKUP($A65,Summary!$D$14:$AX$56,COLUMNS(Summary!$D$15:$AX$15),FALSE))/O65),0,IF(ISNA(VLOOKUP($A65,Summary!$D$14:$AX$56,COLUMNS(Summary!$D$15:$AX$15),FALSE))=TRUE,0,VLOOKUP($A65,Summary!$D$14:$AX$56,COLUMNS(Summary!$D$15:$AX$15),FALSE))/O65)</f>
        <v>0</v>
      </c>
      <c r="V65" s="72">
        <f t="shared" si="27"/>
        <v>1.2</v>
      </c>
      <c r="X65" s="83">
        <f t="shared" si="25"/>
        <v>0</v>
      </c>
      <c r="Y65" s="83"/>
      <c r="Z65" s="83"/>
    </row>
    <row r="66" spans="1:26" x14ac:dyDescent="0.25">
      <c r="A66" s="67">
        <f t="shared" si="4"/>
        <v>57224</v>
      </c>
      <c r="B66" s="161">
        <f t="shared" si="23"/>
        <v>0</v>
      </c>
      <c r="C66" s="161">
        <f t="shared" si="12"/>
        <v>0</v>
      </c>
      <c r="D66" s="68">
        <f t="shared" si="5"/>
        <v>0</v>
      </c>
      <c r="E66" s="137"/>
      <c r="F66" s="66">
        <f t="shared" si="16"/>
        <v>0</v>
      </c>
      <c r="G66" s="66">
        <f>IF(REFUND_FINANCING="Yes",IF(OR(CAPI_TERM&gt;A66,MONTH(A66)&lt;&gt;PRIN_MATURITY,FIRST_PRIN&gt;A66),0,MAX(0,INT(((((VLOOKUP($A66,Summary!$D$14:$AX$56,COLUMNS(Summary!$D$15:$AX$15))+M66)/$V66-H67*2*R66)/(1+B66*R66)+IF($A66=SURPLUS_FUND_RELEASE_DATE_REFUNDING,IF(SURPLUS_RELEASE_SIZING="Yes",SURPLUS_FUND_DEPOSIT_REFUNDING,0),0)/(1+B66*R66)))/5000)*5000)),0)</f>
        <v>0</v>
      </c>
      <c r="H66" s="66">
        <f t="shared" si="6"/>
        <v>0</v>
      </c>
      <c r="I66" s="66">
        <f t="shared" si="7"/>
        <v>0</v>
      </c>
      <c r="J66" s="70">
        <f t="shared" si="26"/>
        <v>0</v>
      </c>
      <c r="K66" s="66">
        <f t="shared" si="9"/>
        <v>0</v>
      </c>
      <c r="L66" s="85">
        <f t="shared" si="24"/>
        <v>0</v>
      </c>
      <c r="M66" s="85">
        <f>IF(REFUND_FINANCING="No",0,IF($A66&lt;PREMIUM_CALL_FIRST,0,SURPLUS_FUND_DEPOSIT* INTEREST_EARN_RATE))</f>
        <v>0</v>
      </c>
      <c r="N66" s="66">
        <f t="shared" si="10"/>
        <v>0</v>
      </c>
      <c r="O66" s="70">
        <f t="shared" si="2"/>
        <v>0</v>
      </c>
      <c r="P66" s="70">
        <f>$G$96-SUM($G$11:G66)</f>
        <v>0</v>
      </c>
      <c r="R66" s="68">
        <f t="shared" si="13"/>
        <v>0</v>
      </c>
      <c r="T66" s="83">
        <f>IF(ISNA(VLOOKUP($A66,Summary!$D$14:$AX$56,COLUMNS(Summary!$D$15:$AX$15),FALSE))=TRUE,0,VLOOKUP($A66,Summary!$D$14:$AX$56,COLUMNS(Summary!$D$15:$AX$15),FALSE))</f>
        <v>0</v>
      </c>
      <c r="U66" s="84">
        <f>IF(ISERROR(IF(ISNA(VLOOKUP($A66,Summary!$D$14:$AX$56,COLUMNS(Summary!$D$15:$AX$15),FALSE))=TRUE,0,VLOOKUP($A66,Summary!$D$14:$AX$56,COLUMNS(Summary!$D$15:$AX$15),FALSE))/O66),0,IF(ISNA(VLOOKUP($A66,Summary!$D$14:$AX$56,COLUMNS(Summary!$D$15:$AX$15),FALSE))=TRUE,0,VLOOKUP($A66,Summary!$D$14:$AX$56,COLUMNS(Summary!$D$15:$AX$15),FALSE))/O66)</f>
        <v>0</v>
      </c>
      <c r="V66" s="72" t="str">
        <f t="shared" si="27"/>
        <v/>
      </c>
      <c r="X66" s="83">
        <f t="shared" si="25"/>
        <v>0</v>
      </c>
      <c r="Y66" s="83"/>
      <c r="Z66" s="83"/>
    </row>
    <row r="67" spans="1:26" x14ac:dyDescent="0.25">
      <c r="A67" s="67">
        <f t="shared" si="4"/>
        <v>57405</v>
      </c>
      <c r="B67" s="161">
        <f t="shared" si="23"/>
        <v>4.4999999999999998E-2</v>
      </c>
      <c r="C67" s="161">
        <f t="shared" si="12"/>
        <v>4.4999999999999998E-2</v>
      </c>
      <c r="D67" s="68">
        <f t="shared" si="5"/>
        <v>0</v>
      </c>
      <c r="E67" s="137"/>
      <c r="F67" s="66">
        <f t="shared" si="16"/>
        <v>0</v>
      </c>
      <c r="G67" s="66">
        <f>IF(REFUND_FINANCING="Yes",IF(OR(CAPI_TERM&gt;A67,MONTH(A67)&lt;&gt;PRIN_MATURITY,FIRST_PRIN&gt;A67),0,MAX(0,INT(((((VLOOKUP($A67,Summary!$D$14:$AX$56,COLUMNS(Summary!$D$15:$AX$15))+M67)/$V67-H68*2*R67)/(1+B67*R67)+IF($A67=SURPLUS_FUND_RELEASE_DATE_REFUNDING,IF(SURPLUS_RELEASE_SIZING="Yes",SURPLUS_FUND_DEPOSIT_REFUNDING,0),0)/(1+B67*R67)))/5000)*5000)),0)</f>
        <v>0</v>
      </c>
      <c r="H67" s="66">
        <f t="shared" si="6"/>
        <v>0</v>
      </c>
      <c r="I67" s="66">
        <f t="shared" si="7"/>
        <v>0</v>
      </c>
      <c r="J67" s="70">
        <f t="shared" si="26"/>
        <v>0</v>
      </c>
      <c r="K67" s="66">
        <f t="shared" si="9"/>
        <v>0</v>
      </c>
      <c r="L67" s="85">
        <f t="shared" si="24"/>
        <v>0</v>
      </c>
      <c r="M67" s="85"/>
      <c r="N67" s="66">
        <f t="shared" si="10"/>
        <v>0</v>
      </c>
      <c r="O67" s="70">
        <f t="shared" si="2"/>
        <v>0</v>
      </c>
      <c r="P67" s="70">
        <f>$G$96-SUM($G$11:G67)</f>
        <v>0</v>
      </c>
      <c r="R67" s="68">
        <f t="shared" si="13"/>
        <v>1</v>
      </c>
      <c r="T67" s="83">
        <f ca="1">IF(ISNA(VLOOKUP($A67,Summary!$D$14:$AX$56,COLUMNS(Summary!$D$15:$AX$15),FALSE))=TRUE,0,VLOOKUP($A67,Summary!$D$14:$AX$56,COLUMNS(Summary!$D$15:$AX$15),FALSE))</f>
        <v>643841.45470901614</v>
      </c>
      <c r="U67" s="84">
        <f ca="1">IF(ISERROR(IF(ISNA(VLOOKUP($A67,Summary!$D$14:$AX$56,COLUMNS(Summary!$D$15:$AX$15),FALSE))=TRUE,0,VLOOKUP($A67,Summary!$D$14:$AX$56,COLUMNS(Summary!$D$15:$AX$15),FALSE))/O67),0,IF(ISNA(VLOOKUP($A67,Summary!$D$14:$AX$56,COLUMNS(Summary!$D$15:$AX$15),FALSE))=TRUE,0,VLOOKUP($A67,Summary!$D$14:$AX$56,COLUMNS(Summary!$D$15:$AX$15),FALSE))/O67)</f>
        <v>0</v>
      </c>
      <c r="V67" s="72">
        <f t="shared" si="27"/>
        <v>1.2</v>
      </c>
      <c r="X67" s="83">
        <f t="shared" si="25"/>
        <v>0</v>
      </c>
      <c r="Y67" s="83"/>
      <c r="Z67" s="83"/>
    </row>
    <row r="68" spans="1:26" x14ac:dyDescent="0.25">
      <c r="A68" s="67">
        <f t="shared" si="4"/>
        <v>57589</v>
      </c>
      <c r="B68" s="161">
        <f t="shared" si="23"/>
        <v>0</v>
      </c>
      <c r="C68" s="161">
        <f t="shared" si="12"/>
        <v>0</v>
      </c>
      <c r="D68" s="161">
        <f>IF(C68=0,0,TRUNC(IF(B68=C68,100,IF(A68&lt;=(EDATE(PAR_CALL_FIRST,10*12)),PRICE(DELIVERY_REFUNDING,A68,B68,C68,100,2,0),MIN(PRICE(DELIVERY_REFUNDING,A68,B68,C68,100,2,0),PRICE(DELIVERY_REFUNDING,(EDATE(PAR_CALL_FIRST,10*12)),B68,C68,100,2,0)))),3)/100)</f>
        <v>0</v>
      </c>
      <c r="E68" s="137"/>
      <c r="F68" s="66">
        <f t="shared" si="16"/>
        <v>0</v>
      </c>
      <c r="G68" s="66">
        <f>IF(REFUND_FINANCING="Yes",IF(OR(CAPI_TERM&gt;A68,MONTH(A68)&lt;&gt;PRIN_MATURITY,FIRST_PRIN&gt;A68),0,MAX(0,INT(((((VLOOKUP($A68,Summary!$D$14:$AX$56,COLUMNS(Summary!$D$15:$AX$15))+M68)/$V68-H69*2*R68)/(1+B68*R68)+IF($A68=SURPLUS_FUND_RELEASE_DATE_REFUNDING,IF(SURPLUS_RELEASE_SIZING="Yes",SURPLUS_FUND_DEPOSIT_REFUNDING,0),0)/(1+B68*R68)))/5000)*5000)),0)</f>
        <v>0</v>
      </c>
      <c r="H68" s="66">
        <f t="shared" si="6"/>
        <v>0</v>
      </c>
      <c r="I68" s="66">
        <f t="shared" si="7"/>
        <v>0</v>
      </c>
      <c r="J68" s="70">
        <f t="shared" si="26"/>
        <v>0</v>
      </c>
      <c r="K68" s="66">
        <f t="shared" si="9"/>
        <v>0</v>
      </c>
      <c r="L68" s="85">
        <f t="shared" si="24"/>
        <v>0</v>
      </c>
      <c r="M68" s="85">
        <f>IF(REFUND_FINANCING="No",0,IF($A68&lt;PREMIUM_CALL_FIRST,0,SURPLUS_FUND_DEPOSIT* INTEREST_EARN_RATE))</f>
        <v>0</v>
      </c>
      <c r="N68" s="66">
        <f t="shared" si="10"/>
        <v>0</v>
      </c>
      <c r="O68" s="70">
        <f t="shared" si="2"/>
        <v>0</v>
      </c>
      <c r="P68" s="70">
        <f>$G$96-SUM($G$11:G68)</f>
        <v>0</v>
      </c>
      <c r="R68" s="68">
        <f t="shared" si="13"/>
        <v>0</v>
      </c>
      <c r="T68" s="83">
        <f>IF(ISNA(VLOOKUP($A68,Summary!$D$14:$AX$56,COLUMNS(Summary!$D$15:$AX$15),FALSE))=TRUE,0,VLOOKUP($A68,Summary!$D$14:$AX$56,COLUMNS(Summary!$D$15:$AX$15),FALSE))</f>
        <v>0</v>
      </c>
      <c r="U68" s="84">
        <f>IF(ISERROR(IF(ISNA(VLOOKUP($A68,Summary!$D$14:$AX$56,COLUMNS(Summary!$D$15:$AX$15),FALSE))=TRUE,0,VLOOKUP($A68,Summary!$D$14:$AX$56,COLUMNS(Summary!$D$15:$AX$15),FALSE))/O68),0,IF(ISNA(VLOOKUP($A68,Summary!$D$14:$AX$56,COLUMNS(Summary!$D$15:$AX$15),FALSE))=TRUE,0,VLOOKUP($A68,Summary!$D$14:$AX$56,COLUMNS(Summary!$D$15:$AX$15),FALSE))/O68)</f>
        <v>0</v>
      </c>
      <c r="V68" s="72" t="str">
        <f t="shared" si="27"/>
        <v/>
      </c>
      <c r="X68" s="83">
        <f t="shared" si="25"/>
        <v>0</v>
      </c>
      <c r="Y68" s="83"/>
      <c r="Z68" s="83"/>
    </row>
    <row r="69" spans="1:26" x14ac:dyDescent="0.25">
      <c r="A69" s="67">
        <f t="shared" si="4"/>
        <v>57770</v>
      </c>
      <c r="B69" s="161">
        <f t="shared" si="23"/>
        <v>4.4999999999999998E-2</v>
      </c>
      <c r="C69" s="161">
        <f t="shared" si="12"/>
        <v>4.4999999999999998E-2</v>
      </c>
      <c r="D69" s="68">
        <f t="shared" si="5"/>
        <v>0</v>
      </c>
      <c r="E69" s="137"/>
      <c r="F69" s="66">
        <f t="shared" si="16"/>
        <v>0</v>
      </c>
      <c r="G69" s="66">
        <f>IF(REFUND_FINANCING="Yes",IF(OR(CAPI_TERM&gt;A69,MONTH(A69)&lt;&gt;PRIN_MATURITY,FIRST_PRIN&gt;A69),0,MAX(0,INT(((((VLOOKUP($A69,Summary!$D$14:$AX$56,COLUMNS(Summary!$D$15:$AX$15))+M69)/$V69-H70*2*R69)/(1+B69*R69)+IF($A69=SURPLUS_FUND_RELEASE_DATE_REFUNDING,IF(SURPLUS_RELEASE_SIZING="Yes",SURPLUS_FUND_DEPOSIT_REFUNDING,0),0)/(1+B69*R69)))/5000)*5000)),0)</f>
        <v>0</v>
      </c>
      <c r="H69" s="66">
        <f t="shared" si="6"/>
        <v>0</v>
      </c>
      <c r="I69" s="66">
        <f t="shared" si="7"/>
        <v>0</v>
      </c>
      <c r="J69" s="70">
        <f t="shared" si="26"/>
        <v>0</v>
      </c>
      <c r="K69" s="66">
        <f t="shared" si="9"/>
        <v>0</v>
      </c>
      <c r="L69" s="85">
        <f t="shared" si="24"/>
        <v>0</v>
      </c>
      <c r="M69" s="85"/>
      <c r="N69" s="66">
        <f t="shared" si="10"/>
        <v>0</v>
      </c>
      <c r="O69" s="70">
        <f t="shared" si="2"/>
        <v>0</v>
      </c>
      <c r="P69" s="70">
        <f>$G$96-SUM($G$11:G69)</f>
        <v>0</v>
      </c>
      <c r="R69" s="68">
        <f t="shared" si="13"/>
        <v>1</v>
      </c>
      <c r="T69" s="83">
        <f ca="1">IF(ISNA(VLOOKUP($A69,Summary!$D$14:$AX$56,COLUMNS(Summary!$D$15:$AX$15),FALSE))=TRUE,0,VLOOKUP($A69,Summary!$D$14:$AX$56,COLUMNS(Summary!$D$15:$AX$15),FALSE))</f>
        <v>649358.76079958107</v>
      </c>
      <c r="U69" s="84">
        <f ca="1">IF(ISERROR(IF(ISNA(VLOOKUP($A69,Summary!$D$14:$AX$56,COLUMNS(Summary!$D$15:$AX$15),FALSE))=TRUE,0,VLOOKUP($A69,Summary!$D$14:$AX$56,COLUMNS(Summary!$D$15:$AX$15),FALSE))/O69),0,IF(ISNA(VLOOKUP($A69,Summary!$D$14:$AX$56,COLUMNS(Summary!$D$15:$AX$15),FALSE))=TRUE,0,VLOOKUP($A69,Summary!$D$14:$AX$56,COLUMNS(Summary!$D$15:$AX$15),FALSE))/O69)</f>
        <v>0</v>
      </c>
      <c r="V69" s="72">
        <f t="shared" si="27"/>
        <v>1.2</v>
      </c>
      <c r="X69" s="83">
        <f t="shared" si="25"/>
        <v>0</v>
      </c>
      <c r="Y69" s="83"/>
      <c r="Z69" s="83"/>
    </row>
    <row r="70" spans="1:26" x14ac:dyDescent="0.25">
      <c r="A70" s="67">
        <f t="shared" si="4"/>
        <v>0</v>
      </c>
      <c r="B70" s="161">
        <f t="shared" si="23"/>
        <v>0</v>
      </c>
      <c r="C70" s="161">
        <f t="shared" si="12"/>
        <v>0</v>
      </c>
      <c r="D70" s="161">
        <f>IF(C70=0,0,TRUNC(IF(B70=C70,100,IF(A70&lt;=(EDATE(PAR_CALL_FIRST,10*12)),PRICE(DELIVERY_REFUNDING,A70,B70,C70,100,2,0),MIN(PRICE(DELIVERY_REFUNDING,A70,B70,C70,100,2,0),PRICE(DELIVERY_REFUNDING,(EDATE(PAR_CALL_FIRST,10*12)),B70,C70,100,2,0)))),3)/100)</f>
        <v>0</v>
      </c>
      <c r="E70" s="137" t="s">
        <v>182</v>
      </c>
      <c r="F70" s="66">
        <f t="shared" si="16"/>
        <v>0</v>
      </c>
      <c r="G70" s="66">
        <f>IF(REFUND_FINANCING="Yes",IF(OR(CAPI_TERM&gt;A70,MONTH(A70)&lt;&gt;PRIN_MATURITY,FIRST_PRIN&gt;A70),0,MAX(0,INT(((((VLOOKUP($A70,Summary!$D$14:$AX$56,COLUMNS(Summary!$D$15:$AX$15))+M70)/$V70-H71*2*R70)/(1+B70*R70)+IF($A70=SURPLUS_FUND_RELEASE_DATE_REFUNDING,IF(SURPLUS_RELEASE_SIZING="Yes",SURPLUS_FUND_DEPOSIT_REFUNDING,0),0)/(1+B70*R70)))/5000)*5000)),0)</f>
        <v>0</v>
      </c>
      <c r="H70" s="66">
        <f t="shared" si="6"/>
        <v>0</v>
      </c>
      <c r="I70" s="66">
        <f t="shared" si="7"/>
        <v>0</v>
      </c>
      <c r="J70" s="70">
        <f t="shared" si="26"/>
        <v>0</v>
      </c>
      <c r="K70" s="66">
        <f t="shared" si="9"/>
        <v>0</v>
      </c>
      <c r="L70" s="85">
        <f t="shared" si="24"/>
        <v>0</v>
      </c>
      <c r="M70" s="85">
        <f>IF(REFUND_FINANCING="No",0,IF($A70&lt;PREMIUM_CALL_FIRST,0,SURPLUS_FUND_DEPOSIT* INTEREST_EARN_RATE))</f>
        <v>0</v>
      </c>
      <c r="N70" s="66">
        <f t="shared" si="10"/>
        <v>0</v>
      </c>
      <c r="O70" s="70">
        <f t="shared" si="2"/>
        <v>0</v>
      </c>
      <c r="P70" s="70">
        <f>$G$96-SUM($G$11:G70)</f>
        <v>0</v>
      </c>
      <c r="R70" s="68">
        <f t="shared" si="13"/>
        <v>0</v>
      </c>
      <c r="T70" s="83">
        <f>IF(ISNA(VLOOKUP($A70,Summary!$D$14:$AX$56,COLUMNS(Summary!$D$15:$AX$15),FALSE))=TRUE,0,VLOOKUP($A70,Summary!$D$14:$AX$56,COLUMNS(Summary!$D$15:$AX$15),FALSE))</f>
        <v>0</v>
      </c>
      <c r="U70" s="84">
        <f>IF(ISERROR(IF(ISNA(VLOOKUP($A70,Summary!$D$14:$AX$56,COLUMNS(Summary!$D$15:$AX$15),FALSE))=TRUE,0,VLOOKUP($A70,Summary!$D$14:$AX$56,COLUMNS(Summary!$D$15:$AX$15),FALSE))/O70),0,IF(ISNA(VLOOKUP($A70,Summary!$D$14:$AX$56,COLUMNS(Summary!$D$15:$AX$15),FALSE))=TRUE,0,VLOOKUP($A70,Summary!$D$14:$AX$56,COLUMNS(Summary!$D$15:$AX$15),FALSE))/O70)</f>
        <v>0</v>
      </c>
      <c r="V70" s="72" t="str">
        <f t="shared" si="27"/>
        <v/>
      </c>
      <c r="X70" s="83">
        <f t="shared" si="25"/>
        <v>0</v>
      </c>
      <c r="Y70" s="83"/>
      <c r="Z70" s="83"/>
    </row>
    <row r="71" spans="1:26" hidden="1" outlineLevel="1" x14ac:dyDescent="0.25">
      <c r="A71" s="67">
        <f t="shared" si="4"/>
        <v>0</v>
      </c>
      <c r="B71" s="161">
        <f t="shared" si="23"/>
        <v>0</v>
      </c>
      <c r="C71" s="161">
        <f t="shared" si="12"/>
        <v>0</v>
      </c>
      <c r="D71" s="68">
        <f t="shared" si="5"/>
        <v>0</v>
      </c>
      <c r="E71" s="137"/>
      <c r="F71" s="66">
        <f t="shared" si="16"/>
        <v>0</v>
      </c>
      <c r="G71" s="66">
        <f>IF(REFUND_FINANCING="Yes",IF(OR(CAPI_TERM&gt;A71,MONTH(A71)&lt;&gt;PRIN_MATURITY,FIRST_PRIN&gt;A71),0,MAX(0,INT(((((VLOOKUP($A71,Summary!$D$14:$AX$56,COLUMNS(Summary!$D$15:$AX$15))+M71)/$V71-H72*2*R71)/(1+B71*R71)+IF($A71=SURPLUS_FUND_RELEASE_DATE_REFUNDING,IF(SURPLUS_RELEASE_SIZING="Yes",SURPLUS_FUND_DEPOSIT_REFUNDING,0),0)/(1+B71*R71)))/5000)*5000)),0)</f>
        <v>0</v>
      </c>
      <c r="H71" s="66">
        <f t="shared" si="6"/>
        <v>0</v>
      </c>
      <c r="I71" s="66">
        <f t="shared" si="7"/>
        <v>0</v>
      </c>
      <c r="J71" s="70">
        <f t="shared" si="26"/>
        <v>0</v>
      </c>
      <c r="K71" s="66">
        <f t="shared" si="9"/>
        <v>0</v>
      </c>
      <c r="L71" s="85">
        <f t="shared" si="24"/>
        <v>0</v>
      </c>
      <c r="M71" s="85"/>
      <c r="N71" s="66">
        <f t="shared" si="10"/>
        <v>0</v>
      </c>
      <c r="O71" s="70">
        <f t="shared" si="2"/>
        <v>0</v>
      </c>
      <c r="P71" s="70">
        <f>$G$96-SUM($G$11:G71)</f>
        <v>0</v>
      </c>
      <c r="R71" s="68">
        <f t="shared" si="13"/>
        <v>0</v>
      </c>
      <c r="T71" s="83">
        <f>IF(ISNA(VLOOKUP($A71,Summary!$D$14:$AX$56,COLUMNS(Summary!$D$15:$AX$15),FALSE))=TRUE,0,VLOOKUP($A71,Summary!$D$14:$AX$56,COLUMNS(Summary!$D$15:$AX$15),FALSE))</f>
        <v>0</v>
      </c>
      <c r="U71" s="84">
        <f>IF(ISERROR(IF(ISNA(VLOOKUP($A71,Summary!$D$14:$AX$56,COLUMNS(Summary!$D$15:$AX$15),FALSE))=TRUE,0,VLOOKUP($A71,Summary!$D$14:$AX$56,COLUMNS(Summary!$D$15:$AX$15),FALSE))/O71),0,IF(ISNA(VLOOKUP($A71,Summary!$D$14:$AX$56,COLUMNS(Summary!$D$15:$AX$15),FALSE))=TRUE,0,VLOOKUP($A71,Summary!$D$14:$AX$56,COLUMNS(Summary!$D$15:$AX$15),FALSE))/O71)</f>
        <v>0</v>
      </c>
      <c r="V71" s="72" t="str">
        <f t="shared" si="27"/>
        <v/>
      </c>
      <c r="X71" s="83">
        <f t="shared" si="25"/>
        <v>0</v>
      </c>
      <c r="Y71" s="83"/>
      <c r="Z71" s="83"/>
    </row>
    <row r="72" spans="1:26" hidden="1" outlineLevel="1" x14ac:dyDescent="0.25">
      <c r="A72" s="67">
        <f t="shared" si="4"/>
        <v>0</v>
      </c>
      <c r="B72" s="161">
        <f t="shared" si="23"/>
        <v>0</v>
      </c>
      <c r="C72" s="161">
        <f t="shared" si="12"/>
        <v>0</v>
      </c>
      <c r="D72" s="161">
        <f>IF(C72=0,0,TRUNC(IF(B72=C72,100,IF(A72&lt;=(EDATE(PAR_CALL_FIRST,10*12)),PRICE(DELIVERY_REFUNDING,A72,B72,C72,100,2,0),MIN(PRICE(DELIVERY_REFUNDING,A72,B72,C72,100,2,0),PRICE(DELIVERY_REFUNDING,(EDATE(PAR_CALL_FIRST,10*12)),B72,C72,100,2,0)))),3)/100)</f>
        <v>0</v>
      </c>
      <c r="E72" s="137"/>
      <c r="F72" s="66">
        <f t="shared" si="16"/>
        <v>0</v>
      </c>
      <c r="G72" s="66">
        <f>IF(REFUND_FINANCING="Yes",IF(OR(CAPI_TERM&gt;A72,MONTH(A72)&lt;&gt;PRIN_MATURITY,FIRST_PRIN&gt;A72),0,MAX(0,INT(((((VLOOKUP($A72,Summary!$D$14:$AX$56,COLUMNS(Summary!$D$15:$AX$15))+M72)/$V72-H73*2*R72)/(1+B72*R72)+IF($A72=SURPLUS_FUND_RELEASE_DATE_REFUNDING,IF(SURPLUS_RELEASE_SIZING="Yes",SURPLUS_FUND_DEPOSIT_REFUNDING,0),0)/(1+B72*R72)))/5000)*5000)),0)</f>
        <v>0</v>
      </c>
      <c r="H72" s="66">
        <f t="shared" si="6"/>
        <v>0</v>
      </c>
      <c r="I72" s="66">
        <f t="shared" si="7"/>
        <v>0</v>
      </c>
      <c r="J72" s="70">
        <f t="shared" si="26"/>
        <v>0</v>
      </c>
      <c r="K72" s="66">
        <f t="shared" si="9"/>
        <v>0</v>
      </c>
      <c r="L72" s="85">
        <f t="shared" si="24"/>
        <v>0</v>
      </c>
      <c r="M72" s="85">
        <f>IF($A72&lt;PREMIUM_CALL_FIRST,0,SURPLUS_FUND_DEPOSIT* INTEREST_EARN_RATE)</f>
        <v>0</v>
      </c>
      <c r="N72" s="66">
        <f t="shared" si="10"/>
        <v>0</v>
      </c>
      <c r="O72" s="70">
        <f t="shared" si="2"/>
        <v>0</v>
      </c>
      <c r="P72" s="70">
        <f>$G$96-SUM($G$11:G72)</f>
        <v>0</v>
      </c>
      <c r="R72" s="68">
        <f t="shared" si="13"/>
        <v>0</v>
      </c>
      <c r="T72" s="83">
        <f>IF(ISNA(VLOOKUP($A72,Summary!$D$14:$AX$56,COLUMNS(Summary!$D$15:$AX$15),FALSE))=TRUE,0,VLOOKUP($A72,Summary!$D$14:$AX$56,COLUMNS(Summary!$D$15:$AX$15),FALSE))</f>
        <v>0</v>
      </c>
      <c r="U72" s="84">
        <f>IF(ISERROR(IF(ISNA(VLOOKUP($A72,Summary!$D$14:$AX$56,COLUMNS(Summary!$D$15:$AX$15),FALSE))=TRUE,0,VLOOKUP($A72,Summary!$D$14:$AX$56,COLUMNS(Summary!$D$15:$AX$15),FALSE))/O72),0,IF(ISNA(VLOOKUP($A72,Summary!$D$14:$AX$56,COLUMNS(Summary!$D$15:$AX$15),FALSE))=TRUE,0,VLOOKUP($A72,Summary!$D$14:$AX$56,COLUMNS(Summary!$D$15:$AX$15),FALSE))/O72)</f>
        <v>0</v>
      </c>
      <c r="V72" s="72" t="str">
        <f t="shared" si="27"/>
        <v/>
      </c>
      <c r="X72" s="83">
        <f t="shared" si="25"/>
        <v>0</v>
      </c>
      <c r="Y72" s="83"/>
      <c r="Z72" s="83"/>
    </row>
    <row r="73" spans="1:26" hidden="1" outlineLevel="1" x14ac:dyDescent="0.25">
      <c r="A73" s="67">
        <f t="shared" si="4"/>
        <v>0</v>
      </c>
      <c r="B73" s="161">
        <f t="shared" si="23"/>
        <v>0</v>
      </c>
      <c r="C73" s="161">
        <f t="shared" si="12"/>
        <v>0</v>
      </c>
      <c r="D73" s="68">
        <f t="shared" si="5"/>
        <v>0</v>
      </c>
      <c r="E73" s="137"/>
      <c r="F73" s="66">
        <f t="shared" si="16"/>
        <v>0</v>
      </c>
      <c r="G73" s="66">
        <f>IF(REFUND_FINANCING="Yes",IF(OR(CAPI_TERM&gt;A73,MONTH(A73)&lt;&gt;PRIN_MATURITY,FIRST_PRIN&gt;A73),0,MAX(0,INT(((((VLOOKUP($A73,Summary!$D$14:$AX$56,COLUMNS(Summary!$D$15:$AX$15))+M73)/$V73-H74*2*R73)/(1+B73*R73)+IF($A73=SURPLUS_FUND_RELEASE_DATE_REFUNDING,IF(SURPLUS_RELEASE_SIZING="Yes",SURPLUS_FUND_DEPOSIT_REFUNDING,0),0)/(1+B73*R73)))/5000)*5000)),0)</f>
        <v>0</v>
      </c>
      <c r="H73" s="66">
        <f t="shared" si="6"/>
        <v>0</v>
      </c>
      <c r="I73" s="66">
        <f t="shared" si="7"/>
        <v>0</v>
      </c>
      <c r="J73" s="70">
        <f t="shared" si="26"/>
        <v>0</v>
      </c>
      <c r="K73" s="66">
        <f t="shared" si="9"/>
        <v>0</v>
      </c>
      <c r="L73" s="85">
        <f t="shared" si="24"/>
        <v>0</v>
      </c>
      <c r="M73" s="85"/>
      <c r="N73" s="66">
        <f t="shared" si="10"/>
        <v>0</v>
      </c>
      <c r="O73" s="70">
        <f t="shared" si="2"/>
        <v>0</v>
      </c>
      <c r="P73" s="70">
        <f>$G$96-SUM($G$11:G73)</f>
        <v>0</v>
      </c>
      <c r="R73" s="68">
        <f t="shared" si="13"/>
        <v>0</v>
      </c>
      <c r="T73" s="83">
        <f>IF(ISNA(VLOOKUP($A73,Summary!$D$14:$AX$56,COLUMNS(Summary!$D$15:$AX$15),FALSE))=TRUE,0,VLOOKUP($A73,Summary!$D$14:$AX$56,COLUMNS(Summary!$D$15:$AX$15),FALSE))</f>
        <v>0</v>
      </c>
      <c r="U73" s="84">
        <f>IF(ISERROR(IF(ISNA(VLOOKUP($A73,Summary!$D$14:$AX$56,COLUMNS(Summary!$D$15:$AX$15),FALSE))=TRUE,0,VLOOKUP($A73,Summary!$D$14:$AX$56,COLUMNS(Summary!$D$15:$AX$15),FALSE))/O73),0,IF(ISNA(VLOOKUP($A73,Summary!$D$14:$AX$56,COLUMNS(Summary!$D$15:$AX$15),FALSE))=TRUE,0,VLOOKUP($A73,Summary!$D$14:$AX$56,COLUMNS(Summary!$D$15:$AX$15),FALSE))/O73)</f>
        <v>0</v>
      </c>
      <c r="V73" s="72" t="str">
        <f t="shared" si="27"/>
        <v/>
      </c>
      <c r="X73" s="83">
        <f t="shared" si="25"/>
        <v>0</v>
      </c>
      <c r="Y73" s="83"/>
      <c r="Z73" s="83"/>
    </row>
    <row r="74" spans="1:26" hidden="1" outlineLevel="1" x14ac:dyDescent="0.25">
      <c r="A74" s="67">
        <f t="shared" si="4"/>
        <v>0</v>
      </c>
      <c r="B74" s="161">
        <f t="shared" si="23"/>
        <v>0</v>
      </c>
      <c r="C74" s="161">
        <f t="shared" si="12"/>
        <v>0</v>
      </c>
      <c r="D74" s="161">
        <f>IF(C74=0,0,TRUNC(IF(B74=C74,100,IF(A74&lt;=(EDATE(PAR_CALL_FIRST,10*12)),PRICE(DELIVERY_REFUNDING,A74,B74,C74,100,2,0),MIN(PRICE(DELIVERY_REFUNDING,A74,B74,C74,100,2,0),PRICE(DELIVERY_REFUNDING,(EDATE(PAR_CALL_FIRST,10*12)),B74,C74,100,2,0)))),3)/100)</f>
        <v>0</v>
      </c>
      <c r="E74" s="137"/>
      <c r="F74" s="66">
        <f t="shared" si="16"/>
        <v>0</v>
      </c>
      <c r="G74" s="66">
        <f>IF(REFUND_FINANCING="Yes",IF(OR(CAPI_TERM&gt;A74,MONTH(A74)&lt;&gt;PRIN_MATURITY,FIRST_PRIN&gt;A74),0,MAX(0,INT(((((VLOOKUP($A74,Summary!$D$14:$AX$56,COLUMNS(Summary!$D$15:$AX$15))+M74)/$V74-H75*2*R74)/(1+B74*R74)+IF($A74=SURPLUS_FUND_RELEASE_DATE_REFUNDING,IF(SURPLUS_RELEASE_SIZING="Yes",SURPLUS_FUND_DEPOSIT_REFUNDING,0),0)/(1+B74*R74)))/5000)*5000)),0)</f>
        <v>0</v>
      </c>
      <c r="H74" s="66">
        <f t="shared" si="6"/>
        <v>0</v>
      </c>
      <c r="I74" s="66">
        <f t="shared" si="7"/>
        <v>0</v>
      </c>
      <c r="J74" s="70">
        <f t="shared" si="26"/>
        <v>0</v>
      </c>
      <c r="K74" s="66">
        <f t="shared" si="9"/>
        <v>0</v>
      </c>
      <c r="L74" s="85">
        <f t="shared" si="24"/>
        <v>0</v>
      </c>
      <c r="M74" s="85">
        <f>IF($A74&lt;PREMIUM_CALL_FIRST,0,SURPLUS_FUND_DEPOSIT* INTEREST_EARN_RATE)</f>
        <v>0</v>
      </c>
      <c r="N74" s="66">
        <f t="shared" si="10"/>
        <v>0</v>
      </c>
      <c r="O74" s="70">
        <f t="shared" si="2"/>
        <v>0</v>
      </c>
      <c r="P74" s="70">
        <f>$G$96-SUM($G$11:G74)</f>
        <v>0</v>
      </c>
      <c r="R74" s="68">
        <f t="shared" si="13"/>
        <v>0</v>
      </c>
      <c r="T74" s="83">
        <f>IF(ISNA(VLOOKUP($A74,Summary!$D$14:$AX$56,COLUMNS(Summary!$D$15:$AX$15),FALSE))=TRUE,0,VLOOKUP($A74,Summary!$D$14:$AX$56,COLUMNS(Summary!$D$15:$AX$15),FALSE))</f>
        <v>0</v>
      </c>
      <c r="U74" s="84">
        <f>IF(ISERROR(IF(ISNA(VLOOKUP($A74,Summary!$D$14:$AX$56,COLUMNS(Summary!$D$15:$AX$15),FALSE))=TRUE,0,VLOOKUP($A74,Summary!$D$14:$AX$56,COLUMNS(Summary!$D$15:$AX$15),FALSE))/O74),0,IF(ISNA(VLOOKUP($A74,Summary!$D$14:$AX$56,COLUMNS(Summary!$D$15:$AX$15),FALSE))=TRUE,0,VLOOKUP($A74,Summary!$D$14:$AX$56,COLUMNS(Summary!$D$15:$AX$15),FALSE))/O74)</f>
        <v>0</v>
      </c>
      <c r="V74" s="72" t="str">
        <f t="shared" si="27"/>
        <v/>
      </c>
      <c r="X74" s="83">
        <f t="shared" si="25"/>
        <v>0</v>
      </c>
      <c r="Y74" s="83"/>
      <c r="Z74" s="83"/>
    </row>
    <row r="75" spans="1:26" hidden="1" outlineLevel="1" x14ac:dyDescent="0.25">
      <c r="A75" s="67">
        <f t="shared" si="4"/>
        <v>0</v>
      </c>
      <c r="B75" s="161">
        <f t="shared" ref="B75:B93" si="28">IF(ISERROR(IF(MONTH(A75)=PRIN_MATURITY,SENIOR_REFUNDING_INTEREST_RATE,)),"",IF(MONTH(A75)=PRIN_MATURITY,SENIOR_REFUNDING_INTEREST_RATE,))</f>
        <v>0</v>
      </c>
      <c r="C75" s="161">
        <f t="shared" si="12"/>
        <v>0</v>
      </c>
      <c r="D75" s="68">
        <f t="shared" si="5"/>
        <v>0</v>
      </c>
      <c r="E75" s="137"/>
      <c r="F75" s="66">
        <f t="shared" si="16"/>
        <v>0</v>
      </c>
      <c r="G75" s="66">
        <f>IF(REFUND_FINANCING="Yes",IF(OR(CAPI_TERM&gt;A75,MONTH(A75)&lt;&gt;PRIN_MATURITY,FIRST_PRIN&gt;A75),0,MAX(0,INT(((((VLOOKUP($A75,Summary!$D$14:$AX$56,COLUMNS(Summary!$D$15:$AX$15))+M75)/$V75-H76*2*R75)/(1+B75*R75)+IF($A75=SURPLUS_FUND_RELEASE_DATE_REFUNDING,IF(SURPLUS_RELEASE_SIZING="Yes",SURPLUS_FUND_DEPOSIT_REFUNDING,0),0)/(1+B75*R75)))/5000)*5000)),0)</f>
        <v>0</v>
      </c>
      <c r="H75" s="66">
        <f t="shared" si="6"/>
        <v>0</v>
      </c>
      <c r="I75" s="66">
        <f t="shared" si="7"/>
        <v>0</v>
      </c>
      <c r="J75" s="70">
        <f t="shared" si="26"/>
        <v>0</v>
      </c>
      <c r="K75" s="66">
        <f t="shared" ref="K75:K91" si="29">MAX(0,DAYS360(MAX(DELIVERY,A74),MIN(A75,CAPI_END_DATE))/DAYS360(MAX(DELIVERY,A74),A75))*H75</f>
        <v>0</v>
      </c>
      <c r="L75" s="85">
        <f t="shared" ref="L75:L93" si="30">IF(REFUND_FINANCING="Yes",IF($A75=SURPLUS_FUND_RELEASE_DATE_REFUNDING,IF(SURPLUS_RELEASE_SIZING="Yes", SURPLUS_FUND_DEPOSIT_REFUNDING,0),0),0)</f>
        <v>0</v>
      </c>
      <c r="M75" s="85"/>
      <c r="N75" s="66">
        <f t="shared" si="10"/>
        <v>0</v>
      </c>
      <c r="O75" s="70">
        <f t="shared" ref="O75:O93" si="31">IF($A75=0,0,IF(MONTH($A75)=INT_MATURITY,0,SUM(N74:N75)))-L75</f>
        <v>0</v>
      </c>
      <c r="P75" s="70">
        <f>$G$96-SUM($G$11:G75)</f>
        <v>0</v>
      </c>
      <c r="R75" s="68">
        <f t="shared" si="13"/>
        <v>0</v>
      </c>
      <c r="T75" s="83">
        <f>IF(ISNA(VLOOKUP($A75,Summary!$D$14:$AX$56,COLUMNS(Summary!$D$15:$AX$15),FALSE))=TRUE,0,VLOOKUP($A75,Summary!$D$14:$AX$56,COLUMNS(Summary!$D$15:$AX$15),FALSE))</f>
        <v>0</v>
      </c>
      <c r="U75" s="84">
        <f>IF(ISERROR(IF(ISNA(VLOOKUP($A75,Summary!$D$14:$AX$56,COLUMNS(Summary!$D$15:$AX$15),FALSE))=TRUE,0,VLOOKUP($A75,Summary!$D$14:$AX$56,COLUMNS(Summary!$D$15:$AX$15),FALSE))/O75),0,IF(ISNA(VLOOKUP($A75,Summary!$D$14:$AX$56,COLUMNS(Summary!$D$15:$AX$15),FALSE))=TRUE,0,VLOOKUP($A75,Summary!$D$14:$AX$56,COLUMNS(Summary!$D$15:$AX$15),FALSE))/O75)</f>
        <v>0</v>
      </c>
      <c r="V75" s="72" t="str">
        <f t="shared" si="27"/>
        <v/>
      </c>
      <c r="X75" s="83">
        <f t="shared" ref="X75:X91" si="32">D75*G75*DAYS360(DELIVERY_REFUNDING,A75)/360</f>
        <v>0</v>
      </c>
      <c r="Y75" s="83"/>
      <c r="Z75" s="83"/>
    </row>
    <row r="76" spans="1:26" hidden="1" outlineLevel="1" x14ac:dyDescent="0.25">
      <c r="A76" s="67">
        <f t="shared" ref="A76:A93" si="33">IF(IF(ISERROR(EDATE(A75,6)),0,EDATE(A75,6))&gt;EDATE(MAX($A$11,DATE(YEAR($A$11),PRIN_MATURITY,1)),6*2*FINAL_MAT_YRS),0,IF(ISERROR(EDATE(A75,6)),0,IF(A75=0,0,EDATE(A75,6))))</f>
        <v>0</v>
      </c>
      <c r="B76" s="161">
        <f t="shared" si="28"/>
        <v>0</v>
      </c>
      <c r="C76" s="161">
        <f t="shared" si="12"/>
        <v>0</v>
      </c>
      <c r="D76" s="161">
        <f>IF(C76=0,0,TRUNC(IF(B76=C76,100,IF(A76&lt;=(EDATE(PAR_CALL_FIRST,10*12)),PRICE(DELIVERY_REFUNDING,A76,B76,C76,100,2,0),MIN(PRICE(DELIVERY_REFUNDING,A76,B76,C76,100,2,0),PRICE(DELIVERY_REFUNDING,(EDATE(PAR_CALL_FIRST,10*12)),B76,C76,100,2,0)))),3)/100)</f>
        <v>0</v>
      </c>
      <c r="E76" s="137"/>
      <c r="F76" s="66">
        <f t="shared" si="16"/>
        <v>0</v>
      </c>
      <c r="G76" s="66">
        <f>IF(REFUND_FINANCING="Yes",IF(OR(CAPI_TERM&gt;A76,MONTH(A76)&lt;&gt;PRIN_MATURITY,FIRST_PRIN&gt;A76),0,MAX(0,INT(((((VLOOKUP($A76,Summary!$D$14:$AX$56,COLUMNS(Summary!$D$15:$AX$15))+M76)/$V76-H77*2*R76)/(1+B76*R76)+IF($A76=SURPLUS_FUND_RELEASE_DATE_REFUNDING,IF(SURPLUS_RELEASE_SIZING="Yes",SURPLUS_FUND_DEPOSIT_REFUNDING,0),0)/(1+B76*R76)))/5000)*5000)),0)</f>
        <v>0</v>
      </c>
      <c r="H76" s="66">
        <f t="shared" ref="H76:H93" si="34">(H77+G76*B76/2)</f>
        <v>0</v>
      </c>
      <c r="I76" s="66">
        <f t="shared" ref="I76:I93" si="35">G76+H76</f>
        <v>0</v>
      </c>
      <c r="J76" s="70">
        <f t="shared" ref="J76:J93" si="36">IF($A76=0,0,IF(MONTH(A76)=INT_MATURITY,0,SUM(I75:I76)))</f>
        <v>0</v>
      </c>
      <c r="K76" s="66">
        <f t="shared" si="29"/>
        <v>0</v>
      </c>
      <c r="L76" s="85">
        <f t="shared" si="30"/>
        <v>0</v>
      </c>
      <c r="M76" s="85">
        <f>IF($A76&lt;PREMIUM_CALL_FIRST,0,SURPLUS_FUND_DEPOSIT* INTEREST_EARN_RATE)</f>
        <v>0</v>
      </c>
      <c r="N76" s="66">
        <f t="shared" ref="N76:N91" si="37">I76-K76-M76</f>
        <v>0</v>
      </c>
      <c r="O76" s="70">
        <f t="shared" si="31"/>
        <v>0</v>
      </c>
      <c r="P76" s="70">
        <f>$G$96-SUM($G$11:G76)</f>
        <v>0</v>
      </c>
      <c r="R76" s="68">
        <f t="shared" si="13"/>
        <v>0</v>
      </c>
      <c r="T76" s="83">
        <f>IF(ISNA(VLOOKUP($A76,Summary!$D$14:$AX$56,COLUMNS(Summary!$D$15:$AX$15),FALSE))=TRUE,0,VLOOKUP($A76,Summary!$D$14:$AX$56,COLUMNS(Summary!$D$15:$AX$15),FALSE))</f>
        <v>0</v>
      </c>
      <c r="U76" s="84">
        <f>IF(ISERROR(IF(ISNA(VLOOKUP($A76,Summary!$D$14:$AX$56,COLUMNS(Summary!$D$15:$AX$15),FALSE))=TRUE,0,VLOOKUP($A76,Summary!$D$14:$AX$56,COLUMNS(Summary!$D$15:$AX$15),FALSE))/O76),0,IF(ISNA(VLOOKUP($A76,Summary!$D$14:$AX$56,COLUMNS(Summary!$D$15:$AX$15),FALSE))=TRUE,0,VLOOKUP($A76,Summary!$D$14:$AX$56,COLUMNS(Summary!$D$15:$AX$15),FALSE))/O76)</f>
        <v>0</v>
      </c>
      <c r="V76" s="72" t="str">
        <f t="shared" ref="V76:V91" si="38">IF($B76&lt;&gt;0,DSC_REFUNDING_BONDS,"")</f>
        <v/>
      </c>
      <c r="X76" s="83">
        <f t="shared" si="32"/>
        <v>0</v>
      </c>
      <c r="Y76" s="83"/>
      <c r="Z76" s="83"/>
    </row>
    <row r="77" spans="1:26" hidden="1" outlineLevel="1" x14ac:dyDescent="0.25">
      <c r="A77" s="67">
        <f t="shared" si="33"/>
        <v>0</v>
      </c>
      <c r="B77" s="161">
        <f t="shared" si="28"/>
        <v>0</v>
      </c>
      <c r="C77" s="161">
        <f t="shared" ref="C77:C91" si="39">B77</f>
        <v>0</v>
      </c>
      <c r="D77" s="68">
        <f t="shared" ref="D77:D92" si="40">D79</f>
        <v>0</v>
      </c>
      <c r="E77" s="137"/>
      <c r="F77" s="66">
        <f t="shared" si="16"/>
        <v>0</v>
      </c>
      <c r="G77" s="66">
        <f>IF(REFUND_FINANCING="Yes",IF(OR(CAPI_TERM&gt;A77,MONTH(A77)&lt;&gt;PRIN_MATURITY,FIRST_PRIN&gt;A77),0,MAX(0,INT(((((VLOOKUP($A77,Summary!$D$14:$AX$56,COLUMNS(Summary!$D$15:$AX$15))+M77)/$V77-H78*2*R77)/(1+B77*R77)+IF($A77=SURPLUS_FUND_RELEASE_DATE_REFUNDING,IF(SURPLUS_RELEASE_SIZING="Yes",SURPLUS_FUND_DEPOSIT_REFUNDING,0),0)/(1+B77*R77)))/5000)*5000)),0)</f>
        <v>0</v>
      </c>
      <c r="H77" s="66">
        <f t="shared" si="34"/>
        <v>0</v>
      </c>
      <c r="I77" s="66">
        <f t="shared" si="35"/>
        <v>0</v>
      </c>
      <c r="J77" s="70">
        <f t="shared" si="36"/>
        <v>0</v>
      </c>
      <c r="K77" s="66">
        <f t="shared" si="29"/>
        <v>0</v>
      </c>
      <c r="L77" s="85">
        <f t="shared" si="30"/>
        <v>0</v>
      </c>
      <c r="M77" s="85"/>
      <c r="N77" s="66">
        <f t="shared" si="37"/>
        <v>0</v>
      </c>
      <c r="O77" s="70">
        <f t="shared" si="31"/>
        <v>0</v>
      </c>
      <c r="P77" s="70">
        <f>$G$96-SUM($G$11:G77)</f>
        <v>0</v>
      </c>
      <c r="R77" s="68">
        <f t="shared" ref="R77:R91" si="41">IF(MONTH(A77)=PRIN_MATURITY,MAX(0,DAYS360(MAX(CAPI_TERM,EDATE(A77,-12)),A77))/360,0)</f>
        <v>0</v>
      </c>
      <c r="T77" s="83">
        <f>IF(ISNA(VLOOKUP($A77,Summary!$D$14:$AX$56,COLUMNS(Summary!$D$15:$AX$15),FALSE))=TRUE,0,VLOOKUP($A77,Summary!$D$14:$AX$56,COLUMNS(Summary!$D$15:$AX$15),FALSE))</f>
        <v>0</v>
      </c>
      <c r="U77" s="84">
        <f>IF(ISERROR(IF(ISNA(VLOOKUP($A77,Summary!$D$14:$AX$56,COLUMNS(Summary!$D$15:$AX$15),FALSE))=TRUE,0,VLOOKUP($A77,Summary!$D$14:$AX$56,COLUMNS(Summary!$D$15:$AX$15),FALSE))/O77),0,IF(ISNA(VLOOKUP($A77,Summary!$D$14:$AX$56,COLUMNS(Summary!$D$15:$AX$15),FALSE))=TRUE,0,VLOOKUP($A77,Summary!$D$14:$AX$56,COLUMNS(Summary!$D$15:$AX$15),FALSE))/O77)</f>
        <v>0</v>
      </c>
      <c r="V77" s="72" t="str">
        <f t="shared" si="38"/>
        <v/>
      </c>
      <c r="X77" s="83">
        <f t="shared" si="32"/>
        <v>0</v>
      </c>
      <c r="Y77" s="83"/>
      <c r="Z77" s="83"/>
    </row>
    <row r="78" spans="1:26" hidden="1" outlineLevel="1" x14ac:dyDescent="0.25">
      <c r="A78" s="67">
        <f t="shared" si="33"/>
        <v>0</v>
      </c>
      <c r="B78" s="161">
        <f t="shared" si="28"/>
        <v>0</v>
      </c>
      <c r="C78" s="161">
        <f t="shared" si="39"/>
        <v>0</v>
      </c>
      <c r="D78" s="68">
        <f t="shared" si="40"/>
        <v>0</v>
      </c>
      <c r="E78" s="137"/>
      <c r="F78" s="66">
        <f t="shared" ref="F78:F93" si="42">D78*G78-G78</f>
        <v>0</v>
      </c>
      <c r="G78" s="66">
        <f>IF(REFUND_FINANCING="Yes",IF(OR(CAPI_TERM&gt;A78,MONTH(A78)&lt;&gt;PRIN_MATURITY,FIRST_PRIN&gt;A78),0,MAX(0,INT(((((VLOOKUP($A78,Summary!$D$14:$AX$56,COLUMNS(Summary!$D$15:$AX$15))+M78)/$V78-H79*2*R78)/(1+B78*R78)+IF($A78=SURPLUS_FUND_RELEASE_DATE_REFUNDING,IF(SURPLUS_RELEASE_SIZING="Yes",SURPLUS_FUND_DEPOSIT_REFUNDING,0),0)/(1+B78*R78)))/5000)*5000)),0)</f>
        <v>0</v>
      </c>
      <c r="H78" s="66">
        <f t="shared" si="34"/>
        <v>0</v>
      </c>
      <c r="I78" s="66">
        <f t="shared" si="35"/>
        <v>0</v>
      </c>
      <c r="J78" s="70">
        <f t="shared" si="36"/>
        <v>0</v>
      </c>
      <c r="K78" s="66">
        <f t="shared" si="29"/>
        <v>0</v>
      </c>
      <c r="L78" s="85">
        <f t="shared" si="30"/>
        <v>0</v>
      </c>
      <c r="M78" s="85">
        <f>IF($A78&lt;PREMIUM_CALL_FIRST,0,SURPLUS_FUND_DEPOSIT* INTEREST_EARN_RATE)</f>
        <v>0</v>
      </c>
      <c r="N78" s="66">
        <f t="shared" si="37"/>
        <v>0</v>
      </c>
      <c r="O78" s="70">
        <f t="shared" si="31"/>
        <v>0</v>
      </c>
      <c r="P78" s="70">
        <f>$G$96-SUM($G$11:G78)</f>
        <v>0</v>
      </c>
      <c r="R78" s="68">
        <f t="shared" si="41"/>
        <v>0</v>
      </c>
      <c r="T78" s="83">
        <f>IF(ISNA(VLOOKUP($A78,Summary!$D$14:$AX$56,COLUMNS(Summary!$D$15:$AX$15),FALSE))=TRUE,0,VLOOKUP($A78,Summary!$D$14:$AX$56,COLUMNS(Summary!$D$15:$AX$15),FALSE))</f>
        <v>0</v>
      </c>
      <c r="U78" s="84">
        <f>IF(ISERROR(IF(ISNA(VLOOKUP($A78,Summary!$D$14:$AX$56,COLUMNS(Summary!$D$15:$AX$15),FALSE))=TRUE,0,VLOOKUP($A78,Summary!$D$14:$AX$56,COLUMNS(Summary!$D$15:$AX$15),FALSE))/O78),0,IF(ISNA(VLOOKUP($A78,Summary!$D$14:$AX$56,COLUMNS(Summary!$D$15:$AX$15),FALSE))=TRUE,0,VLOOKUP($A78,Summary!$D$14:$AX$56,COLUMNS(Summary!$D$15:$AX$15),FALSE))/O78)</f>
        <v>0</v>
      </c>
      <c r="V78" s="72" t="str">
        <f t="shared" si="38"/>
        <v/>
      </c>
      <c r="X78" s="83">
        <f t="shared" si="32"/>
        <v>0</v>
      </c>
      <c r="Y78" s="83"/>
      <c r="Z78" s="83"/>
    </row>
    <row r="79" spans="1:26" hidden="1" outlineLevel="1" x14ac:dyDescent="0.25">
      <c r="A79" s="67">
        <f t="shared" si="33"/>
        <v>0</v>
      </c>
      <c r="B79" s="161">
        <f t="shared" si="28"/>
        <v>0</v>
      </c>
      <c r="C79" s="161">
        <f t="shared" si="39"/>
        <v>0</v>
      </c>
      <c r="D79" s="161">
        <f>IF(C79=0,0,TRUNC(IF(B79=C79,100,IF(A79&lt;=(EDATE(PAR_CALL_FIRST,10*12)),PRICE(DELIVERY_REFUNDING,A79,B79,C79,100,2,0),MIN(PRICE(DELIVERY_REFUNDING,A79,B79,C79,100,2,0),PRICE(DELIVERY_REFUNDING,(EDATE(PAR_CALL_FIRST,10*12)),B79,C79,100,2,0)))),3)/100)</f>
        <v>0</v>
      </c>
      <c r="E79" s="137"/>
      <c r="F79" s="66">
        <f t="shared" si="42"/>
        <v>0</v>
      </c>
      <c r="G79" s="66">
        <f>IF(REFUND_FINANCING="Yes",IF(OR(CAPI_TERM&gt;A79,MONTH(A79)&lt;&gt;PRIN_MATURITY,FIRST_PRIN&gt;A79),0,MAX(0,INT(((((VLOOKUP($A79,Summary!$D$14:$AX$56,COLUMNS(Summary!$D$15:$AX$15))+M79)/$V79-H80*2*R79)/(1+B79*R79)+IF($A79=SURPLUS_FUND_RELEASE_DATE_REFUNDING,IF(SURPLUS_RELEASE_SIZING="Yes",SURPLUS_FUND_DEPOSIT_REFUNDING,0),0)/(1+B79*R79)))/5000)*5000)),0)</f>
        <v>0</v>
      </c>
      <c r="H79" s="66">
        <f t="shared" si="34"/>
        <v>0</v>
      </c>
      <c r="I79" s="66">
        <f t="shared" si="35"/>
        <v>0</v>
      </c>
      <c r="J79" s="70">
        <f t="shared" si="36"/>
        <v>0</v>
      </c>
      <c r="K79" s="66">
        <f t="shared" si="29"/>
        <v>0</v>
      </c>
      <c r="L79" s="85">
        <f t="shared" si="30"/>
        <v>0</v>
      </c>
      <c r="M79" s="85"/>
      <c r="N79" s="66">
        <f t="shared" si="37"/>
        <v>0</v>
      </c>
      <c r="O79" s="70">
        <f t="shared" si="31"/>
        <v>0</v>
      </c>
      <c r="P79" s="70">
        <f>$G$96-SUM($G$11:G79)</f>
        <v>0</v>
      </c>
      <c r="R79" s="68">
        <f t="shared" si="41"/>
        <v>0</v>
      </c>
      <c r="T79" s="83">
        <f>IF(ISNA(VLOOKUP($A79,Summary!$D$14:$AX$56,COLUMNS(Summary!$D$15:$AX$15),FALSE))=TRUE,0,VLOOKUP($A79,Summary!$D$14:$AX$56,COLUMNS(Summary!$D$15:$AX$15),FALSE))</f>
        <v>0</v>
      </c>
      <c r="U79" s="84">
        <f>IF(ISERROR(IF(ISNA(VLOOKUP($A79,Summary!$D$14:$AX$56,COLUMNS(Summary!$D$15:$AX$15),FALSE))=TRUE,0,VLOOKUP($A79,Summary!$D$14:$AX$56,COLUMNS(Summary!$D$15:$AX$15),FALSE))/O79),0,IF(ISNA(VLOOKUP($A79,Summary!$D$14:$AX$56,COLUMNS(Summary!$D$15:$AX$15),FALSE))=TRUE,0,VLOOKUP($A79,Summary!$D$14:$AX$56,COLUMNS(Summary!$D$15:$AX$15),FALSE))/O79)</f>
        <v>0</v>
      </c>
      <c r="V79" s="72" t="str">
        <f t="shared" si="38"/>
        <v/>
      </c>
      <c r="X79" s="83">
        <f t="shared" si="32"/>
        <v>0</v>
      </c>
      <c r="Y79" s="83"/>
      <c r="Z79" s="83"/>
    </row>
    <row r="80" spans="1:26" hidden="1" outlineLevel="1" x14ac:dyDescent="0.25">
      <c r="A80" s="67">
        <f t="shared" si="33"/>
        <v>0</v>
      </c>
      <c r="B80" s="161">
        <f t="shared" si="28"/>
        <v>0</v>
      </c>
      <c r="C80" s="161">
        <f t="shared" si="39"/>
        <v>0</v>
      </c>
      <c r="D80" s="68">
        <f t="shared" si="40"/>
        <v>0</v>
      </c>
      <c r="E80" s="137"/>
      <c r="F80" s="66">
        <f t="shared" si="42"/>
        <v>0</v>
      </c>
      <c r="G80" s="66">
        <f>IF(REFUND_FINANCING="Yes",IF(OR(CAPI_TERM&gt;A80,MONTH(A80)&lt;&gt;PRIN_MATURITY,FIRST_PRIN&gt;A80),0,MAX(0,INT(((((VLOOKUP($A80,Summary!$D$14:$AX$56,COLUMNS(Summary!$D$15:$AX$15))+M80)/$V80-H81*2*R80)/(1+B80*R80)+IF($A80=SURPLUS_FUND_RELEASE_DATE_REFUNDING,IF(SURPLUS_RELEASE_SIZING="Yes",SURPLUS_FUND_DEPOSIT_REFUNDING,0),0)/(1+B80*R80)))/5000)*5000)),0)</f>
        <v>0</v>
      </c>
      <c r="H80" s="66">
        <f t="shared" si="34"/>
        <v>0</v>
      </c>
      <c r="I80" s="66">
        <f t="shared" si="35"/>
        <v>0</v>
      </c>
      <c r="J80" s="70">
        <f t="shared" si="36"/>
        <v>0</v>
      </c>
      <c r="K80" s="66">
        <f t="shared" si="29"/>
        <v>0</v>
      </c>
      <c r="L80" s="85">
        <f t="shared" si="30"/>
        <v>0</v>
      </c>
      <c r="M80" s="85">
        <f>IF($A80&lt;PREMIUM_CALL_FIRST,0,SURPLUS_FUND_DEPOSIT* INTEREST_EARN_RATE)</f>
        <v>0</v>
      </c>
      <c r="N80" s="66">
        <f t="shared" si="37"/>
        <v>0</v>
      </c>
      <c r="O80" s="70">
        <f t="shared" si="31"/>
        <v>0</v>
      </c>
      <c r="P80" s="70">
        <f>$G$96-SUM($G$11:G80)</f>
        <v>0</v>
      </c>
      <c r="R80" s="68">
        <f t="shared" si="41"/>
        <v>0</v>
      </c>
      <c r="T80" s="83">
        <f>IF(ISNA(VLOOKUP($A80,Summary!$D$14:$AX$56,COLUMNS(Summary!$D$15:$AX$15),FALSE))=TRUE,0,VLOOKUP($A80,Summary!$D$14:$AX$56,COLUMNS(Summary!$D$15:$AX$15),FALSE))</f>
        <v>0</v>
      </c>
      <c r="U80" s="84">
        <f>IF(ISERROR(IF(ISNA(VLOOKUP($A80,Summary!$D$14:$AX$56,COLUMNS(Summary!$D$15:$AX$15),FALSE))=TRUE,0,VLOOKUP($A80,Summary!$D$14:$AX$56,COLUMNS(Summary!$D$15:$AX$15),FALSE))/O80),0,IF(ISNA(VLOOKUP($A80,Summary!$D$14:$AX$56,COLUMNS(Summary!$D$15:$AX$15),FALSE))=TRUE,0,VLOOKUP($A80,Summary!$D$14:$AX$56,COLUMNS(Summary!$D$15:$AX$15),FALSE))/O80)</f>
        <v>0</v>
      </c>
      <c r="V80" s="72" t="str">
        <f t="shared" si="38"/>
        <v/>
      </c>
      <c r="X80" s="83">
        <f t="shared" si="32"/>
        <v>0</v>
      </c>
      <c r="Y80" s="83"/>
      <c r="Z80" s="83"/>
    </row>
    <row r="81" spans="1:26" hidden="1" outlineLevel="1" x14ac:dyDescent="0.25">
      <c r="A81" s="67">
        <f t="shared" si="33"/>
        <v>0</v>
      </c>
      <c r="B81" s="161">
        <f t="shared" si="28"/>
        <v>0</v>
      </c>
      <c r="C81" s="161">
        <f t="shared" si="39"/>
        <v>0</v>
      </c>
      <c r="D81" s="161">
        <f>IF(C81=0,0,TRUNC(IF(B81=C81,100,IF(A81&lt;=(EDATE(PAR_CALL_FIRST,10*12)),PRICE(DELIVERY_REFUNDING,A81,B81,C81,100,2,0),MIN(PRICE(DELIVERY_REFUNDING,A81,B81,C81,100,2,0),PRICE(DELIVERY_REFUNDING,(EDATE(PAR_CALL_FIRST,10*12)),B81,C81,100,2,0)))),3)/100)</f>
        <v>0</v>
      </c>
      <c r="E81" s="137"/>
      <c r="F81" s="66">
        <f t="shared" si="42"/>
        <v>0</v>
      </c>
      <c r="G81" s="66">
        <f>IF(REFUND_FINANCING="Yes",IF(OR(CAPI_TERM&gt;A81,MONTH(A81)&lt;&gt;PRIN_MATURITY,FIRST_PRIN&gt;A81),0,MAX(0,INT(((((VLOOKUP($A81,Summary!$D$14:$AX$56,COLUMNS(Summary!$D$15:$AX$15))+M81)/$V81-H82*2*R81)/(1+B81*R81)+IF($A81=SURPLUS_FUND_RELEASE_DATE_REFUNDING,IF(SURPLUS_RELEASE_SIZING="Yes",SURPLUS_FUND_DEPOSIT_REFUNDING,0),0)/(1+B81*R81)))/5000)*5000)),0)</f>
        <v>0</v>
      </c>
      <c r="H81" s="66">
        <f t="shared" si="34"/>
        <v>0</v>
      </c>
      <c r="I81" s="66">
        <f t="shared" si="35"/>
        <v>0</v>
      </c>
      <c r="J81" s="70">
        <f t="shared" si="36"/>
        <v>0</v>
      </c>
      <c r="K81" s="66">
        <f t="shared" si="29"/>
        <v>0</v>
      </c>
      <c r="L81" s="85">
        <f t="shared" si="30"/>
        <v>0</v>
      </c>
      <c r="M81" s="85"/>
      <c r="N81" s="66">
        <f t="shared" si="37"/>
        <v>0</v>
      </c>
      <c r="O81" s="70">
        <f t="shared" si="31"/>
        <v>0</v>
      </c>
      <c r="P81" s="70">
        <f>$G$96-SUM($G$11:G81)</f>
        <v>0</v>
      </c>
      <c r="R81" s="68">
        <f t="shared" si="41"/>
        <v>0</v>
      </c>
      <c r="T81" s="83">
        <f>IF(ISNA(VLOOKUP($A81,Summary!$D$14:$AX$56,COLUMNS(Summary!$D$15:$AX$15),FALSE))=TRUE,0,VLOOKUP($A81,Summary!$D$14:$AX$56,COLUMNS(Summary!$D$15:$AX$15),FALSE))</f>
        <v>0</v>
      </c>
      <c r="U81" s="84">
        <f>IF(ISERROR(IF(ISNA(VLOOKUP($A81,Summary!$D$14:$AX$56,COLUMNS(Summary!$D$15:$AX$15),FALSE))=TRUE,0,VLOOKUP($A81,Summary!$D$14:$AX$56,COLUMNS(Summary!$D$15:$AX$15),FALSE))/O81),0,IF(ISNA(VLOOKUP($A81,Summary!$D$14:$AX$56,COLUMNS(Summary!$D$15:$AX$15),FALSE))=TRUE,0,VLOOKUP($A81,Summary!$D$14:$AX$56,COLUMNS(Summary!$D$15:$AX$15),FALSE))/O81)</f>
        <v>0</v>
      </c>
      <c r="V81" s="72" t="str">
        <f t="shared" si="38"/>
        <v/>
      </c>
      <c r="X81" s="83">
        <f t="shared" si="32"/>
        <v>0</v>
      </c>
      <c r="Y81" s="83"/>
      <c r="Z81" s="83"/>
    </row>
    <row r="82" spans="1:26" hidden="1" outlineLevel="1" x14ac:dyDescent="0.25">
      <c r="A82" s="67">
        <f t="shared" si="33"/>
        <v>0</v>
      </c>
      <c r="B82" s="161">
        <f t="shared" si="28"/>
        <v>0</v>
      </c>
      <c r="C82" s="161">
        <f t="shared" si="39"/>
        <v>0</v>
      </c>
      <c r="D82" s="68">
        <f t="shared" si="40"/>
        <v>0</v>
      </c>
      <c r="E82" s="137"/>
      <c r="F82" s="66">
        <f t="shared" si="42"/>
        <v>0</v>
      </c>
      <c r="G82" s="66">
        <f>IF(REFUND_FINANCING="Yes",IF(OR(CAPI_TERM&gt;A82,MONTH(A82)&lt;&gt;PRIN_MATURITY,FIRST_PRIN&gt;A82),0,MAX(0,INT(((((VLOOKUP($A82,Summary!$D$14:$AX$56,COLUMNS(Summary!$D$15:$AX$15))+M82)/$V82-H83*2*R82)/(1+B82*R82)+IF($A82=SURPLUS_FUND_RELEASE_DATE_REFUNDING,IF(SURPLUS_RELEASE_SIZING="Yes",SURPLUS_FUND_DEPOSIT_REFUNDING,0),0)/(1+B82*R82)))/5000)*5000)),0)</f>
        <v>0</v>
      </c>
      <c r="H82" s="66">
        <f t="shared" si="34"/>
        <v>0</v>
      </c>
      <c r="I82" s="66">
        <f t="shared" si="35"/>
        <v>0</v>
      </c>
      <c r="J82" s="70">
        <f t="shared" si="36"/>
        <v>0</v>
      </c>
      <c r="K82" s="66">
        <f t="shared" si="29"/>
        <v>0</v>
      </c>
      <c r="L82" s="85">
        <f t="shared" si="30"/>
        <v>0</v>
      </c>
      <c r="M82" s="85">
        <f>IF($A82&lt;PREMIUM_CALL_FIRST,0,SURPLUS_FUND_DEPOSIT* INTEREST_EARN_RATE)</f>
        <v>0</v>
      </c>
      <c r="N82" s="66">
        <f t="shared" si="37"/>
        <v>0</v>
      </c>
      <c r="O82" s="70">
        <f t="shared" si="31"/>
        <v>0</v>
      </c>
      <c r="P82" s="70">
        <f>$G$96-SUM($G$11:G82)</f>
        <v>0</v>
      </c>
      <c r="R82" s="68">
        <f t="shared" si="41"/>
        <v>0</v>
      </c>
      <c r="T82" s="83">
        <f>IF(ISNA(VLOOKUP($A82,Summary!$D$14:$AX$56,COLUMNS(Summary!$D$15:$AX$15),FALSE))=TRUE,0,VLOOKUP($A82,Summary!$D$14:$AX$56,COLUMNS(Summary!$D$15:$AX$15),FALSE))</f>
        <v>0</v>
      </c>
      <c r="U82" s="84">
        <f>IF(ISERROR(IF(ISNA(VLOOKUP($A82,Summary!$D$14:$AX$56,COLUMNS(Summary!$D$15:$AX$15),FALSE))=TRUE,0,VLOOKUP($A82,Summary!$D$14:$AX$56,COLUMNS(Summary!$D$15:$AX$15),FALSE))/O82),0,IF(ISNA(VLOOKUP($A82,Summary!$D$14:$AX$56,COLUMNS(Summary!$D$15:$AX$15),FALSE))=TRUE,0,VLOOKUP($A82,Summary!$D$14:$AX$56,COLUMNS(Summary!$D$15:$AX$15),FALSE))/O82)</f>
        <v>0</v>
      </c>
      <c r="V82" s="72" t="str">
        <f t="shared" si="38"/>
        <v/>
      </c>
      <c r="X82" s="83">
        <f t="shared" si="32"/>
        <v>0</v>
      </c>
      <c r="Y82" s="83"/>
      <c r="Z82" s="83"/>
    </row>
    <row r="83" spans="1:26" hidden="1" outlineLevel="1" x14ac:dyDescent="0.25">
      <c r="A83" s="67">
        <f t="shared" si="33"/>
        <v>0</v>
      </c>
      <c r="B83" s="161">
        <f t="shared" si="28"/>
        <v>0</v>
      </c>
      <c r="C83" s="161">
        <f t="shared" si="39"/>
        <v>0</v>
      </c>
      <c r="D83" s="161">
        <f>IF(C83=0,0,TRUNC(IF(B83=C83,100,IF(A83&lt;=(EDATE(PAR_CALL_FIRST,10*12)),PRICE(DELIVERY_REFUNDING,A83,B83,C83,100,2,0),MIN(PRICE(DELIVERY_REFUNDING,A83,B83,C83,100,2,0),PRICE(DELIVERY_REFUNDING,(EDATE(PAR_CALL_FIRST,10*12)),B83,C83,100,2,0)))),3)/100)</f>
        <v>0</v>
      </c>
      <c r="E83" s="137"/>
      <c r="F83" s="66">
        <f t="shared" si="42"/>
        <v>0</v>
      </c>
      <c r="G83" s="66">
        <f>IF(REFUND_FINANCING="Yes",IF(OR(CAPI_TERM&gt;A83,MONTH(A83)&lt;&gt;PRIN_MATURITY,FIRST_PRIN&gt;A83),0,MAX(0,INT(((((VLOOKUP($A83,Summary!$D$14:$AX$56,COLUMNS(Summary!$D$15:$AX$15))+M83)/$V83-H84*2*R83)/(1+B83*R83)+IF($A83=SURPLUS_FUND_RELEASE_DATE_REFUNDING,IF(SURPLUS_RELEASE_SIZING="Yes",SURPLUS_FUND_DEPOSIT_REFUNDING,0),0)/(1+B83*R83)))/5000)*5000)),0)</f>
        <v>0</v>
      </c>
      <c r="H83" s="66">
        <f t="shared" si="34"/>
        <v>0</v>
      </c>
      <c r="I83" s="66">
        <f t="shared" si="35"/>
        <v>0</v>
      </c>
      <c r="J83" s="70">
        <f t="shared" si="36"/>
        <v>0</v>
      </c>
      <c r="K83" s="66">
        <f t="shared" si="29"/>
        <v>0</v>
      </c>
      <c r="L83" s="85">
        <f t="shared" si="30"/>
        <v>0</v>
      </c>
      <c r="M83" s="85"/>
      <c r="N83" s="66">
        <f t="shared" si="37"/>
        <v>0</v>
      </c>
      <c r="O83" s="70">
        <f t="shared" si="31"/>
        <v>0</v>
      </c>
      <c r="P83" s="70">
        <f>$G$96-SUM($G$11:G83)</f>
        <v>0</v>
      </c>
      <c r="R83" s="68">
        <f t="shared" si="41"/>
        <v>0</v>
      </c>
      <c r="T83" s="83">
        <f>IF(ISNA(VLOOKUP($A83,Summary!$D$14:$AX$56,COLUMNS(Summary!$D$15:$AX$15),FALSE))=TRUE,0,VLOOKUP($A83,Summary!$D$14:$AX$56,COLUMNS(Summary!$D$15:$AX$15),FALSE))</f>
        <v>0</v>
      </c>
      <c r="U83" s="84">
        <f>IF(ISERROR(IF(ISNA(VLOOKUP($A83,Summary!$D$14:$AX$56,COLUMNS(Summary!$D$15:$AX$15),FALSE))=TRUE,0,VLOOKUP($A83,Summary!$D$14:$AX$56,COLUMNS(Summary!$D$15:$AX$15),FALSE))/O83),0,IF(ISNA(VLOOKUP($A83,Summary!$D$14:$AX$56,COLUMNS(Summary!$D$15:$AX$15),FALSE))=TRUE,0,VLOOKUP($A83,Summary!$D$14:$AX$56,COLUMNS(Summary!$D$15:$AX$15),FALSE))/O83)</f>
        <v>0</v>
      </c>
      <c r="V83" s="72" t="str">
        <f t="shared" si="38"/>
        <v/>
      </c>
      <c r="X83" s="83">
        <f t="shared" si="32"/>
        <v>0</v>
      </c>
      <c r="Y83" s="83"/>
      <c r="Z83" s="83"/>
    </row>
    <row r="84" spans="1:26" hidden="1" outlineLevel="1" x14ac:dyDescent="0.25">
      <c r="A84" s="67">
        <f t="shared" si="33"/>
        <v>0</v>
      </c>
      <c r="B84" s="161">
        <f t="shared" si="28"/>
        <v>0</v>
      </c>
      <c r="C84" s="161">
        <f t="shared" si="39"/>
        <v>0</v>
      </c>
      <c r="D84" s="68">
        <f t="shared" si="40"/>
        <v>0</v>
      </c>
      <c r="E84" s="137"/>
      <c r="F84" s="66">
        <f t="shared" si="42"/>
        <v>0</v>
      </c>
      <c r="G84" s="66">
        <f>IF(REFUND_FINANCING="Yes",IF(OR(CAPI_TERM&gt;A84,MONTH(A84)&lt;&gt;PRIN_MATURITY,FIRST_PRIN&gt;A84),0,MAX(0,INT(((((VLOOKUP($A84,Summary!$D$14:$AX$56,COLUMNS(Summary!$D$15:$AX$15))+M84)/$V84-H85*2*R84)/(1+B84*R84)+IF($A84=SURPLUS_FUND_RELEASE_DATE_REFUNDING,IF(SURPLUS_RELEASE_SIZING="Yes",SURPLUS_FUND_DEPOSIT_REFUNDING,0),0)/(1+B84*R84)))/5000)*5000)),0)</f>
        <v>0</v>
      </c>
      <c r="H84" s="66">
        <f t="shared" si="34"/>
        <v>0</v>
      </c>
      <c r="I84" s="66">
        <f t="shared" si="35"/>
        <v>0</v>
      </c>
      <c r="J84" s="70">
        <f t="shared" si="36"/>
        <v>0</v>
      </c>
      <c r="K84" s="66">
        <f t="shared" si="29"/>
        <v>0</v>
      </c>
      <c r="L84" s="85">
        <f t="shared" si="30"/>
        <v>0</v>
      </c>
      <c r="M84" s="85">
        <f>IF($A84&lt;PREMIUM_CALL_FIRST,0,SURPLUS_FUND_DEPOSIT* INTEREST_EARN_RATE)</f>
        <v>0</v>
      </c>
      <c r="N84" s="66">
        <f t="shared" si="37"/>
        <v>0</v>
      </c>
      <c r="O84" s="70">
        <f t="shared" si="31"/>
        <v>0</v>
      </c>
      <c r="P84" s="70">
        <f>$G$96-SUM($G$11:G84)</f>
        <v>0</v>
      </c>
      <c r="R84" s="68">
        <f t="shared" si="41"/>
        <v>0</v>
      </c>
      <c r="T84" s="83">
        <f>IF(ISNA(VLOOKUP($A84,Summary!$D$14:$AX$56,COLUMNS(Summary!$D$15:$AX$15),FALSE))=TRUE,0,VLOOKUP($A84,Summary!$D$14:$AX$56,COLUMNS(Summary!$D$15:$AX$15),FALSE))</f>
        <v>0</v>
      </c>
      <c r="U84" s="84">
        <f>IF(ISERROR(IF(ISNA(VLOOKUP($A84,Summary!$D$14:$AX$56,COLUMNS(Summary!$D$15:$AX$15),FALSE))=TRUE,0,VLOOKUP($A84,Summary!$D$14:$AX$56,COLUMNS(Summary!$D$15:$AX$15),FALSE))/O84),0,IF(ISNA(VLOOKUP($A84,Summary!$D$14:$AX$56,COLUMNS(Summary!$D$15:$AX$15),FALSE))=TRUE,0,VLOOKUP($A84,Summary!$D$14:$AX$56,COLUMNS(Summary!$D$15:$AX$15),FALSE))/O84)</f>
        <v>0</v>
      </c>
      <c r="V84" s="72" t="str">
        <f t="shared" si="38"/>
        <v/>
      </c>
      <c r="X84" s="83">
        <f t="shared" si="32"/>
        <v>0</v>
      </c>
      <c r="Y84" s="83"/>
      <c r="Z84" s="83"/>
    </row>
    <row r="85" spans="1:26" hidden="1" outlineLevel="1" x14ac:dyDescent="0.25">
      <c r="A85" s="67">
        <f t="shared" si="33"/>
        <v>0</v>
      </c>
      <c r="B85" s="161">
        <f t="shared" si="28"/>
        <v>0</v>
      </c>
      <c r="C85" s="161">
        <f t="shared" si="39"/>
        <v>0</v>
      </c>
      <c r="D85" s="161">
        <f>IF(C85=0,0,TRUNC(IF(B85=C85,100,IF(A85&lt;=(EDATE(PAR_CALL_FIRST,10*12)),PRICE(DELIVERY_REFUNDING,A85,B85,C85,100,2,0),MIN(PRICE(DELIVERY_REFUNDING,A85,B85,C85,100,2,0),PRICE(DELIVERY_REFUNDING,(EDATE(PAR_CALL_FIRST,10*12)),B85,C85,100,2,0)))),3)/100)</f>
        <v>0</v>
      </c>
      <c r="E85" s="137"/>
      <c r="F85" s="66">
        <f t="shared" si="42"/>
        <v>0</v>
      </c>
      <c r="G85" s="66">
        <f>IF(REFUND_FINANCING="Yes",IF(OR(CAPI_TERM&gt;A85,MONTH(A85)&lt;&gt;PRIN_MATURITY,FIRST_PRIN&gt;A85),0,MAX(0,INT(((((VLOOKUP($A85,Summary!$D$14:$AX$56,COLUMNS(Summary!$D$15:$AX$15))+M85)/$V85-H86*2*R85)/(1+B85*R85)+IF($A85=SURPLUS_FUND_RELEASE_DATE_REFUNDING,IF(SURPLUS_RELEASE_SIZING="Yes",SURPLUS_FUND_DEPOSIT_REFUNDING,0),0)/(1+B85*R85)))/5000)*5000)),0)</f>
        <v>0</v>
      </c>
      <c r="H85" s="66">
        <f t="shared" si="34"/>
        <v>0</v>
      </c>
      <c r="I85" s="66">
        <f t="shared" si="35"/>
        <v>0</v>
      </c>
      <c r="J85" s="70">
        <f t="shared" si="36"/>
        <v>0</v>
      </c>
      <c r="K85" s="66">
        <f t="shared" si="29"/>
        <v>0</v>
      </c>
      <c r="L85" s="85">
        <f t="shared" si="30"/>
        <v>0</v>
      </c>
      <c r="M85" s="85"/>
      <c r="N85" s="66">
        <f t="shared" si="37"/>
        <v>0</v>
      </c>
      <c r="O85" s="70">
        <f t="shared" si="31"/>
        <v>0</v>
      </c>
      <c r="P85" s="70">
        <f>$G$96-SUM($G$11:G85)</f>
        <v>0</v>
      </c>
      <c r="R85" s="68">
        <f t="shared" si="41"/>
        <v>0</v>
      </c>
      <c r="T85" s="83">
        <f>IF(ISNA(VLOOKUP($A85,Summary!$D$14:$AX$56,COLUMNS(Summary!$D$15:$AX$15),FALSE))=TRUE,0,VLOOKUP($A85,Summary!$D$14:$AX$56,COLUMNS(Summary!$D$15:$AX$15),FALSE))</f>
        <v>0</v>
      </c>
      <c r="U85" s="84">
        <f>IF(ISERROR(IF(ISNA(VLOOKUP($A85,Summary!$D$14:$AX$56,COLUMNS(Summary!$D$15:$AX$15),FALSE))=TRUE,0,VLOOKUP($A85,Summary!$D$14:$AX$56,COLUMNS(Summary!$D$15:$AX$15),FALSE))/O85),0,IF(ISNA(VLOOKUP($A85,Summary!$D$14:$AX$56,COLUMNS(Summary!$D$15:$AX$15),FALSE))=TRUE,0,VLOOKUP($A85,Summary!$D$14:$AX$56,COLUMNS(Summary!$D$15:$AX$15),FALSE))/O85)</f>
        <v>0</v>
      </c>
      <c r="V85" s="72" t="str">
        <f t="shared" si="38"/>
        <v/>
      </c>
      <c r="X85" s="83">
        <f t="shared" si="32"/>
        <v>0</v>
      </c>
      <c r="Y85" s="83"/>
      <c r="Z85" s="83"/>
    </row>
    <row r="86" spans="1:26" hidden="1" outlineLevel="1" x14ac:dyDescent="0.25">
      <c r="A86" s="67">
        <f t="shared" si="33"/>
        <v>0</v>
      </c>
      <c r="B86" s="161">
        <f t="shared" si="28"/>
        <v>0</v>
      </c>
      <c r="C86" s="161">
        <f t="shared" si="39"/>
        <v>0</v>
      </c>
      <c r="D86" s="68">
        <f t="shared" si="40"/>
        <v>0</v>
      </c>
      <c r="E86" s="137"/>
      <c r="F86" s="66">
        <f t="shared" si="42"/>
        <v>0</v>
      </c>
      <c r="G86" s="66">
        <f>IF(REFUND_FINANCING="Yes",IF(OR(CAPI_TERM&gt;A86,MONTH(A86)&lt;&gt;PRIN_MATURITY,FIRST_PRIN&gt;A86),0,MAX(0,INT(((((VLOOKUP($A86,Summary!$D$14:$AX$56,COLUMNS(Summary!$D$15:$AX$15))+M86)/$V86-H87*2*R86)/(1+B86*R86)+IF($A86=SURPLUS_FUND_RELEASE_DATE_REFUNDING,IF(SURPLUS_RELEASE_SIZING="Yes",SURPLUS_FUND_DEPOSIT_REFUNDING,0),0)/(1+B86*R86)))/5000)*5000)),0)</f>
        <v>0</v>
      </c>
      <c r="H86" s="66">
        <f t="shared" si="34"/>
        <v>0</v>
      </c>
      <c r="I86" s="66">
        <f t="shared" si="35"/>
        <v>0</v>
      </c>
      <c r="J86" s="70">
        <f t="shared" si="36"/>
        <v>0</v>
      </c>
      <c r="K86" s="66">
        <f t="shared" si="29"/>
        <v>0</v>
      </c>
      <c r="L86" s="85">
        <f t="shared" si="30"/>
        <v>0</v>
      </c>
      <c r="M86" s="85">
        <f>IF($A86&lt;PREMIUM_CALL_FIRST,0,SURPLUS_FUND_DEPOSIT* INTEREST_EARN_RATE)</f>
        <v>0</v>
      </c>
      <c r="N86" s="66">
        <f t="shared" si="37"/>
        <v>0</v>
      </c>
      <c r="O86" s="70">
        <f t="shared" si="31"/>
        <v>0</v>
      </c>
      <c r="P86" s="70">
        <f>$G$96-SUM($G$11:G86)</f>
        <v>0</v>
      </c>
      <c r="R86" s="68">
        <f t="shared" si="41"/>
        <v>0</v>
      </c>
      <c r="T86" s="83">
        <f>IF(ISNA(VLOOKUP($A86,Summary!$D$14:$AX$56,COLUMNS(Summary!$D$15:$AX$15),FALSE))=TRUE,0,VLOOKUP($A86,Summary!$D$14:$AX$56,COLUMNS(Summary!$D$15:$AX$15),FALSE))</f>
        <v>0</v>
      </c>
      <c r="U86" s="84">
        <f>IF(ISERROR(IF(ISNA(VLOOKUP($A86,Summary!$D$14:$AX$56,COLUMNS(Summary!$D$15:$AX$15),FALSE))=TRUE,0,VLOOKUP($A86,Summary!$D$14:$AX$56,COLUMNS(Summary!$D$15:$AX$15),FALSE))/O86),0,IF(ISNA(VLOOKUP($A86,Summary!$D$14:$AX$56,COLUMNS(Summary!$D$15:$AX$15),FALSE))=TRUE,0,VLOOKUP($A86,Summary!$D$14:$AX$56,COLUMNS(Summary!$D$15:$AX$15),FALSE))/O86)</f>
        <v>0</v>
      </c>
      <c r="V86" s="72" t="str">
        <f t="shared" si="38"/>
        <v/>
      </c>
      <c r="X86" s="83">
        <f t="shared" si="32"/>
        <v>0</v>
      </c>
      <c r="Y86" s="83"/>
      <c r="Z86" s="83"/>
    </row>
    <row r="87" spans="1:26" hidden="1" outlineLevel="1" x14ac:dyDescent="0.25">
      <c r="A87" s="67">
        <f t="shared" si="33"/>
        <v>0</v>
      </c>
      <c r="B87" s="161">
        <f t="shared" si="28"/>
        <v>0</v>
      </c>
      <c r="C87" s="161">
        <f t="shared" si="39"/>
        <v>0</v>
      </c>
      <c r="D87" s="161">
        <f>IF(C87=0,0,TRUNC(IF(B87=C87,100,IF(A87&lt;=(EDATE(PAR_CALL_FIRST,10*12)),PRICE(DELIVERY_REFUNDING,A87,B87,C87,100,2,0),MIN(PRICE(DELIVERY_REFUNDING,A87,B87,C87,100,2,0),PRICE(DELIVERY_REFUNDING,(EDATE(PAR_CALL_FIRST,10*12)),B87,C87,100,2,0)))),3)/100)</f>
        <v>0</v>
      </c>
      <c r="E87" s="137"/>
      <c r="F87" s="66">
        <f t="shared" si="42"/>
        <v>0</v>
      </c>
      <c r="G87" s="66">
        <f>IF(REFUND_FINANCING="Yes",IF(OR(CAPI_TERM&gt;A87,MONTH(A87)&lt;&gt;PRIN_MATURITY,FIRST_PRIN&gt;A87),0,MAX(0,INT(((((VLOOKUP($A87,Summary!$D$14:$AX$56,COLUMNS(Summary!$D$15:$AX$15))+M87)/$V87-H88*2*R87)/(1+B87*R87)+IF($A87=SURPLUS_FUND_RELEASE_DATE_REFUNDING,IF(SURPLUS_RELEASE_SIZING="Yes",SURPLUS_FUND_DEPOSIT_REFUNDING,0),0)/(1+B87*R87)))/5000)*5000)),0)</f>
        <v>0</v>
      </c>
      <c r="H87" s="66">
        <f t="shared" si="34"/>
        <v>0</v>
      </c>
      <c r="I87" s="66">
        <f t="shared" si="35"/>
        <v>0</v>
      </c>
      <c r="J87" s="70">
        <f t="shared" si="36"/>
        <v>0</v>
      </c>
      <c r="K87" s="66">
        <f t="shared" si="29"/>
        <v>0</v>
      </c>
      <c r="L87" s="85">
        <f t="shared" si="30"/>
        <v>0</v>
      </c>
      <c r="M87" s="85"/>
      <c r="N87" s="66">
        <f t="shared" si="37"/>
        <v>0</v>
      </c>
      <c r="O87" s="70">
        <f t="shared" si="31"/>
        <v>0</v>
      </c>
      <c r="P87" s="70">
        <f>$G$96-SUM($G$11:G87)</f>
        <v>0</v>
      </c>
      <c r="R87" s="68">
        <f t="shared" si="41"/>
        <v>0</v>
      </c>
      <c r="T87" s="83">
        <f>IF(ISNA(VLOOKUP($A87,Summary!$D$14:$AX$56,COLUMNS(Summary!$D$15:$AX$15),FALSE))=TRUE,0,VLOOKUP($A87,Summary!$D$14:$AX$56,COLUMNS(Summary!$D$15:$AX$15),FALSE))</f>
        <v>0</v>
      </c>
      <c r="U87" s="84">
        <f>IF(ISERROR(IF(ISNA(VLOOKUP($A87,Summary!$D$14:$AX$56,COLUMNS(Summary!$D$15:$AX$15),FALSE))=TRUE,0,VLOOKUP($A87,Summary!$D$14:$AX$56,COLUMNS(Summary!$D$15:$AX$15),FALSE))/O87),0,IF(ISNA(VLOOKUP($A87,Summary!$D$14:$AX$56,COLUMNS(Summary!$D$15:$AX$15),FALSE))=TRUE,0,VLOOKUP($A87,Summary!$D$14:$AX$56,COLUMNS(Summary!$D$15:$AX$15),FALSE))/O87)</f>
        <v>0</v>
      </c>
      <c r="V87" s="72" t="str">
        <f t="shared" si="38"/>
        <v/>
      </c>
      <c r="X87" s="83">
        <f t="shared" si="32"/>
        <v>0</v>
      </c>
      <c r="Y87" s="83"/>
      <c r="Z87" s="83"/>
    </row>
    <row r="88" spans="1:26" hidden="1" outlineLevel="1" x14ac:dyDescent="0.25">
      <c r="A88" s="67">
        <f t="shared" si="33"/>
        <v>0</v>
      </c>
      <c r="B88" s="161">
        <f t="shared" si="28"/>
        <v>0</v>
      </c>
      <c r="C88" s="161">
        <f t="shared" si="39"/>
        <v>0</v>
      </c>
      <c r="D88" s="68">
        <f t="shared" si="40"/>
        <v>0</v>
      </c>
      <c r="E88" s="137"/>
      <c r="F88" s="66">
        <f t="shared" si="42"/>
        <v>0</v>
      </c>
      <c r="G88" s="66">
        <f>IF(REFUND_FINANCING="Yes",IF(OR(CAPI_TERM&gt;A88,MONTH(A88)&lt;&gt;PRIN_MATURITY,FIRST_PRIN&gt;A88),0,MAX(0,INT(((((VLOOKUP($A88,Summary!$D$14:$AX$56,COLUMNS(Summary!$D$15:$AX$15))+M88)/$V88-H89*2*R88)/(1+B88*R88)+IF($A88=SURPLUS_FUND_RELEASE_DATE_REFUNDING,IF(SURPLUS_RELEASE_SIZING="Yes",SURPLUS_FUND_DEPOSIT_REFUNDING,0),0)/(1+B88*R88)))/5000)*5000)),0)</f>
        <v>0</v>
      </c>
      <c r="H88" s="66">
        <f t="shared" si="34"/>
        <v>0</v>
      </c>
      <c r="I88" s="66">
        <f t="shared" si="35"/>
        <v>0</v>
      </c>
      <c r="J88" s="70">
        <f t="shared" si="36"/>
        <v>0</v>
      </c>
      <c r="K88" s="66">
        <f t="shared" si="29"/>
        <v>0</v>
      </c>
      <c r="L88" s="85">
        <f t="shared" si="30"/>
        <v>0</v>
      </c>
      <c r="M88" s="85">
        <f>IF($A88&lt;PREMIUM_CALL_FIRST,0,SURPLUS_FUND_DEPOSIT* INTEREST_EARN_RATE)</f>
        <v>0</v>
      </c>
      <c r="N88" s="66">
        <f t="shared" si="37"/>
        <v>0</v>
      </c>
      <c r="O88" s="70">
        <f t="shared" si="31"/>
        <v>0</v>
      </c>
      <c r="P88" s="70">
        <f>$G$96-SUM($G$11:G88)</f>
        <v>0</v>
      </c>
      <c r="R88" s="68">
        <f t="shared" si="41"/>
        <v>0</v>
      </c>
      <c r="T88" s="83">
        <f>IF(ISNA(VLOOKUP($A88,Summary!$D$14:$AX$56,COLUMNS(Summary!$D$15:$AX$15),FALSE))=TRUE,0,VLOOKUP($A88,Summary!$D$14:$AX$56,COLUMNS(Summary!$D$15:$AX$15),FALSE))</f>
        <v>0</v>
      </c>
      <c r="U88" s="84">
        <f>IF(ISERROR(IF(ISNA(VLOOKUP($A88,Summary!$D$14:$AX$56,COLUMNS(Summary!$D$15:$AX$15),FALSE))=TRUE,0,VLOOKUP($A88,Summary!$D$14:$AX$56,COLUMNS(Summary!$D$15:$AX$15),FALSE))/O88),0,IF(ISNA(VLOOKUP($A88,Summary!$D$14:$AX$56,COLUMNS(Summary!$D$15:$AX$15),FALSE))=TRUE,0,VLOOKUP($A88,Summary!$D$14:$AX$56,COLUMNS(Summary!$D$15:$AX$15),FALSE))/O88)</f>
        <v>0</v>
      </c>
      <c r="V88" s="72" t="str">
        <f t="shared" si="38"/>
        <v/>
      </c>
      <c r="X88" s="83">
        <f t="shared" si="32"/>
        <v>0</v>
      </c>
      <c r="Y88" s="83"/>
      <c r="Z88" s="83"/>
    </row>
    <row r="89" spans="1:26" hidden="1" outlineLevel="1" x14ac:dyDescent="0.25">
      <c r="A89" s="67">
        <f t="shared" si="33"/>
        <v>0</v>
      </c>
      <c r="B89" s="161">
        <f t="shared" si="28"/>
        <v>0</v>
      </c>
      <c r="C89" s="161">
        <f t="shared" si="39"/>
        <v>0</v>
      </c>
      <c r="D89" s="68">
        <f t="shared" si="40"/>
        <v>0</v>
      </c>
      <c r="E89" s="137"/>
      <c r="F89" s="66">
        <f t="shared" si="42"/>
        <v>0</v>
      </c>
      <c r="G89" s="66">
        <f>IF(REFUND_FINANCING="Yes",IF(OR(CAPI_TERM&gt;A89,MONTH(A89)&lt;&gt;PRIN_MATURITY,FIRST_PRIN&gt;A89),0,MAX(0,INT(((((VLOOKUP($A89,Summary!$D$14:$AX$56,COLUMNS(Summary!$D$15:$AX$15))+M89)/$V89-H90*2*R89)/(1+B89*R89)+IF($A89=SURPLUS_FUND_RELEASE_DATE_REFUNDING,IF(SURPLUS_RELEASE_SIZING="Yes",SURPLUS_FUND_DEPOSIT_REFUNDING,0),0)/(1+B89*R89)))/5000)*5000)),0)</f>
        <v>0</v>
      </c>
      <c r="H89" s="66">
        <f t="shared" si="34"/>
        <v>0</v>
      </c>
      <c r="I89" s="66">
        <f t="shared" si="35"/>
        <v>0</v>
      </c>
      <c r="J89" s="70">
        <f t="shared" si="36"/>
        <v>0</v>
      </c>
      <c r="K89" s="66">
        <f t="shared" si="29"/>
        <v>0</v>
      </c>
      <c r="L89" s="85">
        <f t="shared" si="30"/>
        <v>0</v>
      </c>
      <c r="M89" s="85"/>
      <c r="N89" s="66">
        <f t="shared" si="37"/>
        <v>0</v>
      </c>
      <c r="O89" s="70">
        <f t="shared" si="31"/>
        <v>0</v>
      </c>
      <c r="P89" s="70">
        <f>$G$96-SUM($G$11:G89)</f>
        <v>0</v>
      </c>
      <c r="R89" s="68">
        <f t="shared" si="41"/>
        <v>0</v>
      </c>
      <c r="T89" s="83">
        <f>IF(ISNA(VLOOKUP($A89,Summary!$D$14:$AX$56,COLUMNS(Summary!$D$15:$AX$15),FALSE))=TRUE,0,VLOOKUP($A89,Summary!$D$14:$AX$56,COLUMNS(Summary!$D$15:$AX$15),FALSE))</f>
        <v>0</v>
      </c>
      <c r="U89" s="84">
        <f>IF(ISERROR(IF(ISNA(VLOOKUP($A89,Summary!$D$14:$AX$56,COLUMNS(Summary!$D$15:$AX$15),FALSE))=TRUE,0,VLOOKUP($A89,Summary!$D$14:$AX$56,COLUMNS(Summary!$D$15:$AX$15),FALSE))/O89),0,IF(ISNA(VLOOKUP($A89,Summary!$D$14:$AX$56,COLUMNS(Summary!$D$15:$AX$15),FALSE))=TRUE,0,VLOOKUP($A89,Summary!$D$14:$AX$56,COLUMNS(Summary!$D$15:$AX$15),FALSE))/O89)</f>
        <v>0</v>
      </c>
      <c r="V89" s="72" t="str">
        <f t="shared" si="38"/>
        <v/>
      </c>
      <c r="X89" s="83">
        <f t="shared" si="32"/>
        <v>0</v>
      </c>
      <c r="Y89" s="83"/>
      <c r="Z89" s="83"/>
    </row>
    <row r="90" spans="1:26" hidden="1" outlineLevel="1" x14ac:dyDescent="0.25">
      <c r="A90" s="67">
        <f t="shared" si="33"/>
        <v>0</v>
      </c>
      <c r="B90" s="161">
        <f t="shared" si="28"/>
        <v>0</v>
      </c>
      <c r="C90" s="161">
        <f t="shared" si="39"/>
        <v>0</v>
      </c>
      <c r="D90" s="161">
        <f>IF(C90=0,0,TRUNC(IF(B90=C90,100,IF(A90&lt;=(EDATE(PAR_CALL_FIRST,10*12)),PRICE(DELIVERY_REFUNDING,A90,B90,C90,100,2,0),MIN(PRICE(DELIVERY_REFUNDING,A90,B90,C90,100,2,0),PRICE(DELIVERY_REFUNDING,(EDATE(PAR_CALL_FIRST,10*12)),B90,C90,100,2,0)))),3)/100)</f>
        <v>0</v>
      </c>
      <c r="E90" s="137"/>
      <c r="F90" s="66">
        <f t="shared" si="42"/>
        <v>0</v>
      </c>
      <c r="G90" s="66">
        <f>IF(REFUND_FINANCING="Yes",IF(OR(CAPI_TERM&gt;A90,MONTH(A90)&lt;&gt;PRIN_MATURITY,FIRST_PRIN&gt;A90),0,MAX(0,INT(((((VLOOKUP($A90,Summary!$D$14:$AX$56,COLUMNS(Summary!$D$15:$AX$15))+M90)/$V90-H91*2*R90)/(1+B90*R90)+IF($A90=SURPLUS_FUND_RELEASE_DATE_REFUNDING,IF(SURPLUS_RELEASE_SIZING="Yes",SURPLUS_FUND_DEPOSIT_REFUNDING,0),0)/(1+B90*R90)))/5000)*5000)),0)</f>
        <v>0</v>
      </c>
      <c r="H90" s="66">
        <f t="shared" si="34"/>
        <v>0</v>
      </c>
      <c r="I90" s="66">
        <f t="shared" si="35"/>
        <v>0</v>
      </c>
      <c r="J90" s="70">
        <f t="shared" si="36"/>
        <v>0</v>
      </c>
      <c r="K90" s="66">
        <f t="shared" si="29"/>
        <v>0</v>
      </c>
      <c r="L90" s="85">
        <f t="shared" si="30"/>
        <v>0</v>
      </c>
      <c r="M90" s="85">
        <f>IF($A90&lt;PREMIUM_CALL_FIRST,0,SURPLUS_FUND_DEPOSIT* INTEREST_EARN_RATE)</f>
        <v>0</v>
      </c>
      <c r="N90" s="66">
        <f t="shared" si="37"/>
        <v>0</v>
      </c>
      <c r="O90" s="70">
        <f t="shared" si="31"/>
        <v>0</v>
      </c>
      <c r="P90" s="70">
        <f>$G$96-SUM($G$11:G90)</f>
        <v>0</v>
      </c>
      <c r="R90" s="68">
        <f t="shared" si="41"/>
        <v>0</v>
      </c>
      <c r="T90" s="83">
        <f>IF(ISNA(VLOOKUP($A90,Summary!$D$14:$AX$56,COLUMNS(Summary!$D$15:$AX$15),FALSE))=TRUE,0,VLOOKUP($A90,Summary!$D$14:$AX$56,COLUMNS(Summary!$D$15:$AX$15),FALSE))</f>
        <v>0</v>
      </c>
      <c r="U90" s="84">
        <f>IF(ISERROR(IF(ISNA(VLOOKUP($A90,Summary!$D$14:$AX$56,COLUMNS(Summary!$D$15:$AX$15),FALSE))=TRUE,0,VLOOKUP($A90,Summary!$D$14:$AX$56,COLUMNS(Summary!$D$15:$AX$15),FALSE))/O90),0,IF(ISNA(VLOOKUP($A90,Summary!$D$14:$AX$56,COLUMNS(Summary!$D$15:$AX$15),FALSE))=TRUE,0,VLOOKUP($A90,Summary!$D$14:$AX$56,COLUMNS(Summary!$D$15:$AX$15),FALSE))/O90)</f>
        <v>0</v>
      </c>
      <c r="V90" s="72" t="str">
        <f t="shared" si="38"/>
        <v/>
      </c>
      <c r="X90" s="83">
        <f t="shared" si="32"/>
        <v>0</v>
      </c>
      <c r="Y90" s="83"/>
      <c r="Z90" s="83"/>
    </row>
    <row r="91" spans="1:26" hidden="1" outlineLevel="1" x14ac:dyDescent="0.25">
      <c r="A91" s="67">
        <f t="shared" si="33"/>
        <v>0</v>
      </c>
      <c r="B91" s="161">
        <f t="shared" si="28"/>
        <v>0</v>
      </c>
      <c r="C91" s="161">
        <f t="shared" si="39"/>
        <v>0</v>
      </c>
      <c r="D91" s="68">
        <f t="shared" si="40"/>
        <v>0</v>
      </c>
      <c r="E91" s="137"/>
      <c r="F91" s="66">
        <f t="shared" si="42"/>
        <v>0</v>
      </c>
      <c r="G91" s="66">
        <f>IF(REFUND_FINANCING="Yes",IF(OR(CAPI_TERM&gt;A91,MONTH(A91)&lt;&gt;PRIN_MATURITY,FIRST_PRIN&gt;A91),0,MAX(0,INT(((((VLOOKUP($A91,Summary!$D$14:$AX$56,COLUMNS(Summary!$D$15:$AX$15))+M91)/$V91-H92*2*R91)/(1+B91*R91)+IF($A91=SURPLUS_FUND_RELEASE_DATE_REFUNDING,IF(SURPLUS_RELEASE_SIZING="Yes",SURPLUS_FUND_DEPOSIT_REFUNDING,0),0)/(1+B91*R91)))/5000)*5000)),0)</f>
        <v>0</v>
      </c>
      <c r="H91" s="66">
        <f t="shared" si="34"/>
        <v>0</v>
      </c>
      <c r="I91" s="66">
        <f t="shared" si="35"/>
        <v>0</v>
      </c>
      <c r="J91" s="70">
        <f t="shared" si="36"/>
        <v>0</v>
      </c>
      <c r="K91" s="66">
        <f t="shared" si="29"/>
        <v>0</v>
      </c>
      <c r="L91" s="85">
        <f t="shared" si="30"/>
        <v>0</v>
      </c>
      <c r="M91" s="85"/>
      <c r="N91" s="66">
        <f t="shared" si="37"/>
        <v>0</v>
      </c>
      <c r="O91" s="70">
        <f t="shared" si="31"/>
        <v>0</v>
      </c>
      <c r="P91" s="70">
        <f>$G$96-SUM($G$11:G91)</f>
        <v>0</v>
      </c>
      <c r="R91" s="68">
        <f t="shared" si="41"/>
        <v>0</v>
      </c>
      <c r="T91" s="83">
        <f>IF(ISNA(VLOOKUP($A91,Summary!$D$14:$AX$56,COLUMNS(Summary!$D$15:$AX$15),FALSE))=TRUE,0,VLOOKUP($A91,Summary!$D$14:$AX$56,COLUMNS(Summary!$D$15:$AX$15),FALSE))</f>
        <v>0</v>
      </c>
      <c r="U91" s="84">
        <f>IF(ISERROR(IF(ISNA(VLOOKUP($A91,Summary!$D$14:$AX$56,COLUMNS(Summary!$D$15:$AX$15),FALSE))=TRUE,0,VLOOKUP($A91,Summary!$D$14:$AX$56,COLUMNS(Summary!$D$15:$AX$15),FALSE))/O91),0,IF(ISNA(VLOOKUP($A91,Summary!$D$14:$AX$56,COLUMNS(Summary!$D$15:$AX$15),FALSE))=TRUE,0,VLOOKUP($A91,Summary!$D$14:$AX$56,COLUMNS(Summary!$D$15:$AX$15),FALSE))/O91)</f>
        <v>0</v>
      </c>
      <c r="V91" s="72" t="str">
        <f t="shared" si="38"/>
        <v/>
      </c>
      <c r="X91" s="83">
        <f t="shared" si="32"/>
        <v>0</v>
      </c>
      <c r="Y91" s="83"/>
      <c r="Z91" s="83"/>
    </row>
    <row r="92" spans="1:26" hidden="1" outlineLevel="1" x14ac:dyDescent="0.25">
      <c r="A92" s="67">
        <f t="shared" si="33"/>
        <v>0</v>
      </c>
      <c r="B92" s="161">
        <f t="shared" si="28"/>
        <v>0</v>
      </c>
      <c r="C92" s="68"/>
      <c r="D92" s="68">
        <f t="shared" si="40"/>
        <v>0</v>
      </c>
      <c r="E92" s="137"/>
      <c r="F92" s="66">
        <f t="shared" si="42"/>
        <v>0</v>
      </c>
      <c r="G92" s="66"/>
      <c r="H92" s="66">
        <f t="shared" si="34"/>
        <v>0</v>
      </c>
      <c r="I92" s="66">
        <f t="shared" si="35"/>
        <v>0</v>
      </c>
      <c r="J92" s="70">
        <f t="shared" si="36"/>
        <v>0</v>
      </c>
      <c r="K92" s="66"/>
      <c r="L92" s="85">
        <f t="shared" si="30"/>
        <v>0</v>
      </c>
      <c r="M92" s="85">
        <f>IF($A92&lt;PREMIUM_CALL_FIRST,0,SURPLUS_FUND_DEPOSIT* INTEREST_EARN_RATE)</f>
        <v>0</v>
      </c>
      <c r="N92" s="66"/>
      <c r="O92" s="70">
        <f t="shared" si="31"/>
        <v>0</v>
      </c>
      <c r="P92" s="70"/>
      <c r="R92" s="68"/>
      <c r="V92" s="72"/>
    </row>
    <row r="93" spans="1:26" hidden="1" outlineLevel="1" x14ac:dyDescent="0.25">
      <c r="A93" s="67">
        <f t="shared" si="33"/>
        <v>0</v>
      </c>
      <c r="B93" s="161">
        <f t="shared" si="28"/>
        <v>0</v>
      </c>
      <c r="C93" s="68"/>
      <c r="D93" s="161">
        <f>IF(C93=0,0,TRUNC(IF(B93=C93,100,IF(A93&lt;=(EDATE(PAR_CALL_FIRST,10*12)),PRICE(DELIVERY_REFUNDING,A93,B93,C93,100,2,0),MIN(PRICE(DELIVERY_REFUNDING,A93,B93,C93,100,2,0),PRICE(DELIVERY_REFUNDING,(EDATE(PAR_CALL_FIRST,10*12)),B93,C93,100,2,0)))),3)/100)</f>
        <v>0</v>
      </c>
      <c r="E93" s="137"/>
      <c r="F93" s="66">
        <f t="shared" si="42"/>
        <v>0</v>
      </c>
      <c r="G93" s="66"/>
      <c r="H93" s="66">
        <f t="shared" si="34"/>
        <v>0</v>
      </c>
      <c r="I93" s="66">
        <f t="shared" si="35"/>
        <v>0</v>
      </c>
      <c r="J93" s="70">
        <f t="shared" si="36"/>
        <v>0</v>
      </c>
      <c r="K93" s="66"/>
      <c r="L93" s="85">
        <f t="shared" si="30"/>
        <v>0</v>
      </c>
      <c r="M93" s="85"/>
      <c r="N93" s="66"/>
      <c r="O93" s="70">
        <f t="shared" si="31"/>
        <v>0</v>
      </c>
      <c r="P93" s="70"/>
      <c r="R93" s="68"/>
      <c r="V93" s="72"/>
    </row>
    <row r="94" spans="1:26" collapsed="1" x14ac:dyDescent="0.25">
      <c r="A94" s="67"/>
      <c r="B94" s="68"/>
      <c r="C94" s="73"/>
      <c r="D94" s="74"/>
      <c r="E94" s="138"/>
      <c r="F94" s="74"/>
      <c r="G94" s="66"/>
      <c r="H94" s="66"/>
      <c r="I94" s="66"/>
      <c r="J94" s="66"/>
      <c r="K94" s="66"/>
      <c r="L94" s="66"/>
      <c r="M94" s="85">
        <f>IF($A94&lt;PREMIUM_CALL_FIRST,0,SURPLUS_FUND_DEPOSIT* INTEREST_EARN_RATE)</f>
        <v>0</v>
      </c>
      <c r="N94" s="66"/>
      <c r="O94" s="70"/>
      <c r="P94" s="70"/>
      <c r="R94" s="73"/>
      <c r="V94" s="72" t="str">
        <f>IF($B94&lt;&gt;0,DSC_SENIOR_LIEN_BONDS,"")</f>
        <v/>
      </c>
    </row>
    <row r="95" spans="1:26" x14ac:dyDescent="0.25">
      <c r="A95" s="67"/>
      <c r="B95" s="178"/>
      <c r="C95" s="178"/>
      <c r="D95" s="106"/>
      <c r="E95" s="179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78"/>
      <c r="S95" s="106"/>
      <c r="T95" s="105"/>
      <c r="U95" s="105"/>
    </row>
    <row r="96" spans="1:26" x14ac:dyDescent="0.25">
      <c r="A96" s="67" t="s">
        <v>88</v>
      </c>
      <c r="B96" s="73"/>
      <c r="C96" s="73"/>
      <c r="F96" s="66">
        <f t="shared" ref="F96:N96" si="43">SUM(F11:F94)</f>
        <v>0</v>
      </c>
      <c r="G96" s="66">
        <f>SUM(G11:G94)</f>
        <v>0</v>
      </c>
      <c r="H96" s="66">
        <f t="shared" si="43"/>
        <v>0</v>
      </c>
      <c r="I96" s="66">
        <f>SUM(I11:I94)</f>
        <v>0</v>
      </c>
      <c r="J96" s="66">
        <f>SUM(J11:J94)</f>
        <v>0</v>
      </c>
      <c r="K96" s="66">
        <f t="shared" si="43"/>
        <v>0</v>
      </c>
      <c r="L96" s="66"/>
      <c r="M96" s="66"/>
      <c r="N96" s="66">
        <f t="shared" si="43"/>
        <v>0</v>
      </c>
      <c r="O96" s="66">
        <f>SUM(O11:O94)</f>
        <v>0</v>
      </c>
      <c r="P96" s="66"/>
      <c r="Q96" s="66"/>
      <c r="R96" s="66"/>
      <c r="S96" s="66"/>
      <c r="T96" s="66"/>
      <c r="U96" s="66"/>
      <c r="V96" s="66"/>
      <c r="W96" s="66"/>
      <c r="X96" s="83">
        <f t="shared" ref="X96" si="44">SUM(X11:X94)</f>
        <v>0</v>
      </c>
      <c r="Y96" s="83"/>
      <c r="Z96" s="83"/>
    </row>
    <row r="97" spans="1:10" x14ac:dyDescent="0.25">
      <c r="A97" s="67"/>
    </row>
    <row r="98" spans="1:10" x14ac:dyDescent="0.25">
      <c r="A98" s="67"/>
      <c r="J98" s="70"/>
    </row>
    <row r="99" spans="1:10" x14ac:dyDescent="0.25">
      <c r="A99" s="67"/>
    </row>
    <row r="100" spans="1:10" x14ac:dyDescent="0.25">
      <c r="A100" s="67"/>
    </row>
    <row r="101" spans="1:10" x14ac:dyDescent="0.25">
      <c r="A101" s="67"/>
    </row>
    <row r="102" spans="1:10" x14ac:dyDescent="0.25">
      <c r="A102" s="67"/>
    </row>
    <row r="103" spans="1:10" x14ac:dyDescent="0.25">
      <c r="A103" s="67"/>
    </row>
    <row r="104" spans="1:10" x14ac:dyDescent="0.25">
      <c r="A104" s="67"/>
    </row>
    <row r="105" spans="1:10" x14ac:dyDescent="0.25">
      <c r="A105" s="67"/>
    </row>
    <row r="106" spans="1:10" x14ac:dyDescent="0.25">
      <c r="A106" s="67"/>
    </row>
    <row r="107" spans="1:10" x14ac:dyDescent="0.25">
      <c r="A107" s="67"/>
    </row>
    <row r="108" spans="1:10" x14ac:dyDescent="0.25">
      <c r="A108" s="67"/>
    </row>
    <row r="109" spans="1:10" x14ac:dyDescent="0.25">
      <c r="A109" s="67"/>
    </row>
    <row r="110" spans="1:10" x14ac:dyDescent="0.25">
      <c r="A110" s="67"/>
    </row>
    <row r="111" spans="1:10" x14ac:dyDescent="0.25">
      <c r="A111" s="67"/>
    </row>
  </sheetData>
  <pageMargins left="0.25" right="0.25" top="0.5" bottom="0.5" header="0.3" footer="0.3"/>
  <pageSetup scale="26" orientation="landscape" r:id="rId1"/>
  <colBreaks count="1" manualBreakCount="1">
    <brk id="22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B1EDF-0E8D-4E53-97D3-58C6A99B432C}">
  <sheetPr codeName="Sheet9"/>
  <dimension ref="A5:N98"/>
  <sheetViews>
    <sheetView workbookViewId="0">
      <selection activeCell="A12" sqref="A12"/>
    </sheetView>
  </sheetViews>
  <sheetFormatPr defaultColWidth="9.140625" defaultRowHeight="14.25" x14ac:dyDescent="0.2"/>
  <cols>
    <col min="1" max="1" width="12.7109375" style="35" customWidth="1"/>
    <col min="2" max="2" width="15" style="35" customWidth="1"/>
    <col min="3" max="4" width="12.7109375" style="35" customWidth="1"/>
    <col min="5" max="5" width="4.5703125" style="35" customWidth="1"/>
    <col min="6" max="11" width="12.7109375" style="35" customWidth="1"/>
    <col min="12" max="16384" width="9.140625" style="35"/>
  </cols>
  <sheetData>
    <row r="5" spans="1:11" x14ac:dyDescent="0.2">
      <c r="A5" s="44"/>
      <c r="H5" s="45"/>
    </row>
    <row r="6" spans="1:11" x14ac:dyDescent="0.2">
      <c r="A6" s="46" t="s">
        <v>103</v>
      </c>
      <c r="B6" s="286">
        <v>0</v>
      </c>
      <c r="G6" s="45">
        <f>(1+B6/2)^(1/6)-1</f>
        <v>0</v>
      </c>
      <c r="H6" s="45"/>
    </row>
    <row r="7" spans="1:11" ht="15" thickBot="1" x14ac:dyDescent="0.25">
      <c r="A7" s="44"/>
      <c r="G7" s="45">
        <f>G6*12</f>
        <v>0</v>
      </c>
      <c r="H7" s="45"/>
    </row>
    <row r="8" spans="1:11" s="37" customFormat="1" ht="13.5" thickTop="1" x14ac:dyDescent="0.2">
      <c r="A8" s="36" t="s">
        <v>104</v>
      </c>
      <c r="B8" s="38" t="s">
        <v>105</v>
      </c>
      <c r="C8" s="38" t="s">
        <v>94</v>
      </c>
      <c r="D8" s="38" t="s">
        <v>106</v>
      </c>
      <c r="F8" s="38" t="s">
        <v>107</v>
      </c>
      <c r="H8" s="47" t="s">
        <v>108</v>
      </c>
      <c r="I8" s="38" t="s">
        <v>109</v>
      </c>
      <c r="J8" s="38" t="s">
        <v>110</v>
      </c>
      <c r="K8" s="38" t="s">
        <v>111</v>
      </c>
    </row>
    <row r="9" spans="1:11" s="41" customFormat="1" ht="13.5" thickBot="1" x14ac:dyDescent="0.25">
      <c r="A9" s="39" t="s">
        <v>95</v>
      </c>
      <c r="B9" s="40" t="s">
        <v>112</v>
      </c>
      <c r="C9" s="40" t="s">
        <v>9</v>
      </c>
      <c r="D9" s="40" t="s">
        <v>113</v>
      </c>
      <c r="F9" s="40" t="s">
        <v>114</v>
      </c>
      <c r="H9" s="48" t="s">
        <v>96</v>
      </c>
      <c r="I9" s="40" t="s">
        <v>9</v>
      </c>
      <c r="J9" s="40" t="s">
        <v>113</v>
      </c>
      <c r="K9" s="40" t="s">
        <v>114</v>
      </c>
    </row>
    <row r="10" spans="1:11" ht="15" thickTop="1" x14ac:dyDescent="0.2"/>
    <row r="11" spans="1:11" x14ac:dyDescent="0.2">
      <c r="A11" s="49">
        <f>DELIVERY</f>
        <v>45561</v>
      </c>
      <c r="B11" s="42"/>
      <c r="C11" s="42"/>
      <c r="D11" s="42"/>
      <c r="E11" s="42"/>
      <c r="F11" s="42">
        <f ca="1">NPV(G6,D12:D48)*(1+G6)^(1-FRAC_CAPI)</f>
        <v>812504.34027777775</v>
      </c>
      <c r="J11" s="43">
        <f>D11</f>
        <v>0</v>
      </c>
      <c r="K11" s="43">
        <f ca="1">F11+I11-J11</f>
        <v>812504.34027777775</v>
      </c>
    </row>
    <row r="12" spans="1:11" x14ac:dyDescent="0.2">
      <c r="A12" s="49">
        <f>CAPI_FIRST_DRAW</f>
        <v>45717</v>
      </c>
      <c r="B12" s="42"/>
      <c r="C12" s="42">
        <f ca="1">IF(CAPI="No",0,IF(ISNA(IF(VLOOKUP(A12,CAPI_INT_DRAWS,1,0)=A12,VLOOKUP(A12,CAPI_INT_DRAWS,COLUMNS('Senior Lien DS - First'!$A$11:$I$11),0),0)),0,IF(VLOOKUP(A12,CAPI_INT_DRAWS,1,0)=A12,VLOOKUP(A12,CAPI_INT_DRAWS,COLUMNS('Senior Lien DS - First'!$A$11:$I$11),0),0))*IF(AND(OR(MONTH($A12)=PRIN_MATURITY,MONTH($A12)=INT_MATURITY),$A12&gt;CAPI_END_DATE),IF(DAYS360(EDATE(A12,-6),CAPI_END_DATE)&lt;0,0,DAYS360(EDATE(A12,-6),CAPI_END_DATE))/180,1))</f>
        <v>143929.34027777778</v>
      </c>
      <c r="D12" s="42">
        <f ca="1">B12+C12</f>
        <v>143929.34027777778</v>
      </c>
      <c r="E12" s="42"/>
      <c r="F12" s="42">
        <f ca="1">K11</f>
        <v>812504.34027777775</v>
      </c>
      <c r="G12" s="35">
        <f>DAYS360(A11,A12)</f>
        <v>155</v>
      </c>
      <c r="H12" s="50">
        <f t="shared" ref="H12:H42" si="0">((1+INTEREST_EARN_RATE/2)^(2/(360/G12))-1)*360/G12</f>
        <v>2.4978400909265501E-2</v>
      </c>
      <c r="I12" s="51">
        <f ca="1">F12*H12*G12/360</f>
        <v>8738.1504682121522</v>
      </c>
      <c r="J12" s="43">
        <f t="shared" ref="J12:J42" ca="1" si="1">D12</f>
        <v>143929.34027777778</v>
      </c>
      <c r="K12" s="43">
        <f t="shared" ref="K12:K42" ca="1" si="2">F12+I12-J12</f>
        <v>677313.1504682122</v>
      </c>
    </row>
    <row r="13" spans="1:11" x14ac:dyDescent="0.2">
      <c r="A13" s="49">
        <f>EDATE(A12,1)</f>
        <v>45748</v>
      </c>
      <c r="B13" s="42"/>
      <c r="C13" s="42">
        <f>IF(CAPI="No",0,IF(ISNA(IF(VLOOKUP(A13,CAPI_INT_DRAWS,1,0)=A13,VLOOKUP(A13,CAPI_INT_DRAWS,COLUMNS('Senior Lien DS - First'!$A$11:$I$11),0),0)),0,IF(VLOOKUP(A13,CAPI_INT_DRAWS,1,0)=A13,VLOOKUP(A13,CAPI_INT_DRAWS,COLUMNS('Senior Lien DS - First'!$A$11:$I$11),0),0))*IF(AND(OR(MONTH($A13)=PRIN_MATURITY,MONTH($A13)=INT_MATURITY),$A13&gt;CAPI_END_DATE),IF(DAYS360(EDATE(A13,-6),CAPI_END_DATE)&lt;0,0,DAYS360(EDATE(A13,-6),CAPI_END_DATE))/180,1))</f>
        <v>0</v>
      </c>
      <c r="D13" s="42">
        <f t="shared" ref="D13:D42" si="3">B13+C13</f>
        <v>0</v>
      </c>
      <c r="E13" s="42"/>
      <c r="F13" s="42">
        <f t="shared" ref="F13:F42" ca="1" si="4">K12</f>
        <v>677313.1504682122</v>
      </c>
      <c r="G13" s="35">
        <f t="shared" ref="G13:G42" si="5">DAYS360(A12,A13)</f>
        <v>30</v>
      </c>
      <c r="H13" s="50">
        <f t="shared" si="0"/>
        <v>2.4870777590444426E-2</v>
      </c>
      <c r="I13" s="51">
        <f t="shared" ref="I13:I42" ca="1" si="6">F13*H13*G13/360</f>
        <v>1403.7753936981771</v>
      </c>
      <c r="J13" s="43">
        <f t="shared" si="1"/>
        <v>0</v>
      </c>
      <c r="K13" s="43">
        <f ca="1">F13+I13-J13</f>
        <v>678716.92586191033</v>
      </c>
    </row>
    <row r="14" spans="1:11" x14ac:dyDescent="0.2">
      <c r="A14" s="49">
        <f t="shared" ref="A14:A42" si="7">EDATE(A13,1)</f>
        <v>45778</v>
      </c>
      <c r="B14" s="42"/>
      <c r="C14" s="42">
        <f>IF(CAPI="No",0,IF(ISNA(IF(VLOOKUP(A14,CAPI_INT_DRAWS,1,0)=A14,VLOOKUP(A14,CAPI_INT_DRAWS,COLUMNS('Senior Lien DS - First'!$A$11:$I$11),0),0)),0,IF(VLOOKUP(A14,CAPI_INT_DRAWS,1,0)=A14,VLOOKUP(A14,CAPI_INT_DRAWS,COLUMNS('Senior Lien DS - First'!$A$11:$I$11),0),0))*IF(AND(OR(MONTH($A14)=PRIN_MATURITY,MONTH($A14)=INT_MATURITY),$A14&gt;CAPI_END_DATE),IF(DAYS360(EDATE(A14,-6),CAPI_END_DATE)&lt;0,0,DAYS360(EDATE(A14,-6),CAPI_END_DATE))/180,1))</f>
        <v>0</v>
      </c>
      <c r="D14" s="42">
        <f t="shared" si="3"/>
        <v>0</v>
      </c>
      <c r="E14" s="42"/>
      <c r="F14" s="42">
        <f t="shared" ca="1" si="4"/>
        <v>678716.92586191033</v>
      </c>
      <c r="G14" s="35">
        <f t="shared" si="5"/>
        <v>30</v>
      </c>
      <c r="H14" s="50">
        <f t="shared" si="0"/>
        <v>2.4870777590444426E-2</v>
      </c>
      <c r="I14" s="51">
        <f t="shared" ca="1" si="6"/>
        <v>1406.6848091651443</v>
      </c>
      <c r="J14" s="43">
        <f t="shared" si="1"/>
        <v>0</v>
      </c>
      <c r="K14" s="43">
        <f t="shared" ca="1" si="2"/>
        <v>680123.61067107553</v>
      </c>
    </row>
    <row r="15" spans="1:11" x14ac:dyDescent="0.2">
      <c r="A15" s="49">
        <f t="shared" si="7"/>
        <v>45809</v>
      </c>
      <c r="B15" s="42"/>
      <c r="C15" s="42">
        <f>IF(CAPI="No",0,IF(ISNA(IF(VLOOKUP(A15,CAPI_INT_DRAWS,1,0)=A15,VLOOKUP(A15,CAPI_INT_DRAWS,COLUMNS('Senior Lien DS - First'!$A$11:$I$11),0),0)),0,IF(VLOOKUP(A15,CAPI_INT_DRAWS,1,0)=A15,VLOOKUP(A15,CAPI_INT_DRAWS,COLUMNS('Senior Lien DS - First'!$A$11:$I$11),0),0))*IF(AND(OR(MONTH($A15)=PRIN_MATURITY,MONTH($A15)=INT_MATURITY),$A15&gt;CAPI_END_DATE),IF(DAYS360(EDATE(A15,-6),CAPI_END_DATE)&lt;0,0,DAYS360(EDATE(A15,-6),CAPI_END_DATE))/180,1))</f>
        <v>0</v>
      </c>
      <c r="D15" s="42">
        <f t="shared" si="3"/>
        <v>0</v>
      </c>
      <c r="E15" s="42"/>
      <c r="F15" s="42">
        <f t="shared" ca="1" si="4"/>
        <v>680123.61067107553</v>
      </c>
      <c r="G15" s="35">
        <f t="shared" si="5"/>
        <v>30</v>
      </c>
      <c r="H15" s="50">
        <f t="shared" si="0"/>
        <v>2.4870777590444426E-2</v>
      </c>
      <c r="I15" s="51">
        <f t="shared" ca="1" si="6"/>
        <v>1409.6002545841945</v>
      </c>
      <c r="J15" s="43">
        <f t="shared" si="1"/>
        <v>0</v>
      </c>
      <c r="K15" s="43">
        <f t="shared" ca="1" si="2"/>
        <v>681533.21092565975</v>
      </c>
    </row>
    <row r="16" spans="1:11" x14ac:dyDescent="0.2">
      <c r="A16" s="49">
        <f t="shared" si="7"/>
        <v>45839</v>
      </c>
      <c r="B16" s="42"/>
      <c r="C16" s="42">
        <f>IF(CAPI="No",0,IF(ISNA(IF(VLOOKUP(A16,CAPI_INT_DRAWS,1,0)=A16,VLOOKUP(A16,CAPI_INT_DRAWS,COLUMNS('Senior Lien DS - First'!$A$11:$I$11),0),0)),0,IF(VLOOKUP(A16,CAPI_INT_DRAWS,1,0)=A16,VLOOKUP(A16,CAPI_INT_DRAWS,COLUMNS('Senior Lien DS - First'!$A$11:$I$11),0),0))*IF(AND(OR(MONTH($A16)=PRIN_MATURITY,MONTH($A16)=INT_MATURITY),$A16&gt;CAPI_END_DATE),IF(DAYS360(EDATE(A16,-6),CAPI_END_DATE)&lt;0,0,DAYS360(EDATE(A16,-6),CAPI_END_DATE))/180,1))</f>
        <v>0</v>
      </c>
      <c r="D16" s="42">
        <f t="shared" si="3"/>
        <v>0</v>
      </c>
      <c r="E16" s="42"/>
      <c r="F16" s="42">
        <f t="shared" ca="1" si="4"/>
        <v>681533.21092565975</v>
      </c>
      <c r="G16" s="35">
        <f t="shared" si="5"/>
        <v>30</v>
      </c>
      <c r="H16" s="50">
        <f t="shared" si="0"/>
        <v>2.4870777590444426E-2</v>
      </c>
      <c r="I16" s="51">
        <f t="shared" ca="1" si="6"/>
        <v>1412.5217424527943</v>
      </c>
      <c r="J16" s="43">
        <f t="shared" si="1"/>
        <v>0</v>
      </c>
      <c r="K16" s="43">
        <f t="shared" ca="1" si="2"/>
        <v>682945.7326681125</v>
      </c>
    </row>
    <row r="17" spans="1:11" x14ac:dyDescent="0.2">
      <c r="A17" s="49">
        <f t="shared" si="7"/>
        <v>45870</v>
      </c>
      <c r="B17" s="42"/>
      <c r="C17" s="42">
        <f>IF(CAPI="No",0,IF(ISNA(IF(VLOOKUP(A17,CAPI_INT_DRAWS,1,0)=A17,VLOOKUP(A17,CAPI_INT_DRAWS,COLUMNS('Senior Lien DS - First'!$A$11:$I$11),0),0)),0,IF(VLOOKUP(A17,CAPI_INT_DRAWS,1,0)=A17,VLOOKUP(A17,CAPI_INT_DRAWS,COLUMNS('Senior Lien DS - First'!$A$11:$I$11),0),0))*IF(AND(OR(MONTH($A17)=PRIN_MATURITY,MONTH($A17)=INT_MATURITY),$A17&gt;CAPI_END_DATE),IF(DAYS360(EDATE(A17,-6),CAPI_END_DATE)&lt;0,0,DAYS360(EDATE(A17,-6),CAPI_END_DATE))/180,1))</f>
        <v>0</v>
      </c>
      <c r="D17" s="42">
        <f t="shared" si="3"/>
        <v>0</v>
      </c>
      <c r="E17" s="42"/>
      <c r="F17" s="42">
        <f t="shared" ca="1" si="4"/>
        <v>682945.7326681125</v>
      </c>
      <c r="G17" s="35">
        <f t="shared" si="5"/>
        <v>30</v>
      </c>
      <c r="H17" s="50">
        <f t="shared" si="0"/>
        <v>2.4870777590444426E-2</v>
      </c>
      <c r="I17" s="51">
        <f t="shared" ca="1" si="6"/>
        <v>1415.4492852943117</v>
      </c>
      <c r="J17" s="43">
        <f t="shared" si="1"/>
        <v>0</v>
      </c>
      <c r="K17" s="43">
        <f t="shared" ca="1" si="2"/>
        <v>684361.18195340678</v>
      </c>
    </row>
    <row r="18" spans="1:11" x14ac:dyDescent="0.2">
      <c r="A18" s="49">
        <f t="shared" si="7"/>
        <v>45901</v>
      </c>
      <c r="B18" s="42"/>
      <c r="C18" s="42">
        <f ca="1">IF(CAPI="No",0,IF(ISNA(IF(VLOOKUP(A18,CAPI_INT_DRAWS,1,0)=A18,VLOOKUP(A18,CAPI_INT_DRAWS,COLUMNS('Senior Lien DS - First'!$A$11:$I$11),0),0)),0,IF(VLOOKUP(A18,CAPI_INT_DRAWS,1,0)=A18,VLOOKUP(A18,CAPI_INT_DRAWS,COLUMNS('Senior Lien DS - First'!$A$11:$I$11),0),0))*IF(AND(OR(MONTH($A18)=PRIN_MATURITY,MONTH($A18)=INT_MATURITY),$A18&gt;CAPI_END_DATE),IF(DAYS360(EDATE(A18,-6),CAPI_END_DATE)&lt;0,0,DAYS360(EDATE(A18,-6),CAPI_END_DATE))/180,1))</f>
        <v>167143.75</v>
      </c>
      <c r="D18" s="42">
        <f t="shared" ca="1" si="3"/>
        <v>167143.75</v>
      </c>
      <c r="E18" s="42"/>
      <c r="F18" s="42">
        <f t="shared" ca="1" si="4"/>
        <v>684361.18195340678</v>
      </c>
      <c r="G18" s="35">
        <f t="shared" si="5"/>
        <v>30</v>
      </c>
      <c r="H18" s="50">
        <f t="shared" si="0"/>
        <v>2.4870777590444426E-2</v>
      </c>
      <c r="I18" s="51">
        <f t="shared" ca="1" si="6"/>
        <v>1418.3828956580705</v>
      </c>
      <c r="J18" s="43">
        <f t="shared" ca="1" si="1"/>
        <v>167143.75</v>
      </c>
      <c r="K18" s="43">
        <f t="shared" ca="1" si="2"/>
        <v>518635.8148490648</v>
      </c>
    </row>
    <row r="19" spans="1:11" x14ac:dyDescent="0.2">
      <c r="A19" s="49">
        <f t="shared" si="7"/>
        <v>45931</v>
      </c>
      <c r="B19" s="42"/>
      <c r="C19" s="42">
        <f>IF(CAPI="No",0,IF(ISNA(IF(VLOOKUP(A19,CAPI_INT_DRAWS,1,0)=A19,VLOOKUP(A19,CAPI_INT_DRAWS,COLUMNS('Senior Lien DS - First'!$A$11:$I$11),0),0)),0,IF(VLOOKUP(A19,CAPI_INT_DRAWS,1,0)=A19,VLOOKUP(A19,CAPI_INT_DRAWS,COLUMNS('Senior Lien DS - First'!$A$11:$I$11),0),0))*IF(AND(OR(MONTH($A19)=PRIN_MATURITY,MONTH($A19)=INT_MATURITY),$A19&gt;CAPI_END_DATE),IF(DAYS360(EDATE(A19,-6),CAPI_END_DATE)&lt;0,0,DAYS360(EDATE(A19,-6),CAPI_END_DATE))/180,1))</f>
        <v>0</v>
      </c>
      <c r="D19" s="42">
        <f t="shared" si="3"/>
        <v>0</v>
      </c>
      <c r="E19" s="42"/>
      <c r="F19" s="42">
        <f t="shared" ca="1" si="4"/>
        <v>518635.8148490648</v>
      </c>
      <c r="G19" s="35">
        <f t="shared" si="5"/>
        <v>30</v>
      </c>
      <c r="H19" s="50">
        <f t="shared" si="0"/>
        <v>2.4870777590444426E-2</v>
      </c>
      <c r="I19" s="51">
        <f t="shared" ca="1" si="6"/>
        <v>1074.9063334625005</v>
      </c>
      <c r="J19" s="43">
        <f t="shared" si="1"/>
        <v>0</v>
      </c>
      <c r="K19" s="43">
        <f t="shared" ca="1" si="2"/>
        <v>519710.72118252731</v>
      </c>
    </row>
    <row r="20" spans="1:11" x14ac:dyDescent="0.2">
      <c r="A20" s="49">
        <f t="shared" si="7"/>
        <v>45962</v>
      </c>
      <c r="B20" s="42"/>
      <c r="C20" s="42">
        <f>IF(CAPI="No",0,IF(ISNA(IF(VLOOKUP(A20,CAPI_INT_DRAWS,1,0)=A20,VLOOKUP(A20,CAPI_INT_DRAWS,COLUMNS('Senior Lien DS - First'!$A$11:$I$11),0),0)),0,IF(VLOOKUP(A20,CAPI_INT_DRAWS,1,0)=A20,VLOOKUP(A20,CAPI_INT_DRAWS,COLUMNS('Senior Lien DS - First'!$A$11:$I$11),0),0))*IF(AND(OR(MONTH($A20)=PRIN_MATURITY,MONTH($A20)=INT_MATURITY),$A20&gt;CAPI_END_DATE),IF(DAYS360(EDATE(A20,-6),CAPI_END_DATE)&lt;0,0,DAYS360(EDATE(A20,-6),CAPI_END_DATE))/180,1))</f>
        <v>0</v>
      </c>
      <c r="D20" s="42">
        <f t="shared" si="3"/>
        <v>0</v>
      </c>
      <c r="E20" s="42"/>
      <c r="F20" s="42">
        <f t="shared" ca="1" si="4"/>
        <v>519710.72118252731</v>
      </c>
      <c r="G20" s="35">
        <f t="shared" si="5"/>
        <v>30</v>
      </c>
      <c r="H20" s="50">
        <f t="shared" si="0"/>
        <v>2.4870777590444426E-2</v>
      </c>
      <c r="I20" s="51">
        <f t="shared" ca="1" si="6"/>
        <v>1077.1341464916759</v>
      </c>
      <c r="J20" s="43">
        <f t="shared" si="1"/>
        <v>0</v>
      </c>
      <c r="K20" s="43">
        <f t="shared" ca="1" si="2"/>
        <v>520787.85532901896</v>
      </c>
    </row>
    <row r="21" spans="1:11" x14ac:dyDescent="0.2">
      <c r="A21" s="49">
        <f t="shared" si="7"/>
        <v>45992</v>
      </c>
      <c r="B21" s="42"/>
      <c r="C21" s="42">
        <f>IF(CAPI="No",0,IF(ISNA(IF(VLOOKUP(A21,CAPI_INT_DRAWS,1,0)=A21,VLOOKUP(A21,CAPI_INT_DRAWS,COLUMNS('Senior Lien DS - First'!$A$11:$I$11),0),0)),0,IF(VLOOKUP(A21,CAPI_INT_DRAWS,1,0)=A21,VLOOKUP(A21,CAPI_INT_DRAWS,COLUMNS('Senior Lien DS - First'!$A$11:$I$11),0),0))*IF(AND(OR(MONTH($A21)=PRIN_MATURITY,MONTH($A21)=INT_MATURITY),$A21&gt;CAPI_END_DATE),IF(DAYS360(EDATE(A21,-6),CAPI_END_DATE)&lt;0,0,DAYS360(EDATE(A21,-6),CAPI_END_DATE))/180,1))</f>
        <v>0</v>
      </c>
      <c r="D21" s="42">
        <f t="shared" si="3"/>
        <v>0</v>
      </c>
      <c r="E21" s="42"/>
      <c r="F21" s="42">
        <f t="shared" ca="1" si="4"/>
        <v>520787.85532901896</v>
      </c>
      <c r="G21" s="35">
        <f t="shared" si="5"/>
        <v>30</v>
      </c>
      <c r="H21" s="50">
        <f t="shared" si="0"/>
        <v>2.4870777590444426E-2</v>
      </c>
      <c r="I21" s="51">
        <f t="shared" ca="1" si="6"/>
        <v>1079.3665768077149</v>
      </c>
      <c r="J21" s="43">
        <f t="shared" si="1"/>
        <v>0</v>
      </c>
      <c r="K21" s="43">
        <f t="shared" ca="1" si="2"/>
        <v>521867.22190582665</v>
      </c>
    </row>
    <row r="22" spans="1:11" x14ac:dyDescent="0.2">
      <c r="A22" s="49">
        <f t="shared" si="7"/>
        <v>46023</v>
      </c>
      <c r="B22" s="42"/>
      <c r="C22" s="42">
        <f>IF(CAPI="No",0,IF(ISNA(IF(VLOOKUP(A22,CAPI_INT_DRAWS,1,0)=A22,VLOOKUP(A22,CAPI_INT_DRAWS,COLUMNS('Senior Lien DS - First'!$A$11:$I$11),0),0)),0,IF(VLOOKUP(A22,CAPI_INT_DRAWS,1,0)=A22,VLOOKUP(A22,CAPI_INT_DRAWS,COLUMNS('Senior Lien DS - First'!$A$11:$I$11),0),0))*IF(AND(OR(MONTH($A22)=PRIN_MATURITY,MONTH($A22)=INT_MATURITY),$A22&gt;CAPI_END_DATE),IF(DAYS360(EDATE(A22,-6),CAPI_END_DATE)&lt;0,0,DAYS360(EDATE(A22,-6),CAPI_END_DATE))/180,1))</f>
        <v>0</v>
      </c>
      <c r="D22" s="42">
        <f t="shared" si="3"/>
        <v>0</v>
      </c>
      <c r="E22" s="42"/>
      <c r="F22" s="42">
        <f t="shared" ca="1" si="4"/>
        <v>521867.22190582665</v>
      </c>
      <c r="G22" s="35">
        <f t="shared" si="5"/>
        <v>30</v>
      </c>
      <c r="H22" s="50">
        <f t="shared" si="0"/>
        <v>2.4870777590444426E-2</v>
      </c>
      <c r="I22" s="51">
        <f t="shared" ca="1" si="6"/>
        <v>1081.6036339802436</v>
      </c>
      <c r="J22" s="43">
        <f t="shared" si="1"/>
        <v>0</v>
      </c>
      <c r="K22" s="43">
        <f t="shared" ca="1" si="2"/>
        <v>522948.82553980692</v>
      </c>
    </row>
    <row r="23" spans="1:11" x14ac:dyDescent="0.2">
      <c r="A23" s="49">
        <f t="shared" si="7"/>
        <v>46054</v>
      </c>
      <c r="B23" s="42"/>
      <c r="C23" s="42">
        <f>IF(CAPI="No",0,IF(ISNA(IF(VLOOKUP(A23,CAPI_INT_DRAWS,1,0)=A23,VLOOKUP(A23,CAPI_INT_DRAWS,COLUMNS('Senior Lien DS - First'!$A$11:$I$11),0),0)),0,IF(VLOOKUP(A23,CAPI_INT_DRAWS,1,0)=A23,VLOOKUP(A23,CAPI_INT_DRAWS,COLUMNS('Senior Lien DS - First'!$A$11:$I$11),0),0))*IF(AND(OR(MONTH($A23)=PRIN_MATURITY,MONTH($A23)=INT_MATURITY),$A23&gt;CAPI_END_DATE),IF(DAYS360(EDATE(A23,-6),CAPI_END_DATE)&lt;0,0,DAYS360(EDATE(A23,-6),CAPI_END_DATE))/180,1))</f>
        <v>0</v>
      </c>
      <c r="D23" s="42">
        <f t="shared" si="3"/>
        <v>0</v>
      </c>
      <c r="E23" s="42"/>
      <c r="F23" s="42">
        <f t="shared" ca="1" si="4"/>
        <v>522948.82553980692</v>
      </c>
      <c r="G23" s="35">
        <f t="shared" si="5"/>
        <v>30</v>
      </c>
      <c r="H23" s="50">
        <f t="shared" si="0"/>
        <v>2.4870777590444426E-2</v>
      </c>
      <c r="I23" s="51">
        <f t="shared" ca="1" si="6"/>
        <v>1083.845327598722</v>
      </c>
      <c r="J23" s="43">
        <f t="shared" si="1"/>
        <v>0</v>
      </c>
      <c r="K23" s="43">
        <f t="shared" ca="1" si="2"/>
        <v>524032.67086740566</v>
      </c>
    </row>
    <row r="24" spans="1:11" x14ac:dyDescent="0.2">
      <c r="A24" s="49">
        <f t="shared" si="7"/>
        <v>46082</v>
      </c>
      <c r="B24" s="42"/>
      <c r="C24" s="42">
        <f ca="1">IF(CAPI="No",0,IF(ISNA(IF(VLOOKUP(A24,CAPI_INT_DRAWS,1,0)=A24,VLOOKUP(A24,CAPI_INT_DRAWS,COLUMNS('Senior Lien DS - First'!$A$11:$I$11),0),0)),0,IF(VLOOKUP(A24,CAPI_INT_DRAWS,1,0)=A24,VLOOKUP(A24,CAPI_INT_DRAWS,COLUMNS('Senior Lien DS - First'!$A$11:$I$11),0),0))*IF(AND(OR(MONTH($A24)=PRIN_MATURITY,MONTH($A24)=INT_MATURITY),$A24&gt;CAPI_END_DATE),IF(DAYS360(EDATE(A24,-6),CAPI_END_DATE)&lt;0,0,DAYS360(EDATE(A24,-6),CAPI_END_DATE))/180,1))</f>
        <v>167143.75</v>
      </c>
      <c r="D24" s="42">
        <f t="shared" ca="1" si="3"/>
        <v>167143.75</v>
      </c>
      <c r="E24" s="42"/>
      <c r="F24" s="42">
        <f t="shared" ca="1" si="4"/>
        <v>524032.67086740566</v>
      </c>
      <c r="G24" s="35">
        <f t="shared" si="5"/>
        <v>30</v>
      </c>
      <c r="H24" s="50">
        <f t="shared" si="0"/>
        <v>2.4870777590444426E-2</v>
      </c>
      <c r="I24" s="51">
        <f t="shared" ca="1" si="6"/>
        <v>1086.0916672724843</v>
      </c>
      <c r="J24" s="43">
        <f t="shared" ca="1" si="1"/>
        <v>167143.75</v>
      </c>
      <c r="K24" s="43">
        <f t="shared" ca="1" si="2"/>
        <v>357975.0125346781</v>
      </c>
    </row>
    <row r="25" spans="1:11" x14ac:dyDescent="0.2">
      <c r="A25" s="49">
        <f t="shared" si="7"/>
        <v>46113</v>
      </c>
      <c r="B25" s="42"/>
      <c r="C25" s="42">
        <f>IF(CAPI="No",0,IF(ISNA(IF(VLOOKUP(A25,CAPI_INT_DRAWS,1,0)=A25,VLOOKUP(A25,CAPI_INT_DRAWS,COLUMNS('Senior Lien DS - First'!$A$11:$I$11),0),0)),0,IF(VLOOKUP(A25,CAPI_INT_DRAWS,1,0)=A25,VLOOKUP(A25,CAPI_INT_DRAWS,COLUMNS('Senior Lien DS - First'!$A$11:$I$11),0),0))*IF(AND(OR(MONTH($A25)=PRIN_MATURITY,MONTH($A25)=INT_MATURITY),$A25&gt;CAPI_END_DATE),IF(DAYS360(EDATE(A25,-6),CAPI_END_DATE)&lt;0,0,DAYS360(EDATE(A25,-6),CAPI_END_DATE))/180,1))</f>
        <v>0</v>
      </c>
      <c r="D25" s="42">
        <f t="shared" si="3"/>
        <v>0</v>
      </c>
      <c r="E25" s="42"/>
      <c r="F25" s="42">
        <f t="shared" ca="1" si="4"/>
        <v>357975.0125346781</v>
      </c>
      <c r="G25" s="35">
        <f t="shared" si="5"/>
        <v>30</v>
      </c>
      <c r="H25" s="50">
        <f t="shared" si="0"/>
        <v>2.4870777590444426E-2</v>
      </c>
      <c r="I25" s="51">
        <f t="shared" ca="1" si="6"/>
        <v>741.92640997387787</v>
      </c>
      <c r="J25" s="43">
        <f t="shared" si="1"/>
        <v>0</v>
      </c>
      <c r="K25" s="43">
        <f t="shared" ca="1" si="2"/>
        <v>358716.93894465198</v>
      </c>
    </row>
    <row r="26" spans="1:11" x14ac:dyDescent="0.2">
      <c r="A26" s="49">
        <f t="shared" si="7"/>
        <v>46143</v>
      </c>
      <c r="B26" s="42"/>
      <c r="C26" s="42">
        <f>IF(CAPI="No",0,IF(ISNA(IF(VLOOKUP(A26,CAPI_INT_DRAWS,1,0)=A26,VLOOKUP(A26,CAPI_INT_DRAWS,COLUMNS('Senior Lien DS - First'!$A$11:$I$11),0),0)),0,IF(VLOOKUP(A26,CAPI_INT_DRAWS,1,0)=A26,VLOOKUP(A26,CAPI_INT_DRAWS,COLUMNS('Senior Lien DS - First'!$A$11:$I$11),0),0))*IF(AND(OR(MONTH($A26)=PRIN_MATURITY,MONTH($A26)=INT_MATURITY),$A26&gt;CAPI_END_DATE),IF(DAYS360(EDATE(A26,-6),CAPI_END_DATE)&lt;0,0,DAYS360(EDATE(A26,-6),CAPI_END_DATE))/180,1))</f>
        <v>0</v>
      </c>
      <c r="D26" s="42">
        <f t="shared" si="3"/>
        <v>0</v>
      </c>
      <c r="E26" s="42"/>
      <c r="F26" s="42">
        <f t="shared" ca="1" si="4"/>
        <v>358716.93894465198</v>
      </c>
      <c r="G26" s="35">
        <f t="shared" si="5"/>
        <v>30</v>
      </c>
      <c r="H26" s="50">
        <f t="shared" si="0"/>
        <v>2.4870777590444426E-2</v>
      </c>
      <c r="I26" s="51">
        <f t="shared" ca="1" si="6"/>
        <v>743.4641005347894</v>
      </c>
      <c r="J26" s="43">
        <f t="shared" si="1"/>
        <v>0</v>
      </c>
      <c r="K26" s="43">
        <f t="shared" ca="1" si="2"/>
        <v>359460.40304518677</v>
      </c>
    </row>
    <row r="27" spans="1:11" x14ac:dyDescent="0.2">
      <c r="A27" s="49">
        <f t="shared" si="7"/>
        <v>46174</v>
      </c>
      <c r="B27" s="42"/>
      <c r="C27" s="42">
        <f>IF(CAPI="No",0,IF(ISNA(IF(VLOOKUP(A27,CAPI_INT_DRAWS,1,0)=A27,VLOOKUP(A27,CAPI_INT_DRAWS,COLUMNS('Senior Lien DS - First'!$A$11:$I$11),0),0)),0,IF(VLOOKUP(A27,CAPI_INT_DRAWS,1,0)=A27,VLOOKUP(A27,CAPI_INT_DRAWS,COLUMNS('Senior Lien DS - First'!$A$11:$I$11),0),0))*IF(AND(OR(MONTH($A27)=PRIN_MATURITY,MONTH($A27)=INT_MATURITY),$A27&gt;CAPI_END_DATE),IF(DAYS360(EDATE(A27,-6),CAPI_END_DATE)&lt;0,0,DAYS360(EDATE(A27,-6),CAPI_END_DATE))/180,1))</f>
        <v>0</v>
      </c>
      <c r="D27" s="42">
        <f t="shared" si="3"/>
        <v>0</v>
      </c>
      <c r="E27" s="42"/>
      <c r="F27" s="42">
        <f t="shared" ca="1" si="4"/>
        <v>359460.40304518677</v>
      </c>
      <c r="G27" s="35">
        <f t="shared" si="5"/>
        <v>30</v>
      </c>
      <c r="H27" s="50">
        <f t="shared" si="0"/>
        <v>2.4870777590444426E-2</v>
      </c>
      <c r="I27" s="51">
        <f t="shared" ca="1" si="6"/>
        <v>745.00497805902933</v>
      </c>
      <c r="J27" s="43">
        <f t="shared" si="1"/>
        <v>0</v>
      </c>
      <c r="K27" s="43">
        <f t="shared" ca="1" si="2"/>
        <v>360205.40802324581</v>
      </c>
    </row>
    <row r="28" spans="1:11" x14ac:dyDescent="0.2">
      <c r="A28" s="49">
        <f t="shared" si="7"/>
        <v>46204</v>
      </c>
      <c r="B28" s="42"/>
      <c r="C28" s="42">
        <f>IF(CAPI="No",0,IF(ISNA(IF(VLOOKUP(A28,CAPI_INT_DRAWS,1,0)=A28,VLOOKUP(A28,CAPI_INT_DRAWS,COLUMNS('Senior Lien DS - First'!$A$11:$I$11),0),0)),0,IF(VLOOKUP(A28,CAPI_INT_DRAWS,1,0)=A28,VLOOKUP(A28,CAPI_INT_DRAWS,COLUMNS('Senior Lien DS - First'!$A$11:$I$11),0),0))*IF(AND(OR(MONTH($A28)=PRIN_MATURITY,MONTH($A28)=INT_MATURITY),$A28&gt;CAPI_END_DATE),IF(DAYS360(EDATE(A28,-6),CAPI_END_DATE)&lt;0,0,DAYS360(EDATE(A28,-6),CAPI_END_DATE))/180,1))</f>
        <v>0</v>
      </c>
      <c r="D28" s="42">
        <f t="shared" si="3"/>
        <v>0</v>
      </c>
      <c r="E28" s="42"/>
      <c r="F28" s="42">
        <f t="shared" ca="1" si="4"/>
        <v>360205.40802324581</v>
      </c>
      <c r="G28" s="35">
        <f t="shared" si="5"/>
        <v>30</v>
      </c>
      <c r="H28" s="50">
        <f t="shared" si="0"/>
        <v>2.4870777590444426E-2</v>
      </c>
      <c r="I28" s="51">
        <f t="shared" ca="1" si="6"/>
        <v>746.54904915178611</v>
      </c>
      <c r="J28" s="43">
        <f t="shared" si="1"/>
        <v>0</v>
      </c>
      <c r="K28" s="43">
        <f t="shared" ca="1" si="2"/>
        <v>360951.95707239758</v>
      </c>
    </row>
    <row r="29" spans="1:11" x14ac:dyDescent="0.2">
      <c r="A29" s="49">
        <f t="shared" si="7"/>
        <v>46235</v>
      </c>
      <c r="B29" s="42"/>
      <c r="C29" s="42">
        <f>IF(CAPI="No",0,IF(ISNA(IF(VLOOKUP(A29,CAPI_INT_DRAWS,1,0)=A29,VLOOKUP(A29,CAPI_INT_DRAWS,COLUMNS('Senior Lien DS - First'!$A$11:$I$11),0),0)),0,IF(VLOOKUP(A29,CAPI_INT_DRAWS,1,0)=A29,VLOOKUP(A29,CAPI_INT_DRAWS,COLUMNS('Senior Lien DS - First'!$A$11:$I$11),0),0))*IF(AND(OR(MONTH($A29)=PRIN_MATURITY,MONTH($A29)=INT_MATURITY),$A29&gt;CAPI_END_DATE),IF(DAYS360(EDATE(A29,-6),CAPI_END_DATE)&lt;0,0,DAYS360(EDATE(A29,-6),CAPI_END_DATE))/180,1))</f>
        <v>0</v>
      </c>
      <c r="D29" s="42">
        <f t="shared" si="3"/>
        <v>0</v>
      </c>
      <c r="E29" s="42"/>
      <c r="F29" s="42">
        <f t="shared" ca="1" si="4"/>
        <v>360951.95707239758</v>
      </c>
      <c r="G29" s="35">
        <f t="shared" si="5"/>
        <v>30</v>
      </c>
      <c r="H29" s="50">
        <f t="shared" si="0"/>
        <v>2.4870777590444426E-2</v>
      </c>
      <c r="I29" s="51">
        <f t="shared" ca="1" si="6"/>
        <v>748.0963204319371</v>
      </c>
      <c r="J29" s="43">
        <f t="shared" si="1"/>
        <v>0</v>
      </c>
      <c r="K29" s="43">
        <f ca="1">F29+I29-J29</f>
        <v>361700.05339282949</v>
      </c>
    </row>
    <row r="30" spans="1:11" x14ac:dyDescent="0.2">
      <c r="A30" s="49">
        <f t="shared" si="7"/>
        <v>46266</v>
      </c>
      <c r="B30" s="42"/>
      <c r="C30" s="42">
        <f ca="1">IF(CAPI="No",0,IF(ISNA(IF(VLOOKUP(A30,CAPI_INT_DRAWS,1,0)=A30,VLOOKUP(A30,CAPI_INT_DRAWS,COLUMNS('Senior Lien DS - First'!$A$11:$I$11),0),0)),0,IF(VLOOKUP(A30,CAPI_INT_DRAWS,1,0)=A30,VLOOKUP(A30,CAPI_INT_DRAWS,COLUMNS('Senior Lien DS - First'!$A$11:$I$11),0),0))*IF(AND(OR(MONTH($A30)=PRIN_MATURITY,MONTH($A30)=INT_MATURITY),$A30&gt;CAPI_END_DATE),IF(DAYS360(EDATE(A30,-6),CAPI_END_DATE)&lt;0,0,DAYS360(EDATE(A30,-6),CAPI_END_DATE))/180,1))</f>
        <v>167143.75</v>
      </c>
      <c r="D30" s="42">
        <f t="shared" ca="1" si="3"/>
        <v>167143.75</v>
      </c>
      <c r="E30" s="42"/>
      <c r="F30" s="42">
        <f t="shared" ca="1" si="4"/>
        <v>361700.05339282949</v>
      </c>
      <c r="G30" s="35">
        <f t="shared" si="5"/>
        <v>30</v>
      </c>
      <c r="H30" s="50">
        <f t="shared" si="0"/>
        <v>2.4870777590444426E-2</v>
      </c>
      <c r="I30" s="51">
        <f t="shared" ca="1" si="6"/>
        <v>749.64679853207792</v>
      </c>
      <c r="J30" s="43">
        <f t="shared" ca="1" si="1"/>
        <v>167143.75</v>
      </c>
      <c r="K30" s="43">
        <f t="shared" ca="1" si="2"/>
        <v>195305.9501913616</v>
      </c>
    </row>
    <row r="31" spans="1:11" x14ac:dyDescent="0.2">
      <c r="A31" s="49">
        <f t="shared" si="7"/>
        <v>46296</v>
      </c>
      <c r="B31" s="42"/>
      <c r="C31" s="42">
        <f>IF(CAPI="No",0,IF(ISNA(IF(VLOOKUP(A31,CAPI_INT_DRAWS,1,0)=A31,VLOOKUP(A31,CAPI_INT_DRAWS,COLUMNS('Senior Lien DS - First'!$A$11:$I$11),0),0)),0,IF(VLOOKUP(A31,CAPI_INT_DRAWS,1,0)=A31,VLOOKUP(A31,CAPI_INT_DRAWS,COLUMNS('Senior Lien DS - First'!$A$11:$I$11),0),0))*IF(AND(OR(MONTH($A31)=PRIN_MATURITY,MONTH($A31)=INT_MATURITY),$A31&gt;CAPI_END_DATE),IF(DAYS360(EDATE(A31,-6),CAPI_END_DATE)&lt;0,0,DAYS360(EDATE(A31,-6),CAPI_END_DATE))/180,1))</f>
        <v>0</v>
      </c>
      <c r="D31" s="42">
        <f t="shared" si="3"/>
        <v>0</v>
      </c>
      <c r="E31" s="42"/>
      <c r="F31" s="42">
        <f t="shared" ca="1" si="4"/>
        <v>195305.9501913616</v>
      </c>
      <c r="G31" s="35">
        <f t="shared" si="5"/>
        <v>30</v>
      </c>
      <c r="H31" s="50">
        <f t="shared" si="0"/>
        <v>2.4870777590444426E-2</v>
      </c>
      <c r="I31" s="51">
        <f t="shared" ca="1" si="6"/>
        <v>404.78423744164758</v>
      </c>
      <c r="J31" s="43">
        <f t="shared" si="1"/>
        <v>0</v>
      </c>
      <c r="K31" s="43">
        <f t="shared" ca="1" si="2"/>
        <v>195710.73442880323</v>
      </c>
    </row>
    <row r="32" spans="1:11" x14ac:dyDescent="0.2">
      <c r="A32" s="49">
        <f t="shared" si="7"/>
        <v>46327</v>
      </c>
      <c r="B32" s="42"/>
      <c r="C32" s="42">
        <f>IF(CAPI="No",0,IF(ISNA(IF(VLOOKUP(A32,CAPI_INT_DRAWS,1,0)=A32,VLOOKUP(A32,CAPI_INT_DRAWS,COLUMNS('Senior Lien DS - First'!$A$11:$I$11),0),0)),0,IF(VLOOKUP(A32,CAPI_INT_DRAWS,1,0)=A32,VLOOKUP(A32,CAPI_INT_DRAWS,COLUMNS('Senior Lien DS - First'!$A$11:$I$11),0),0))*IF(AND(OR(MONTH($A32)=PRIN_MATURITY,MONTH($A32)=INT_MATURITY),$A32&gt;CAPI_END_DATE),IF(DAYS360(EDATE(A32,-6),CAPI_END_DATE)&lt;0,0,DAYS360(EDATE(A32,-6),CAPI_END_DATE))/180,1))</f>
        <v>0</v>
      </c>
      <c r="D32" s="42">
        <f t="shared" si="3"/>
        <v>0</v>
      </c>
      <c r="E32" s="42"/>
      <c r="F32" s="42">
        <f t="shared" ca="1" si="4"/>
        <v>195710.73442880323</v>
      </c>
      <c r="G32" s="35">
        <f t="shared" si="5"/>
        <v>30</v>
      </c>
      <c r="H32" s="50">
        <f t="shared" si="0"/>
        <v>2.4870777590444426E-2</v>
      </c>
      <c r="I32" s="51">
        <f t="shared" ca="1" si="6"/>
        <v>405.62317900344175</v>
      </c>
      <c r="J32" s="43">
        <f t="shared" si="1"/>
        <v>0</v>
      </c>
      <c r="K32" s="43">
        <f t="shared" ca="1" si="2"/>
        <v>196116.35760780668</v>
      </c>
    </row>
    <row r="33" spans="1:14" x14ac:dyDescent="0.2">
      <c r="A33" s="49">
        <f t="shared" si="7"/>
        <v>46357</v>
      </c>
      <c r="B33" s="42"/>
      <c r="C33" s="42">
        <f>IF(CAPI="No",0,IF(ISNA(IF(VLOOKUP(A33,CAPI_INT_DRAWS,1,0)=A33,VLOOKUP(A33,CAPI_INT_DRAWS,COLUMNS('Senior Lien DS - First'!$A$11:$I$11),0),0)),0,IF(VLOOKUP(A33,CAPI_INT_DRAWS,1,0)=A33,VLOOKUP(A33,CAPI_INT_DRAWS,COLUMNS('Senior Lien DS - First'!$A$11:$I$11),0),0))*IF(AND(OR(MONTH($A33)=PRIN_MATURITY,MONTH($A33)=INT_MATURITY),$A33&gt;CAPI_END_DATE),IF(DAYS360(EDATE(A33,-6),CAPI_END_DATE)&lt;0,0,DAYS360(EDATE(A33,-6),CAPI_END_DATE))/180,1))</f>
        <v>0</v>
      </c>
      <c r="D33" s="42">
        <f t="shared" si="3"/>
        <v>0</v>
      </c>
      <c r="E33" s="42"/>
      <c r="F33" s="42">
        <f t="shared" ca="1" si="4"/>
        <v>196116.35760780668</v>
      </c>
      <c r="G33" s="35">
        <f t="shared" si="5"/>
        <v>30</v>
      </c>
      <c r="H33" s="50">
        <f t="shared" si="0"/>
        <v>2.4870777590444426E-2</v>
      </c>
      <c r="I33" s="51">
        <f t="shared" ca="1" si="6"/>
        <v>406.46385932598525</v>
      </c>
      <c r="J33" s="43">
        <f t="shared" si="1"/>
        <v>0</v>
      </c>
      <c r="K33" s="43">
        <f t="shared" ca="1" si="2"/>
        <v>196522.82146713266</v>
      </c>
    </row>
    <row r="34" spans="1:14" x14ac:dyDescent="0.2">
      <c r="A34" s="49">
        <f t="shared" si="7"/>
        <v>46388</v>
      </c>
      <c r="B34" s="42"/>
      <c r="C34" s="42">
        <f>IF(CAPI="No",0,IF(ISNA(IF(VLOOKUP(A34,CAPI_INT_DRAWS,1,0)=A34,VLOOKUP(A34,CAPI_INT_DRAWS,COLUMNS('Senior Lien DS - First'!$A$11:$I$11),0),0)),0,IF(VLOOKUP(A34,CAPI_INT_DRAWS,1,0)=A34,VLOOKUP(A34,CAPI_INT_DRAWS,COLUMNS('Senior Lien DS - First'!$A$11:$I$11),0),0))*IF(AND(OR(MONTH($A34)=PRIN_MATURITY,MONTH($A34)=INT_MATURITY),$A34&gt;CAPI_END_DATE),IF(DAYS360(EDATE(A34,-6),CAPI_END_DATE)&lt;0,0,DAYS360(EDATE(A34,-6),CAPI_END_DATE))/180,1))</f>
        <v>0</v>
      </c>
      <c r="D34" s="42">
        <f t="shared" si="3"/>
        <v>0</v>
      </c>
      <c r="E34" s="42"/>
      <c r="F34" s="42">
        <f t="shared" ca="1" si="4"/>
        <v>196522.82146713266</v>
      </c>
      <c r="G34" s="35">
        <f t="shared" si="5"/>
        <v>30</v>
      </c>
      <c r="H34" s="50">
        <f t="shared" si="0"/>
        <v>2.4870777590444426E-2</v>
      </c>
      <c r="I34" s="51">
        <f t="shared" ca="1" si="6"/>
        <v>407.30628201297282</v>
      </c>
      <c r="J34" s="43">
        <f t="shared" si="1"/>
        <v>0</v>
      </c>
      <c r="K34" s="43">
        <f t="shared" ca="1" si="2"/>
        <v>196930.12774914564</v>
      </c>
    </row>
    <row r="35" spans="1:14" x14ac:dyDescent="0.2">
      <c r="A35" s="49">
        <f t="shared" si="7"/>
        <v>46419</v>
      </c>
      <c r="B35" s="42"/>
      <c r="C35" s="42">
        <f>IF(CAPI="No",0,IF(ISNA(IF(VLOOKUP(A35,CAPI_INT_DRAWS,1,0)=A35,VLOOKUP(A35,CAPI_INT_DRAWS,COLUMNS('Senior Lien DS - First'!$A$11:$I$11),0),0)),0,IF(VLOOKUP(A35,CAPI_INT_DRAWS,1,0)=A35,VLOOKUP(A35,CAPI_INT_DRAWS,COLUMNS('Senior Lien DS - First'!$A$11:$I$11),0),0))*IF(AND(OR(MONTH($A35)=PRIN_MATURITY,MONTH($A35)=INT_MATURITY),$A35&gt;CAPI_END_DATE),IF(DAYS360(EDATE(A35,-6),CAPI_END_DATE)&lt;0,0,DAYS360(EDATE(A35,-6),CAPI_END_DATE))/180,1))</f>
        <v>0</v>
      </c>
      <c r="D35" s="42">
        <f t="shared" si="3"/>
        <v>0</v>
      </c>
      <c r="E35" s="42"/>
      <c r="F35" s="42">
        <f t="shared" ca="1" si="4"/>
        <v>196930.12774914564</v>
      </c>
      <c r="G35" s="35">
        <f t="shared" si="5"/>
        <v>30</v>
      </c>
      <c r="H35" s="50">
        <f t="shared" si="0"/>
        <v>2.4870777590444426E-2</v>
      </c>
      <c r="I35" s="51">
        <f t="shared" ca="1" si="6"/>
        <v>408.15045067556741</v>
      </c>
      <c r="J35" s="43">
        <f t="shared" si="1"/>
        <v>0</v>
      </c>
      <c r="K35" s="43">
        <f t="shared" ca="1" si="2"/>
        <v>197338.27819982122</v>
      </c>
    </row>
    <row r="36" spans="1:14" x14ac:dyDescent="0.2">
      <c r="A36" s="49">
        <f t="shared" si="7"/>
        <v>46447</v>
      </c>
      <c r="B36" s="42"/>
      <c r="C36" s="42">
        <f ca="1">IF(CAPI="No",0,IF(ISNA(IF(VLOOKUP(A36,CAPI_INT_DRAWS,1,0)=A36,VLOOKUP(A36,CAPI_INT_DRAWS,COLUMNS('Senior Lien DS - First'!$A$11:$I$11),0),0)),0,IF(VLOOKUP(A36,CAPI_INT_DRAWS,1,0)=A36,VLOOKUP(A36,CAPI_INT_DRAWS,COLUMNS('Senior Lien DS - First'!$A$11:$I$11),0),0))*IF(AND(OR(MONTH($A36)=PRIN_MATURITY,MONTH($A36)=INT_MATURITY),$A36&gt;CAPI_END_DATE),IF(DAYS360(EDATE(A36,-6),CAPI_END_DATE)&lt;0,0,DAYS360(EDATE(A36,-6),CAPI_END_DATE))/180,1))</f>
        <v>167143.75</v>
      </c>
      <c r="D36" s="42">
        <f t="shared" ca="1" si="3"/>
        <v>167143.75</v>
      </c>
      <c r="E36" s="42"/>
      <c r="F36" s="42">
        <f t="shared" ca="1" si="4"/>
        <v>197338.27819982122</v>
      </c>
      <c r="G36" s="35">
        <f t="shared" si="5"/>
        <v>30</v>
      </c>
      <c r="H36" s="50">
        <f t="shared" si="0"/>
        <v>2.4870777590444426E-2</v>
      </c>
      <c r="I36" s="51">
        <f t="shared" ca="1" si="6"/>
        <v>408.99636893241677</v>
      </c>
      <c r="J36" s="43">
        <f t="shared" ca="1" si="1"/>
        <v>167143.75</v>
      </c>
      <c r="K36" s="43">
        <f t="shared" ca="1" si="2"/>
        <v>30603.524568753637</v>
      </c>
    </row>
    <row r="37" spans="1:14" x14ac:dyDescent="0.2">
      <c r="A37" s="49">
        <f t="shared" si="7"/>
        <v>46478</v>
      </c>
      <c r="B37" s="42"/>
      <c r="C37" s="42">
        <f>IF(CAPI="No",0,IF(ISNA(IF(VLOOKUP(A37,CAPI_INT_DRAWS,1,0)=A37,VLOOKUP(A37,CAPI_INT_DRAWS,COLUMNS('Senior Lien DS - First'!$A$11:$I$11),0),0)),0,IF(VLOOKUP(A37,CAPI_INT_DRAWS,1,0)=A37,VLOOKUP(A37,CAPI_INT_DRAWS,COLUMNS('Senior Lien DS - First'!$A$11:$I$11),0),0))*IF(AND(OR(MONTH($A37)=PRIN_MATURITY,MONTH($A37)=INT_MATURITY),$A37&gt;CAPI_END_DATE),IF(DAYS360(EDATE(A37,-6),CAPI_END_DATE)&lt;0,0,DAYS360(EDATE(A37,-6),CAPI_END_DATE))/180,1))</f>
        <v>0</v>
      </c>
      <c r="D37" s="42">
        <f t="shared" si="3"/>
        <v>0</v>
      </c>
      <c r="E37" s="42"/>
      <c r="F37" s="42">
        <f t="shared" ca="1" si="4"/>
        <v>30603.524568753637</v>
      </c>
      <c r="G37" s="35">
        <f t="shared" si="5"/>
        <v>30</v>
      </c>
      <c r="H37" s="50">
        <f t="shared" si="0"/>
        <v>2.4870777590444426E-2</v>
      </c>
      <c r="I37" s="51">
        <f t="shared" ca="1" si="6"/>
        <v>63.427787752764452</v>
      </c>
      <c r="J37" s="43">
        <f t="shared" si="1"/>
        <v>0</v>
      </c>
      <c r="K37" s="43">
        <f t="shared" ca="1" si="2"/>
        <v>30666.952356506401</v>
      </c>
    </row>
    <row r="38" spans="1:14" x14ac:dyDescent="0.2">
      <c r="A38" s="49">
        <f>EDATE(A37,1)</f>
        <v>46508</v>
      </c>
      <c r="B38" s="42"/>
      <c r="C38" s="42">
        <f>IF(CAPI="No",0,IF(ISNA(IF(VLOOKUP(A38,CAPI_INT_DRAWS,1,0)=A38,VLOOKUP(A38,CAPI_INT_DRAWS,COLUMNS('Senior Lien DS - First'!$A$11:$I$11),0),0)),0,IF(VLOOKUP(A38,CAPI_INT_DRAWS,1,0)=A38,VLOOKUP(A38,CAPI_INT_DRAWS,COLUMNS('Senior Lien DS - First'!$A$11:$I$11),0),0))*IF(AND(OR(MONTH($A38)=PRIN_MATURITY,MONTH($A38)=INT_MATURITY),$A38&gt;CAPI_END_DATE),IF(DAYS360(EDATE(A38,-6),CAPI_END_DATE)&lt;0,0,DAYS360(EDATE(A38,-6),CAPI_END_DATE))/180,1))</f>
        <v>0</v>
      </c>
      <c r="D38" s="42">
        <f t="shared" si="3"/>
        <v>0</v>
      </c>
      <c r="E38" s="42"/>
      <c r="F38" s="42">
        <f t="shared" ca="1" si="4"/>
        <v>30666.952356506401</v>
      </c>
      <c r="G38" s="35">
        <f t="shared" si="5"/>
        <v>30</v>
      </c>
      <c r="H38" s="50">
        <f t="shared" si="0"/>
        <v>2.4870777590444426E-2</v>
      </c>
      <c r="I38" s="51">
        <f t="shared" ca="1" si="6"/>
        <v>63.559245952952189</v>
      </c>
      <c r="J38" s="43">
        <f t="shared" si="1"/>
        <v>0</v>
      </c>
      <c r="K38" s="43">
        <f t="shared" ca="1" si="2"/>
        <v>30730.511602459352</v>
      </c>
    </row>
    <row r="39" spans="1:14" x14ac:dyDescent="0.2">
      <c r="A39" s="49">
        <f t="shared" si="7"/>
        <v>46539</v>
      </c>
      <c r="B39" s="42"/>
      <c r="C39" s="42">
        <f>IF(CAPI="No",0,IF(ISNA(IF(VLOOKUP(A39,CAPI_INT_DRAWS,1,0)=A39,VLOOKUP(A39,CAPI_INT_DRAWS,COLUMNS('Senior Lien DS - First'!$A$11:$I$11),0),0)),0,IF(VLOOKUP(A39,CAPI_INT_DRAWS,1,0)=A39,VLOOKUP(A39,CAPI_INT_DRAWS,COLUMNS('Senior Lien DS - First'!$A$11:$I$11),0),0))*IF(AND(OR(MONTH($A39)=PRIN_MATURITY,MONTH($A39)=INT_MATURITY),$A39&gt;CAPI_END_DATE),IF(DAYS360(EDATE(A39,-6),CAPI_END_DATE)&lt;0,0,DAYS360(EDATE(A39,-6),CAPI_END_DATE))/180,1))</f>
        <v>0</v>
      </c>
      <c r="D39" s="42">
        <f t="shared" si="3"/>
        <v>0</v>
      </c>
      <c r="E39" s="42"/>
      <c r="F39" s="42">
        <f t="shared" ca="1" si="4"/>
        <v>30730.511602459352</v>
      </c>
      <c r="G39" s="35">
        <f t="shared" si="5"/>
        <v>30</v>
      </c>
      <c r="H39" s="50">
        <f t="shared" si="0"/>
        <v>2.4870777590444426E-2</v>
      </c>
      <c r="I39" s="51">
        <f t="shared" ca="1" si="6"/>
        <v>63.690976608778207</v>
      </c>
      <c r="J39" s="43">
        <f t="shared" si="1"/>
        <v>0</v>
      </c>
      <c r="K39" s="43">
        <f t="shared" ca="1" si="2"/>
        <v>30794.202579068129</v>
      </c>
    </row>
    <row r="40" spans="1:14" x14ac:dyDescent="0.2">
      <c r="A40" s="49">
        <f t="shared" si="7"/>
        <v>46569</v>
      </c>
      <c r="B40" s="42"/>
      <c r="C40" s="42">
        <f>IF(CAPI="No",0,IF(ISNA(IF(VLOOKUP(A40,CAPI_INT_DRAWS,1,0)=A40,VLOOKUP(A40,CAPI_INT_DRAWS,COLUMNS('Senior Lien DS - First'!$A$11:$I$11),0),0)),0,IF(VLOOKUP(A40,CAPI_INT_DRAWS,1,0)=A40,VLOOKUP(A40,CAPI_INT_DRAWS,COLUMNS('Senior Lien DS - First'!$A$11:$I$11),0),0))*IF(AND(OR(MONTH($A40)=PRIN_MATURITY,MONTH($A40)=INT_MATURITY),$A40&gt;CAPI_END_DATE),IF(DAYS360(EDATE(A40,-6),CAPI_END_DATE)&lt;0,0,DAYS360(EDATE(A40,-6),CAPI_END_DATE))/180,1))</f>
        <v>0</v>
      </c>
      <c r="D40" s="42">
        <f t="shared" si="3"/>
        <v>0</v>
      </c>
      <c r="E40" s="42"/>
      <c r="F40" s="42">
        <f t="shared" ca="1" si="4"/>
        <v>30794.202579068129</v>
      </c>
      <c r="G40" s="35">
        <f t="shared" si="5"/>
        <v>30</v>
      </c>
      <c r="H40" s="50">
        <f t="shared" si="0"/>
        <v>2.4870777590444426E-2</v>
      </c>
      <c r="I40" s="51">
        <f t="shared" ca="1" si="6"/>
        <v>63.822980284924469</v>
      </c>
      <c r="J40" s="43">
        <f t="shared" si="1"/>
        <v>0</v>
      </c>
      <c r="K40" s="43">
        <f t="shared" ca="1" si="2"/>
        <v>30858.025559353053</v>
      </c>
    </row>
    <row r="41" spans="1:14" x14ac:dyDescent="0.2">
      <c r="A41" s="49">
        <f t="shared" si="7"/>
        <v>46600</v>
      </c>
      <c r="B41" s="42"/>
      <c r="C41" s="42">
        <f>IF(CAPI="No",0,IF(ISNA(IF(VLOOKUP(A41,CAPI_INT_DRAWS,1,0)=A41,VLOOKUP(A41,CAPI_INT_DRAWS,COLUMNS('Senior Lien DS - First'!$A$11:$I$11),0),0)),0,IF(VLOOKUP(A41,CAPI_INT_DRAWS,1,0)=A41,VLOOKUP(A41,CAPI_INT_DRAWS,COLUMNS('Senior Lien DS - First'!$A$11:$I$11),0),0))*IF(AND(OR(MONTH($A41)=PRIN_MATURITY,MONTH($A41)=INT_MATURITY),$A41&gt;CAPI_END_DATE),IF(DAYS360(EDATE(A41,-6),CAPI_END_DATE)&lt;0,0,DAYS360(EDATE(A41,-6),CAPI_END_DATE))/180,1))</f>
        <v>0</v>
      </c>
      <c r="D41" s="42">
        <f t="shared" si="3"/>
        <v>0</v>
      </c>
      <c r="E41" s="42"/>
      <c r="F41" s="42">
        <f t="shared" ca="1" si="4"/>
        <v>30858.025559353053</v>
      </c>
      <c r="G41" s="35">
        <f t="shared" si="5"/>
        <v>30</v>
      </c>
      <c r="H41" s="50">
        <f t="shared" si="0"/>
        <v>2.4870777590444426E-2</v>
      </c>
      <c r="I41" s="51">
        <f t="shared" ca="1" si="6"/>
        <v>63.955257547243271</v>
      </c>
      <c r="J41" s="43">
        <f t="shared" si="1"/>
        <v>0</v>
      </c>
      <c r="K41" s="43">
        <f t="shared" ca="1" si="2"/>
        <v>30921.980816900297</v>
      </c>
    </row>
    <row r="42" spans="1:14" x14ac:dyDescent="0.2">
      <c r="A42" s="49">
        <f t="shared" si="7"/>
        <v>46631</v>
      </c>
      <c r="B42" s="42"/>
      <c r="C42" s="42">
        <f ca="1">IF(CAPI="No",0,IF(ISNA(IF(VLOOKUP(A42,CAPI_INT_DRAWS,1,0)=A42,VLOOKUP(A42,CAPI_INT_DRAWS,COLUMNS('Senior Lien DS - First'!$A$11:$I$11),0),0)),0,IF(VLOOKUP(A42,CAPI_INT_DRAWS,1,0)=A42,VLOOKUP(A42,CAPI_INT_DRAWS,COLUMNS('Senior Lien DS - First'!$A$11:$I$11),0),0))*IF(AND(OR(MONTH($A42)=PRIN_MATURITY,MONTH($A42)=INT_MATURITY),$A42&gt;CAPI_END_DATE),IF(DAYS360(EDATE(A42,-6),CAPI_END_DATE)&lt;0,0,DAYS360(EDATE(A42,-6),CAPI_END_DATE))/180,1))</f>
        <v>0</v>
      </c>
      <c r="D42" s="42">
        <f t="shared" ca="1" si="3"/>
        <v>0</v>
      </c>
      <c r="E42" s="42"/>
      <c r="F42" s="42">
        <f t="shared" ca="1" si="4"/>
        <v>30921.980816900297</v>
      </c>
      <c r="G42" s="35">
        <f t="shared" si="5"/>
        <v>30</v>
      </c>
      <c r="H42" s="50">
        <f t="shared" si="0"/>
        <v>2.4870777590444426E-2</v>
      </c>
      <c r="I42" s="51">
        <f t="shared" ca="1" si="6"/>
        <v>64.087808962759709</v>
      </c>
      <c r="J42" s="43">
        <f t="shared" ca="1" si="1"/>
        <v>0</v>
      </c>
      <c r="K42" s="43">
        <f t="shared" ca="1" si="2"/>
        <v>30986.068625863056</v>
      </c>
    </row>
    <row r="43" spans="1:14" x14ac:dyDescent="0.2">
      <c r="A43" s="49"/>
      <c r="C43" s="42"/>
      <c r="D43" s="42"/>
      <c r="F43" s="42"/>
      <c r="H43" s="50"/>
      <c r="I43" s="51"/>
      <c r="J43" s="43"/>
      <c r="K43" s="43"/>
    </row>
    <row r="44" spans="1:14" x14ac:dyDescent="0.2">
      <c r="A44" s="49"/>
      <c r="C44" s="42"/>
      <c r="D44" s="42"/>
      <c r="F44" s="42"/>
      <c r="H44" s="50"/>
      <c r="I44" s="51"/>
      <c r="J44" s="43"/>
      <c r="K44" s="43"/>
    </row>
    <row r="45" spans="1:14" x14ac:dyDescent="0.2">
      <c r="A45" s="49"/>
      <c r="C45" s="42"/>
      <c r="D45" s="42"/>
      <c r="F45" s="42"/>
      <c r="H45" s="50"/>
      <c r="I45" s="51"/>
      <c r="J45" s="43"/>
      <c r="K45" s="43"/>
    </row>
    <row r="46" spans="1:14" x14ac:dyDescent="0.2">
      <c r="A46" s="49"/>
      <c r="C46" s="42"/>
      <c r="D46" s="42"/>
      <c r="F46" s="42"/>
      <c r="H46" s="50"/>
      <c r="I46" s="51"/>
      <c r="J46" s="43"/>
      <c r="K46" s="43"/>
    </row>
    <row r="47" spans="1:14" x14ac:dyDescent="0.2">
      <c r="A47" s="49"/>
      <c r="C47" s="42"/>
      <c r="D47" s="42"/>
      <c r="F47" s="42"/>
      <c r="H47" s="50"/>
      <c r="I47" s="51"/>
      <c r="J47" s="43"/>
      <c r="K47" s="43"/>
    </row>
    <row r="48" spans="1:14" x14ac:dyDescent="0.2">
      <c r="A48" s="49"/>
      <c r="C48" s="42"/>
      <c r="D48" s="42"/>
      <c r="F48" s="42"/>
      <c r="H48" s="50"/>
      <c r="I48" s="51"/>
      <c r="J48" s="43"/>
      <c r="K48" s="43"/>
      <c r="M48" s="49"/>
      <c r="N48" s="122"/>
    </row>
    <row r="49" spans="1:11" hidden="1" x14ac:dyDescent="0.2">
      <c r="A49" s="49"/>
      <c r="C49" s="42"/>
      <c r="D49" s="42"/>
      <c r="F49" s="42"/>
      <c r="H49" s="50"/>
      <c r="I49" s="51"/>
      <c r="K49" s="43"/>
    </row>
    <row r="50" spans="1:11" hidden="1" x14ac:dyDescent="0.2">
      <c r="A50" s="49"/>
      <c r="C50" s="42"/>
      <c r="D50" s="42"/>
      <c r="F50" s="42"/>
      <c r="H50" s="50"/>
      <c r="I50" s="51"/>
      <c r="K50" s="43"/>
    </row>
    <row r="51" spans="1:11" hidden="1" x14ac:dyDescent="0.2">
      <c r="A51" s="49"/>
      <c r="C51" s="42"/>
      <c r="D51" s="42"/>
      <c r="F51" s="42"/>
      <c r="H51" s="50"/>
      <c r="I51" s="51"/>
      <c r="K51" s="43"/>
    </row>
    <row r="52" spans="1:11" hidden="1" x14ac:dyDescent="0.2">
      <c r="A52" s="49"/>
      <c r="C52" s="42"/>
      <c r="D52" s="42"/>
      <c r="F52" s="42"/>
      <c r="H52" s="50"/>
      <c r="I52" s="51"/>
      <c r="K52" s="43"/>
    </row>
    <row r="53" spans="1:11" hidden="1" x14ac:dyDescent="0.2">
      <c r="A53" s="49"/>
      <c r="C53" s="42"/>
      <c r="D53" s="42"/>
      <c r="F53" s="42"/>
      <c r="H53" s="50"/>
      <c r="I53" s="51"/>
      <c r="K53" s="43"/>
    </row>
    <row r="54" spans="1:11" hidden="1" x14ac:dyDescent="0.2">
      <c r="A54" s="49"/>
      <c r="C54" s="42"/>
      <c r="D54" s="42"/>
      <c r="F54" s="42"/>
      <c r="H54" s="50"/>
      <c r="I54" s="51"/>
      <c r="K54" s="43"/>
    </row>
    <row r="55" spans="1:11" hidden="1" x14ac:dyDescent="0.2">
      <c r="A55" s="49"/>
    </row>
    <row r="56" spans="1:11" hidden="1" x14ac:dyDescent="0.2">
      <c r="A56" s="49"/>
    </row>
    <row r="57" spans="1:11" hidden="1" x14ac:dyDescent="0.2">
      <c r="A57" s="49"/>
    </row>
    <row r="58" spans="1:11" hidden="1" x14ac:dyDescent="0.2">
      <c r="A58" s="49"/>
    </row>
    <row r="59" spans="1:11" hidden="1" x14ac:dyDescent="0.2">
      <c r="A59" s="49"/>
    </row>
    <row r="60" spans="1:11" hidden="1" x14ac:dyDescent="0.2">
      <c r="A60" s="49"/>
    </row>
    <row r="61" spans="1:11" hidden="1" x14ac:dyDescent="0.2">
      <c r="A61" s="49"/>
    </row>
    <row r="62" spans="1:11" hidden="1" x14ac:dyDescent="0.2">
      <c r="A62" s="49"/>
    </row>
    <row r="63" spans="1:11" hidden="1" x14ac:dyDescent="0.2">
      <c r="A63" s="49"/>
    </row>
    <row r="64" spans="1:11" hidden="1" x14ac:dyDescent="0.2">
      <c r="A64" s="49"/>
    </row>
    <row r="65" spans="1:1" hidden="1" x14ac:dyDescent="0.2">
      <c r="A65" s="49"/>
    </row>
    <row r="66" spans="1:1" hidden="1" x14ac:dyDescent="0.2"/>
    <row r="67" spans="1:1" hidden="1" x14ac:dyDescent="0.2"/>
    <row r="68" spans="1:1" hidden="1" x14ac:dyDescent="0.2"/>
    <row r="69" spans="1:1" hidden="1" x14ac:dyDescent="0.2"/>
    <row r="70" spans="1:1" hidden="1" x14ac:dyDescent="0.2"/>
    <row r="71" spans="1:1" hidden="1" x14ac:dyDescent="0.2"/>
    <row r="72" spans="1:1" hidden="1" x14ac:dyDescent="0.2"/>
    <row r="73" spans="1:1" hidden="1" x14ac:dyDescent="0.2"/>
    <row r="74" spans="1:1" hidden="1" x14ac:dyDescent="0.2"/>
    <row r="75" spans="1:1" hidden="1" x14ac:dyDescent="0.2"/>
    <row r="76" spans="1:1" hidden="1" x14ac:dyDescent="0.2"/>
    <row r="77" spans="1:1" hidden="1" x14ac:dyDescent="0.2"/>
    <row r="78" spans="1:1" hidden="1" x14ac:dyDescent="0.2"/>
    <row r="79" spans="1:1" hidden="1" x14ac:dyDescent="0.2"/>
    <row r="80" spans="1:1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s="52" customFormat="1" ht="15" thickBot="1" x14ac:dyDescent="0.25"/>
    <row r="97" spans="3:3" s="53" customFormat="1" ht="15" thickTop="1" x14ac:dyDescent="0.2"/>
    <row r="98" spans="3:3" x14ac:dyDescent="0.2">
      <c r="C98" s="43">
        <f ca="1">SUM(C12:C97)</f>
        <v>812504.34027777775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B325C-317E-4ECA-B1F3-FE9CDCCEDBC2}">
  <sheetPr codeName="Sheet21">
    <tabColor rgb="FF92D050"/>
  </sheetPr>
  <dimension ref="A1"/>
  <sheetViews>
    <sheetView workbookViewId="0">
      <selection activeCell="S21" sqref="S21"/>
    </sheetView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EAB24-C18D-4701-AEB4-D62B3F503CD5}">
  <dimension ref="C1:H46"/>
  <sheetViews>
    <sheetView topLeftCell="A13" workbookViewId="0">
      <selection activeCell="H40" sqref="H40"/>
    </sheetView>
  </sheetViews>
  <sheetFormatPr defaultRowHeight="15" x14ac:dyDescent="0.25"/>
  <cols>
    <col min="3" max="3" width="10.7109375" bestFit="1" customWidth="1"/>
    <col min="4" max="4" width="14.5703125" customWidth="1"/>
    <col min="5" max="6" width="23.42578125" customWidth="1"/>
    <col min="7" max="7" width="15" customWidth="1"/>
    <col min="8" max="8" width="19.5703125" customWidth="1"/>
  </cols>
  <sheetData>
    <row r="1" spans="3:8" x14ac:dyDescent="0.25">
      <c r="E1" t="s">
        <v>159</v>
      </c>
      <c r="G1" t="s">
        <v>293</v>
      </c>
      <c r="H1" t="s">
        <v>475</v>
      </c>
    </row>
    <row r="2" spans="3:8" x14ac:dyDescent="0.25">
      <c r="F2" t="s">
        <v>294</v>
      </c>
    </row>
    <row r="3" spans="3:8" x14ac:dyDescent="0.25">
      <c r="C3" s="8">
        <f>DATE(YEAR(D3),MONTH(D3),15)</f>
        <v>44270</v>
      </c>
      <c r="D3" s="8">
        <v>44256</v>
      </c>
      <c r="F3" s="209"/>
    </row>
    <row r="4" spans="3:8" x14ac:dyDescent="0.25">
      <c r="C4" s="8">
        <f t="shared" ref="C4:C37" si="0">DATE(YEAR(D4),MONTH(D4),15)</f>
        <v>44635</v>
      </c>
      <c r="D4" s="8">
        <f>EDATE(D3,12)</f>
        <v>44621</v>
      </c>
      <c r="F4" s="209"/>
    </row>
    <row r="5" spans="3:8" x14ac:dyDescent="0.25">
      <c r="C5" s="8">
        <f t="shared" si="0"/>
        <v>45000</v>
      </c>
      <c r="D5" s="8">
        <f t="shared" ref="D5:D42" si="1">EDATE(D4,12)</f>
        <v>44986</v>
      </c>
      <c r="E5" s="204"/>
      <c r="F5" s="209"/>
      <c r="G5" s="204"/>
    </row>
    <row r="6" spans="3:8" x14ac:dyDescent="0.25">
      <c r="C6" s="8">
        <f t="shared" si="0"/>
        <v>45366</v>
      </c>
      <c r="D6" s="8">
        <f t="shared" si="1"/>
        <v>45352</v>
      </c>
      <c r="E6" s="204"/>
      <c r="F6" s="204"/>
      <c r="G6" s="204"/>
    </row>
    <row r="7" spans="3:8" x14ac:dyDescent="0.25">
      <c r="C7" s="8">
        <f t="shared" si="0"/>
        <v>45731</v>
      </c>
      <c r="D7" s="8">
        <f t="shared" si="1"/>
        <v>45717</v>
      </c>
      <c r="E7" s="204">
        <f>VLOOKUP($D7,'Senior Lien DS - First'!$A$11:$G$93,7,0)</f>
        <v>0</v>
      </c>
      <c r="F7" s="204">
        <f ca="1">VLOOKUP($D7,'Senior Lien DS - First'!$A$11:$O$93,14,0)</f>
        <v>-6813.1923647280091</v>
      </c>
      <c r="G7" s="204">
        <f>VLOOKUP($C7,'Sub Lien DS - First (Annual)'!$A$12:$G$41,COLUMNS('Sub Lien DS - First (Annual)'!$A$12:$G$12))</f>
        <v>0</v>
      </c>
      <c r="H7" s="204"/>
    </row>
    <row r="8" spans="3:8" x14ac:dyDescent="0.25">
      <c r="C8" s="8">
        <f t="shared" si="0"/>
        <v>46096</v>
      </c>
      <c r="D8" s="8">
        <f t="shared" si="1"/>
        <v>46082</v>
      </c>
      <c r="E8" s="204">
        <f>VLOOKUP($D8,'Senior Lien DS - First'!$A$11:$G$93,7,0)</f>
        <v>0</v>
      </c>
      <c r="F8" s="204">
        <f ca="1">VLOOKUP($D8,'Senior Lien DS - First'!$A$11:$O$93,14,0)</f>
        <v>-6813.1923647280091</v>
      </c>
      <c r="G8" s="204">
        <f>VLOOKUP($C8,'Sub Lien DS - First (Annual)'!$A$12:$G$41,COLUMNS('Sub Lien DS - First (Annual)'!$A$12:$G$12))</f>
        <v>0</v>
      </c>
      <c r="H8" s="204"/>
    </row>
    <row r="9" spans="3:8" x14ac:dyDescent="0.25">
      <c r="C9" s="8">
        <f t="shared" si="0"/>
        <v>46461</v>
      </c>
      <c r="D9" s="8">
        <f t="shared" si="1"/>
        <v>46447</v>
      </c>
      <c r="E9" s="204">
        <f>VLOOKUP($D9,'Senior Lien DS - First'!$A$11:$G$93,7,0)</f>
        <v>0</v>
      </c>
      <c r="F9" s="204">
        <f ca="1">VLOOKUP($D9,'Senior Lien DS - First'!$A$11:$O$93,14,0)</f>
        <v>-6813.1923647280091</v>
      </c>
      <c r="G9" s="204">
        <f>VLOOKUP($C9,'Sub Lien DS - First (Annual)'!$A$12:$G$41,COLUMNS('Sub Lien DS - First (Annual)'!$A$12:$G$12))</f>
        <v>0</v>
      </c>
      <c r="H9" s="204"/>
    </row>
    <row r="10" spans="3:8" x14ac:dyDescent="0.25">
      <c r="C10" s="8">
        <f t="shared" si="0"/>
        <v>46827</v>
      </c>
      <c r="D10" s="8">
        <f t="shared" si="1"/>
        <v>46813</v>
      </c>
      <c r="E10" s="204">
        <f ca="1">VLOOKUP($D10,'Senior Lien DS - First'!$A$11:$G$93,7,0)</f>
        <v>0</v>
      </c>
      <c r="F10" s="204">
        <f ca="1">VLOOKUP($D10,'Senior Lien DS - First'!$A$11:$O$93,14,0)</f>
        <v>160330.55763527198</v>
      </c>
      <c r="G10" s="204">
        <f>VLOOKUP($C10,'Sub Lien DS - First (Annual)'!$A$12:$G$41,COLUMNS('Sub Lien DS - First (Annual)'!$A$12:$G$12))</f>
        <v>0</v>
      </c>
      <c r="H10" s="204"/>
    </row>
    <row r="11" spans="3:8" x14ac:dyDescent="0.25">
      <c r="C11" s="8">
        <f t="shared" si="0"/>
        <v>47192</v>
      </c>
      <c r="D11" s="8">
        <f t="shared" si="1"/>
        <v>47178</v>
      </c>
      <c r="E11" s="204">
        <f ca="1">VLOOKUP($D11,'Senior Lien DS - First'!$A$11:$G$93,7,0)</f>
        <v>0</v>
      </c>
      <c r="F11" s="204">
        <f ca="1">VLOOKUP($D11,'Senior Lien DS - First'!$A$11:$O$93,14,0)</f>
        <v>160330.55763527198</v>
      </c>
      <c r="G11" s="204">
        <f>VLOOKUP($C11,'Sub Lien DS - First (Annual)'!$A$12:$G$41,COLUMNS('Sub Lien DS - First (Annual)'!$A$12:$G$12))</f>
        <v>0</v>
      </c>
      <c r="H11" s="204"/>
    </row>
    <row r="12" spans="3:8" x14ac:dyDescent="0.25">
      <c r="C12" s="8">
        <f t="shared" si="0"/>
        <v>47557</v>
      </c>
      <c r="D12" s="8">
        <f t="shared" si="1"/>
        <v>47543</v>
      </c>
      <c r="E12" s="204">
        <f ca="1">VLOOKUP($D12,'Senior Lien DS - First'!$A$11:$G$93,7,0)</f>
        <v>20000</v>
      </c>
      <c r="F12" s="204">
        <f ca="1">VLOOKUP($D12,'Senior Lien DS - First'!$A$11:$O$93,14,0)</f>
        <v>180330.55763527198</v>
      </c>
      <c r="G12" s="204">
        <f>VLOOKUP($C12,'Sub Lien DS - First (Annual)'!$A$12:$G$41,COLUMNS('Sub Lien DS - First (Annual)'!$A$12:$G$12))</f>
        <v>0</v>
      </c>
      <c r="H12" s="204">
        <f>VLOOKUP($D12,'Senior Lien DS - Refunding'!$A$11:$G$93,7,0)</f>
        <v>0</v>
      </c>
    </row>
    <row r="13" spans="3:8" x14ac:dyDescent="0.25">
      <c r="C13" s="8">
        <f t="shared" si="0"/>
        <v>47922</v>
      </c>
      <c r="D13" s="8">
        <f t="shared" si="1"/>
        <v>47908</v>
      </c>
      <c r="E13" s="204">
        <f ca="1">VLOOKUP($D13,'Senior Lien DS - First'!$A$11:$G$93,7,0)</f>
        <v>70000</v>
      </c>
      <c r="F13" s="204">
        <f ca="1">VLOOKUP($D13,'Senior Lien DS - First'!$A$11:$O$93,14,0)</f>
        <v>229743.05763527198</v>
      </c>
      <c r="G13" s="204">
        <f>VLOOKUP($C13,'Sub Lien DS - First (Annual)'!$A$12:$G$41,COLUMNS('Sub Lien DS - First (Annual)'!$A$12:$G$12))</f>
        <v>0</v>
      </c>
      <c r="H13" s="204">
        <f>VLOOKUP($D13,'Senior Lien DS - Refunding'!$A$11:$G$93,7,0)</f>
        <v>0</v>
      </c>
    </row>
    <row r="14" spans="3:8" x14ac:dyDescent="0.25">
      <c r="C14" s="8">
        <f t="shared" si="0"/>
        <v>48288</v>
      </c>
      <c r="D14" s="8">
        <f t="shared" si="1"/>
        <v>48274</v>
      </c>
      <c r="E14" s="204">
        <f ca="1">VLOOKUP($D14,'Senior Lien DS - First'!$A$11:$G$93,7,0)</f>
        <v>75000</v>
      </c>
      <c r="F14" s="204">
        <f ca="1">VLOOKUP($D14,'Senior Lien DS - First'!$A$11:$O$93,14,0)</f>
        <v>232686.80763527198</v>
      </c>
      <c r="G14" s="204">
        <f>VLOOKUP($C14,'Sub Lien DS - First (Annual)'!$A$12:$G$41,COLUMNS('Sub Lien DS - First (Annual)'!$A$12:$G$12))</f>
        <v>0</v>
      </c>
      <c r="H14" s="204">
        <f>VLOOKUP($D14,'Senior Lien DS - Refunding'!$A$11:$G$93,7,0)</f>
        <v>0</v>
      </c>
    </row>
    <row r="15" spans="3:8" x14ac:dyDescent="0.25">
      <c r="C15" s="8">
        <f t="shared" si="0"/>
        <v>48653</v>
      </c>
      <c r="D15" s="8">
        <f t="shared" si="1"/>
        <v>48639</v>
      </c>
      <c r="E15" s="204">
        <f ca="1">VLOOKUP($D15,'Senior Lien DS - First'!$A$11:$G$93,7,0)</f>
        <v>85000</v>
      </c>
      <c r="F15" s="204">
        <f ca="1">VLOOKUP($D15,'Senior Lien DS - First'!$A$11:$O$93,14,0)</f>
        <v>240483.68263527198</v>
      </c>
      <c r="G15" s="204">
        <f>VLOOKUP($C15,'Sub Lien DS - First (Annual)'!$A$12:$G$41,COLUMNS('Sub Lien DS - First (Annual)'!$A$12:$G$12))</f>
        <v>0</v>
      </c>
      <c r="H15" s="204">
        <f>VLOOKUP($D15,'Senior Lien DS - Refunding'!$A$11:$G$93,7,0)</f>
        <v>0</v>
      </c>
    </row>
    <row r="16" spans="3:8" x14ac:dyDescent="0.25">
      <c r="C16" s="8">
        <f t="shared" si="0"/>
        <v>49018</v>
      </c>
      <c r="D16" s="8">
        <f t="shared" si="1"/>
        <v>49004</v>
      </c>
      <c r="E16" s="204">
        <f ca="1">VLOOKUP($D16,'Senior Lien DS - First'!$A$11:$G$93,7,0)</f>
        <v>95000</v>
      </c>
      <c r="F16" s="204">
        <f ca="1">VLOOKUP($D16,'Senior Lien DS - First'!$A$11:$O$93,14,0)</f>
        <v>247986.80763527198</v>
      </c>
      <c r="G16" s="204">
        <f>VLOOKUP($C16,'Sub Lien DS - First (Annual)'!$A$12:$G$41,COLUMNS('Sub Lien DS - First (Annual)'!$A$12:$G$12))</f>
        <v>0</v>
      </c>
      <c r="H16" s="204">
        <f>VLOOKUP($D16,'Senior Lien DS - Refunding'!$A$11:$G$93,7,0)</f>
        <v>0</v>
      </c>
    </row>
    <row r="17" spans="3:8" x14ac:dyDescent="0.25">
      <c r="C17" s="8">
        <f t="shared" si="0"/>
        <v>49383</v>
      </c>
      <c r="D17" s="8">
        <f t="shared" si="1"/>
        <v>49369</v>
      </c>
      <c r="E17" s="204">
        <f ca="1">VLOOKUP($D17,'Senior Lien DS - First'!$A$11:$G$93,7,0)</f>
        <v>105000</v>
      </c>
      <c r="F17" s="204">
        <f ca="1">VLOOKUP($D17,'Senior Lien DS - First'!$A$11:$O$93,14,0)</f>
        <v>255196.18263527198</v>
      </c>
      <c r="G17" s="204">
        <f>VLOOKUP($C17,'Sub Lien DS - First (Annual)'!$A$12:$G$41,COLUMNS('Sub Lien DS - First (Annual)'!$A$12:$G$12))</f>
        <v>0</v>
      </c>
      <c r="H17" s="204">
        <f>VLOOKUP($D17,'Senior Lien DS - Refunding'!$A$11:$G$93,7,0)</f>
        <v>0</v>
      </c>
    </row>
    <row r="18" spans="3:8" x14ac:dyDescent="0.25">
      <c r="C18" s="8">
        <f t="shared" si="0"/>
        <v>49749</v>
      </c>
      <c r="D18" s="8">
        <f t="shared" si="1"/>
        <v>49735</v>
      </c>
      <c r="E18" s="204">
        <f ca="1">VLOOKUP($D18,'Senior Lien DS - First'!$A$11:$G$93,7,0)</f>
        <v>110000</v>
      </c>
      <c r="F18" s="204">
        <f ca="1">VLOOKUP($D18,'Senior Lien DS - First'!$A$11:$O$93,14,0)</f>
        <v>257111.80763527198</v>
      </c>
      <c r="G18" s="204">
        <f>VLOOKUP($C18,'Sub Lien DS - First (Annual)'!$A$12:$G$41,COLUMNS('Sub Lien DS - First (Annual)'!$A$12:$G$12))</f>
        <v>0</v>
      </c>
      <c r="H18" s="204">
        <f>VLOOKUP($D18,'Senior Lien DS - Refunding'!$A$11:$G$93,7,0)</f>
        <v>0</v>
      </c>
    </row>
    <row r="19" spans="3:8" x14ac:dyDescent="0.25">
      <c r="C19" s="8">
        <f t="shared" si="0"/>
        <v>50114</v>
      </c>
      <c r="D19" s="8">
        <f t="shared" si="1"/>
        <v>50100</v>
      </c>
      <c r="E19" s="204">
        <f ca="1">VLOOKUP($D19,'Senior Lien DS - First'!$A$11:$G$93,7,0)</f>
        <v>125000</v>
      </c>
      <c r="F19" s="204">
        <f ca="1">VLOOKUP($D19,'Senior Lien DS - First'!$A$11:$O$93,14,0)</f>
        <v>268880.55763527198</v>
      </c>
      <c r="G19" s="204">
        <f>VLOOKUP($C19,'Sub Lien DS - First (Annual)'!$A$12:$G$41,COLUMNS('Sub Lien DS - First (Annual)'!$A$12:$G$12))</f>
        <v>0</v>
      </c>
      <c r="H19" s="204">
        <f>VLOOKUP($D19,'Senior Lien DS - Refunding'!$A$11:$G$93,7,0)</f>
        <v>0</v>
      </c>
    </row>
    <row r="20" spans="3:8" x14ac:dyDescent="0.25">
      <c r="C20" s="8">
        <f t="shared" si="0"/>
        <v>50479</v>
      </c>
      <c r="D20" s="8">
        <f t="shared" si="1"/>
        <v>50465</v>
      </c>
      <c r="E20" s="204">
        <f ca="1">VLOOKUP($D20,'Senior Lien DS - First'!$A$11:$G$93,7,0)</f>
        <v>135000</v>
      </c>
      <c r="F20" s="204">
        <f ca="1">VLOOKUP($D20,'Senior Lien DS - First'!$A$11:$O$93,14,0)</f>
        <v>275208.68263527198</v>
      </c>
      <c r="G20" s="204">
        <f ca="1">VLOOKUP($C20,'Sub Lien DS - First (Annual)'!$A$12:$G$41,COLUMNS('Sub Lien DS - First (Annual)'!$A$12:$G$12))</f>
        <v>51000</v>
      </c>
      <c r="H20" s="204">
        <f>VLOOKUP($D20,'Senior Lien DS - Refunding'!$A$11:$G$93,7,0)</f>
        <v>0</v>
      </c>
    </row>
    <row r="21" spans="3:8" x14ac:dyDescent="0.25">
      <c r="C21" s="8">
        <f t="shared" si="0"/>
        <v>50844</v>
      </c>
      <c r="D21" s="8">
        <f t="shared" si="1"/>
        <v>50830</v>
      </c>
      <c r="E21" s="204">
        <f ca="1">VLOOKUP($D21,'Senior Lien DS - First'!$A$11:$G$93,7,0)</f>
        <v>145000</v>
      </c>
      <c r="F21" s="204">
        <f ca="1">VLOOKUP($D21,'Senior Lien DS - First'!$A$11:$O$93,14,0)</f>
        <v>281243.05763527198</v>
      </c>
      <c r="G21" s="204">
        <f ca="1">VLOOKUP($C21,'Sub Lien DS - First (Annual)'!$A$12:$G$41,COLUMNS('Sub Lien DS - First (Annual)'!$A$12:$G$12))</f>
        <v>58000</v>
      </c>
      <c r="H21" s="204">
        <f>VLOOKUP($D21,'Senior Lien DS - Refunding'!$A$11:$G$93,7,0)</f>
        <v>0</v>
      </c>
    </row>
    <row r="22" spans="3:8" x14ac:dyDescent="0.25">
      <c r="C22" s="8">
        <f t="shared" si="0"/>
        <v>51210</v>
      </c>
      <c r="D22" s="8">
        <f t="shared" si="1"/>
        <v>51196</v>
      </c>
      <c r="E22" s="204">
        <f ca="1">VLOOKUP($D22,'Senior Lien DS - First'!$A$11:$G$93,7,0)</f>
        <v>160000</v>
      </c>
      <c r="F22" s="204">
        <f ca="1">VLOOKUP($D22,'Senior Lien DS - First'!$A$11:$O$93,14,0)</f>
        <v>291983.68263527198</v>
      </c>
      <c r="G22" s="204">
        <f ca="1">VLOOKUP($C22,'Sub Lien DS - First (Annual)'!$A$12:$G$41,COLUMNS('Sub Lien DS - First (Annual)'!$A$12:$G$12))</f>
        <v>61000</v>
      </c>
      <c r="H22" s="204">
        <f>VLOOKUP($D22,'Senior Lien DS - Refunding'!$A$11:$G$93,7,0)</f>
        <v>0</v>
      </c>
    </row>
    <row r="23" spans="3:8" x14ac:dyDescent="0.25">
      <c r="C23" s="8">
        <f t="shared" si="0"/>
        <v>51575</v>
      </c>
      <c r="D23" s="8">
        <f t="shared" si="1"/>
        <v>51561</v>
      </c>
      <c r="E23" s="204">
        <f ca="1">VLOOKUP($D23,'Senior Lien DS - First'!$A$11:$G$93,7,0)</f>
        <v>170000</v>
      </c>
      <c r="F23" s="204">
        <f ca="1">VLOOKUP($D23,'Senior Lien DS - First'!$A$11:$O$93,14,0)</f>
        <v>297283.68263527198</v>
      </c>
      <c r="G23" s="204">
        <f ca="1">VLOOKUP($C23,'Sub Lien DS - First (Annual)'!$A$12:$G$41,COLUMNS('Sub Lien DS - First (Annual)'!$A$12:$G$12))</f>
        <v>71000</v>
      </c>
      <c r="H23" s="204">
        <f>VLOOKUP($D23,'Senior Lien DS - Refunding'!$A$11:$G$93,7,0)</f>
        <v>0</v>
      </c>
    </row>
    <row r="24" spans="3:8" x14ac:dyDescent="0.25">
      <c r="C24" s="8">
        <f t="shared" si="0"/>
        <v>51940</v>
      </c>
      <c r="D24" s="8">
        <f t="shared" si="1"/>
        <v>51926</v>
      </c>
      <c r="E24" s="204">
        <f ca="1">VLOOKUP($D24,'Senior Lien DS - First'!$A$11:$G$93,7,0)</f>
        <v>185000</v>
      </c>
      <c r="F24" s="204">
        <f ca="1">VLOOKUP($D24,'Senior Lien DS - First'!$A$11:$O$93,14,0)</f>
        <v>307289.93263527198</v>
      </c>
      <c r="G24" s="204">
        <f ca="1">VLOOKUP($C24,'Sub Lien DS - First (Annual)'!$A$12:$G$41,COLUMNS('Sub Lien DS - First (Annual)'!$A$12:$G$12))</f>
        <v>71000</v>
      </c>
      <c r="H24" s="204">
        <f>VLOOKUP($D24,'Senior Lien DS - Refunding'!$A$11:$G$93,7,0)</f>
        <v>0</v>
      </c>
    </row>
    <row r="25" spans="3:8" x14ac:dyDescent="0.25">
      <c r="C25" s="8">
        <f t="shared" si="0"/>
        <v>52305</v>
      </c>
      <c r="D25" s="8">
        <f t="shared" si="1"/>
        <v>52291</v>
      </c>
      <c r="E25" s="204">
        <f ca="1">VLOOKUP($D25,'Senior Lien DS - First'!$A$11:$G$93,7,0)</f>
        <v>200000</v>
      </c>
      <c r="F25" s="204">
        <f ca="1">VLOOKUP($D25,'Senior Lien DS - First'!$A$11:$O$93,14,0)</f>
        <v>316855.55763527198</v>
      </c>
      <c r="G25" s="204">
        <f ca="1">VLOOKUP($C25,'Sub Lien DS - First (Annual)'!$A$12:$G$41,COLUMNS('Sub Lien DS - First (Annual)'!$A$12:$G$12))</f>
        <v>77000</v>
      </c>
      <c r="H25" s="204">
        <f>VLOOKUP($D25,'Senior Lien DS - Refunding'!$A$11:$G$93,7,0)</f>
        <v>0</v>
      </c>
    </row>
    <row r="26" spans="3:8" x14ac:dyDescent="0.25">
      <c r="C26" s="8">
        <f t="shared" si="0"/>
        <v>52671</v>
      </c>
      <c r="D26" s="8">
        <f t="shared" si="1"/>
        <v>52657</v>
      </c>
      <c r="E26" s="204">
        <f ca="1">VLOOKUP($D26,'Senior Lien DS - First'!$A$11:$G$93,7,0)</f>
        <v>215000</v>
      </c>
      <c r="F26" s="204">
        <f ca="1">VLOOKUP($D26,'Senior Lien DS - First'!$A$11:$O$93,14,0)</f>
        <v>325980.55763527198</v>
      </c>
      <c r="G26" s="204">
        <f ca="1">VLOOKUP($C26,'Sub Lien DS - First (Annual)'!$A$12:$G$41,COLUMNS('Sub Lien DS - First (Annual)'!$A$12:$G$12))</f>
        <v>85000</v>
      </c>
      <c r="H26" s="204">
        <f>VLOOKUP($D26,'Senior Lien DS - Refunding'!$A$11:$G$93,7,0)</f>
        <v>0</v>
      </c>
    </row>
    <row r="27" spans="3:8" x14ac:dyDescent="0.25">
      <c r="C27" s="8">
        <f t="shared" si="0"/>
        <v>53036</v>
      </c>
      <c r="D27" s="8">
        <f t="shared" si="1"/>
        <v>53022</v>
      </c>
      <c r="E27" s="204">
        <f ca="1">VLOOKUP($D27,'Senior Lien DS - First'!$A$11:$G$93,7,0)</f>
        <v>230000</v>
      </c>
      <c r="F27" s="204">
        <f ca="1">VLOOKUP($D27,'Senior Lien DS - First'!$A$11:$O$93,14,0)</f>
        <v>334664.93263527198</v>
      </c>
      <c r="G27" s="204">
        <f ca="1">VLOOKUP($C27,'Sub Lien DS - First (Annual)'!$A$12:$G$41,COLUMNS('Sub Lien DS - First (Annual)'!$A$12:$G$12))</f>
        <v>95000</v>
      </c>
      <c r="H27" s="204">
        <f>VLOOKUP($D27,'Senior Lien DS - Refunding'!$A$11:$G$93,7,0)</f>
        <v>0</v>
      </c>
    </row>
    <row r="28" spans="3:8" x14ac:dyDescent="0.25">
      <c r="C28" s="8">
        <f t="shared" si="0"/>
        <v>53401</v>
      </c>
      <c r="D28" s="8">
        <f t="shared" si="1"/>
        <v>53387</v>
      </c>
      <c r="E28" s="204">
        <f ca="1">VLOOKUP($D28,'Senior Lien DS - First'!$A$11:$G$93,7,0)</f>
        <v>250000</v>
      </c>
      <c r="F28" s="204">
        <f ca="1">VLOOKUP($D28,'Senior Lien DS - First'!$A$11:$O$93,14,0)</f>
        <v>347908.68263527198</v>
      </c>
      <c r="G28" s="204">
        <f ca="1">VLOOKUP($C28,'Sub Lien DS - First (Annual)'!$A$12:$G$41,COLUMNS('Sub Lien DS - First (Annual)'!$A$12:$G$12))</f>
        <v>101000</v>
      </c>
      <c r="H28" s="204">
        <f>VLOOKUP($D28,'Senior Lien DS - Refunding'!$A$11:$G$93,7,0)</f>
        <v>0</v>
      </c>
    </row>
    <row r="29" spans="3:8" x14ac:dyDescent="0.25">
      <c r="C29" s="8">
        <f t="shared" si="0"/>
        <v>53766</v>
      </c>
      <c r="D29" s="8">
        <f t="shared" si="1"/>
        <v>53752</v>
      </c>
      <c r="E29" s="204">
        <f ca="1">VLOOKUP($D29,'Senior Lien DS - First'!$A$11:$G$93,7,0)</f>
        <v>270000</v>
      </c>
      <c r="F29" s="204">
        <f ca="1">VLOOKUP($D29,'Senior Lien DS - First'!$A$11:$O$93,14,0)</f>
        <v>360564.93263527198</v>
      </c>
      <c r="G29" s="204">
        <f ca="1">VLOOKUP($C29,'Sub Lien DS - First (Annual)'!$A$12:$G$41,COLUMNS('Sub Lien DS - First (Annual)'!$A$12:$G$12))</f>
        <v>109000</v>
      </c>
      <c r="H29" s="204">
        <f>VLOOKUP($D29,'Senior Lien DS - Refunding'!$A$11:$G$93,7,0)</f>
        <v>0</v>
      </c>
    </row>
    <row r="30" spans="3:8" x14ac:dyDescent="0.25">
      <c r="C30" s="8">
        <f t="shared" si="0"/>
        <v>54132</v>
      </c>
      <c r="D30" s="8">
        <f t="shared" si="1"/>
        <v>54118</v>
      </c>
      <c r="E30" s="204">
        <f ca="1">VLOOKUP($D30,'Senior Lien DS - First'!$A$11:$G$93,7,0)</f>
        <v>285000</v>
      </c>
      <c r="F30" s="204">
        <f ca="1">VLOOKUP($D30,'Senior Lien DS - First'!$A$11:$O$93,14,0)</f>
        <v>367633.68263527198</v>
      </c>
      <c r="G30" s="204">
        <f ca="1">VLOOKUP($C30,'Sub Lien DS - First (Annual)'!$A$12:$G$41,COLUMNS('Sub Lien DS - First (Annual)'!$A$12:$G$12))</f>
        <v>124000</v>
      </c>
      <c r="H30" s="204">
        <f>VLOOKUP($D30,'Senior Lien DS - Refunding'!$A$11:$G$93,7,0)</f>
        <v>0</v>
      </c>
    </row>
    <row r="31" spans="3:8" x14ac:dyDescent="0.25">
      <c r="C31" s="8">
        <f t="shared" si="0"/>
        <v>54497</v>
      </c>
      <c r="D31" s="8">
        <f t="shared" si="1"/>
        <v>54483</v>
      </c>
      <c r="E31" s="204">
        <f ca="1">VLOOKUP($D31,'Senior Lien DS - First'!$A$11:$G$93,7,0)</f>
        <v>310000</v>
      </c>
      <c r="F31" s="204">
        <f ca="1">VLOOKUP($D31,'Senior Lien DS - First'!$A$11:$O$93,14,0)</f>
        <v>384261.80763527198</v>
      </c>
      <c r="G31" s="204">
        <f>VLOOKUP($C31,'Sub Lien DS - First (Annual)'!$A$12:$G$41,COLUMNS('Sub Lien DS - First (Annual)'!$A$12:$G$12))</f>
        <v>97000</v>
      </c>
      <c r="H31" s="204">
        <f>VLOOKUP($D31,'Senior Lien DS - Refunding'!$A$11:$G$93,7,0)</f>
        <v>0</v>
      </c>
    </row>
    <row r="32" spans="3:8" x14ac:dyDescent="0.25">
      <c r="C32" s="8">
        <f t="shared" si="0"/>
        <v>54862</v>
      </c>
      <c r="D32" s="8">
        <f t="shared" si="1"/>
        <v>54848</v>
      </c>
      <c r="E32" s="204">
        <f ca="1">VLOOKUP($D32,'Senior Lien DS - First'!$A$11:$G$93,7,0)</f>
        <v>330000</v>
      </c>
      <c r="F32" s="204">
        <f ca="1">VLOOKUP($D32,'Senior Lien DS - First'!$A$11:$O$93,14,0)</f>
        <v>395155.55763527198</v>
      </c>
      <c r="G32" s="204">
        <f>VLOOKUP($C32,'Sub Lien DS - First (Annual)'!$A$12:$G$41,COLUMNS('Sub Lien DS - First (Annual)'!$A$12:$G$12))</f>
        <v>0</v>
      </c>
      <c r="H32" s="204">
        <f>VLOOKUP($D32,'Senior Lien DS - Refunding'!$A$11:$G$93,7,0)</f>
        <v>0</v>
      </c>
    </row>
    <row r="33" spans="3:8" x14ac:dyDescent="0.25">
      <c r="C33" s="8">
        <f t="shared" si="0"/>
        <v>55227</v>
      </c>
      <c r="D33" s="8">
        <f t="shared" si="1"/>
        <v>55213</v>
      </c>
      <c r="E33" s="204">
        <f ca="1">VLOOKUP($D33,'Senior Lien DS - First'!$A$11:$G$93,7,0)</f>
        <v>355000</v>
      </c>
      <c r="F33" s="204">
        <f ca="1">VLOOKUP($D33,'Senior Lien DS - First'!$A$11:$O$93,14,0)</f>
        <v>410461.80763527198</v>
      </c>
      <c r="G33" s="204">
        <f>VLOOKUP($C33,'Sub Lien DS - First (Annual)'!$A$12:$G$41,COLUMNS('Sub Lien DS - First (Annual)'!$A$12:$G$12))</f>
        <v>0</v>
      </c>
      <c r="H33" s="204">
        <f>VLOOKUP($D33,'Senior Lien DS - Refunding'!$A$11:$G$93,7,0)</f>
        <v>0</v>
      </c>
    </row>
    <row r="34" spans="3:8" x14ac:dyDescent="0.25">
      <c r="C34" s="8">
        <f t="shared" si="0"/>
        <v>55593</v>
      </c>
      <c r="D34" s="8">
        <f t="shared" si="1"/>
        <v>55579</v>
      </c>
      <c r="E34" s="204">
        <f ca="1">VLOOKUP($D34,'Senior Lien DS - First'!$A$11:$G$93,7,0)</f>
        <v>380000</v>
      </c>
      <c r="F34" s="204">
        <f ca="1">VLOOKUP($D34,'Senior Lien DS - First'!$A$11:$O$93,14,0)</f>
        <v>425033.68263527198</v>
      </c>
      <c r="G34" s="204">
        <f>VLOOKUP($C34,'Sub Lien DS - First (Annual)'!$A$12:$G$41,COLUMNS('Sub Lien DS - First (Annual)'!$A$12:$G$12))</f>
        <v>0</v>
      </c>
      <c r="H34" s="204">
        <f>VLOOKUP($D34,'Senior Lien DS - Refunding'!$A$11:$G$93,7,0)</f>
        <v>0</v>
      </c>
    </row>
    <row r="35" spans="3:8" x14ac:dyDescent="0.25">
      <c r="C35" s="8">
        <f t="shared" si="0"/>
        <v>55958</v>
      </c>
      <c r="D35" s="8">
        <f t="shared" si="1"/>
        <v>55944</v>
      </c>
      <c r="E35" s="204">
        <f ca="1">VLOOKUP($D35,'Senior Lien DS - First'!$A$11:$G$93,7,0)</f>
        <v>405000</v>
      </c>
      <c r="F35" s="204">
        <f ca="1">VLOOKUP($D35,'Senior Lien DS - First'!$A$11:$O$93,14,0)</f>
        <v>438871.18263527198</v>
      </c>
      <c r="G35" s="204">
        <f>VLOOKUP($C35,'Sub Lien DS - First (Annual)'!$A$12:$G$41,COLUMNS('Sub Lien DS - First (Annual)'!$A$12:$G$12))</f>
        <v>0</v>
      </c>
      <c r="H35" s="204">
        <f>VLOOKUP($D35,'Senior Lien DS - Refunding'!$A$11:$G$93,7,0)</f>
        <v>0</v>
      </c>
    </row>
    <row r="36" spans="3:8" x14ac:dyDescent="0.25">
      <c r="C36" s="8">
        <f t="shared" si="0"/>
        <v>56323</v>
      </c>
      <c r="D36" s="8">
        <f t="shared" si="1"/>
        <v>56309</v>
      </c>
      <c r="E36" s="204">
        <f ca="1">VLOOKUP($D36,'Senior Lien DS - First'!$A$11:$G$93,7,0)</f>
        <v>980000</v>
      </c>
      <c r="F36" s="204">
        <f ca="1">VLOOKUP($D36,'Senior Lien DS - First'!$A$11:$O$93,14,0)</f>
        <v>1001974.307635272</v>
      </c>
      <c r="G36" s="204">
        <f>VLOOKUP($C36,'Sub Lien DS - First (Annual)'!$A$12:$G$41,COLUMNS('Sub Lien DS - First (Annual)'!$A$12:$G$12))</f>
        <v>0</v>
      </c>
      <c r="H36" s="204">
        <f>VLOOKUP($D36,'Senior Lien DS - Refunding'!$A$11:$G$93,7,0)</f>
        <v>0</v>
      </c>
    </row>
    <row r="37" spans="3:8" x14ac:dyDescent="0.25">
      <c r="C37" s="8">
        <f t="shared" si="0"/>
        <v>56688</v>
      </c>
      <c r="D37" s="8">
        <f t="shared" si="1"/>
        <v>56674</v>
      </c>
      <c r="E37" s="204"/>
      <c r="F37" s="204"/>
      <c r="G37" s="204"/>
      <c r="H37" s="204">
        <f>VLOOKUP($D37,'Senior Lien DS - Refunding'!$A$11:$G$93,7,0)</f>
        <v>0</v>
      </c>
    </row>
    <row r="38" spans="3:8" x14ac:dyDescent="0.25">
      <c r="C38" s="8">
        <f t="shared" ref="C38:C42" si="2">DATE(YEAR(D38),MONTH(D38),15)</f>
        <v>57054</v>
      </c>
      <c r="D38" s="8">
        <f t="shared" si="1"/>
        <v>57040</v>
      </c>
      <c r="H38" s="204">
        <f>VLOOKUP($D38,'Senior Lien DS - Refunding'!$A$11:$G$93,7,0)</f>
        <v>0</v>
      </c>
    </row>
    <row r="39" spans="3:8" x14ac:dyDescent="0.25">
      <c r="C39" s="8">
        <f t="shared" si="2"/>
        <v>57419</v>
      </c>
      <c r="D39" s="8">
        <f t="shared" si="1"/>
        <v>57405</v>
      </c>
      <c r="H39" s="204">
        <f>VLOOKUP($D39,'Senior Lien DS - Refunding'!$A$11:$G$93,7,0)</f>
        <v>0</v>
      </c>
    </row>
    <row r="40" spans="3:8" x14ac:dyDescent="0.25">
      <c r="C40" s="8">
        <f t="shared" si="2"/>
        <v>57784</v>
      </c>
      <c r="D40" s="8">
        <f t="shared" si="1"/>
        <v>57770</v>
      </c>
      <c r="H40" s="204">
        <f>VLOOKUP($D40,'Senior Lien DS - Refunding'!$A$11:$G$93,7,0)</f>
        <v>0</v>
      </c>
    </row>
    <row r="41" spans="3:8" x14ac:dyDescent="0.25">
      <c r="C41" s="8">
        <f t="shared" si="2"/>
        <v>58149</v>
      </c>
      <c r="D41" s="8">
        <f t="shared" si="1"/>
        <v>58135</v>
      </c>
      <c r="H41" s="204" t="e">
        <f>VLOOKUP($D41,'Senior Lien DS - Refunding'!$A$11:$G$93,7,0)</f>
        <v>#N/A</v>
      </c>
    </row>
    <row r="42" spans="3:8" x14ac:dyDescent="0.25">
      <c r="C42" s="8">
        <f t="shared" si="2"/>
        <v>58515</v>
      </c>
      <c r="D42" s="8">
        <f t="shared" si="1"/>
        <v>58501</v>
      </c>
      <c r="H42" s="204"/>
    </row>
    <row r="44" spans="3:8" x14ac:dyDescent="0.25">
      <c r="E44" s="205">
        <f ca="1">SUM(E5:E43)</f>
        <v>5690000</v>
      </c>
      <c r="F44" s="205">
        <f ca="1">SUM(F3:F43)</f>
        <v>8775016.7290581595</v>
      </c>
      <c r="G44" s="205">
        <f ca="1">SUM(G7:G36)</f>
        <v>1000000</v>
      </c>
    </row>
    <row r="46" spans="3:8" x14ac:dyDescent="0.25">
      <c r="F46" s="7">
        <f>7431624</f>
        <v>7431624</v>
      </c>
      <c r="G46" s="20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150</vt:i4>
      </vt:variant>
    </vt:vector>
  </HeadingPairs>
  <TitlesOfParts>
    <vt:vector size="166" baseType="lpstr">
      <vt:lpstr>Inputs - First</vt:lpstr>
      <vt:lpstr>Capital Costs</vt:lpstr>
      <vt:lpstr>Deal COI</vt:lpstr>
      <vt:lpstr>Sources and Uses - First</vt:lpstr>
      <vt:lpstr>Sources and Uses - Refunding</vt:lpstr>
      <vt:lpstr>Summary</vt:lpstr>
      <vt:lpstr>Residential Development</vt:lpstr>
      <vt:lpstr>Comm Development</vt:lpstr>
      <vt:lpstr>Ops Rev &amp; Exp Projection</vt:lpstr>
      <vt:lpstr>Senior Lien DS - First</vt:lpstr>
      <vt:lpstr>Sub Lien DS - First (Annual)</vt:lpstr>
      <vt:lpstr>Sub Lien DS - First (SA)</vt:lpstr>
      <vt:lpstr>Senior Lien DS - Refunding</vt:lpstr>
      <vt:lpstr>CAPI Fund - First</vt:lpstr>
      <vt:lpstr>Scratch---&gt;&gt;&gt;</vt:lpstr>
      <vt:lpstr>DBC Output</vt:lpstr>
      <vt:lpstr>ABSORPTION_SCENARIO</vt:lpstr>
      <vt:lpstr>AIC_SENIOR</vt:lpstr>
      <vt:lpstr>AIC_SENIOR_REFUNDING</vt:lpstr>
      <vt:lpstr>'Sub Lien DS - First (Annual)'!AIC_SUB</vt:lpstr>
      <vt:lpstr>AIC_SUB</vt:lpstr>
      <vt:lpstr>'Sub Lien DS - First (Annual)'!ALTERNATIVE</vt:lpstr>
      <vt:lpstr>ALTERNATIVE</vt:lpstr>
      <vt:lpstr>ANALYSIS</vt:lpstr>
      <vt:lpstr>ARB_TIC_SENIOR</vt:lpstr>
      <vt:lpstr>ARB_TIC_SENIOR_REFUNDING</vt:lpstr>
      <vt:lpstr>'Sub Lien DS - First (Annual)'!ARB_TIC_SUB</vt:lpstr>
      <vt:lpstr>ARB_TIC_SUB</vt:lpstr>
      <vt:lpstr>ASP_SFD_1</vt:lpstr>
      <vt:lpstr>ASP_SFD_10</vt:lpstr>
      <vt:lpstr>ASP_SFD_11</vt:lpstr>
      <vt:lpstr>ASP_SFD_12</vt:lpstr>
      <vt:lpstr>ASP_SFD_2</vt:lpstr>
      <vt:lpstr>ASP_SFD_3</vt:lpstr>
      <vt:lpstr>ASP_SFD_4</vt:lpstr>
      <vt:lpstr>ASP_SFD_5</vt:lpstr>
      <vt:lpstr>ASP_SFD_6</vt:lpstr>
      <vt:lpstr>ASP_SFD_7</vt:lpstr>
      <vt:lpstr>ASP_SFD_8</vt:lpstr>
      <vt:lpstr>ASP_SFD_9</vt:lpstr>
      <vt:lpstr>BIENNIAL_REASSESS_COMM_RATE</vt:lpstr>
      <vt:lpstr>BIENNIAL_REASSESS_RATE</vt:lpstr>
      <vt:lpstr>BIENNIAL_REASSESS_RATE_SUBORDINATE</vt:lpstr>
      <vt:lpstr>BOND_YEARS_SENIOR</vt:lpstr>
      <vt:lpstr>BOND_YEARS_SENIOR_REFUNDING</vt:lpstr>
      <vt:lpstr>'Sub Lien DS - First (Annual)'!BOND_YEARS_SUB</vt:lpstr>
      <vt:lpstr>BOND_YEARS_SUB</vt:lpstr>
      <vt:lpstr>CAPI</vt:lpstr>
      <vt:lpstr>CAPI_END_DATE</vt:lpstr>
      <vt:lpstr>CAPI_FIRST_DRAW</vt:lpstr>
      <vt:lpstr>'Senior Lien DS - Refunding'!CAPI_INT_DRAWS</vt:lpstr>
      <vt:lpstr>CAPI_INT_DRAWS</vt:lpstr>
      <vt:lpstr>CAPI_TERM</vt:lpstr>
      <vt:lpstr>CAPITAL_IMPROV_FEE</vt:lpstr>
      <vt:lpstr>CITY</vt:lpstr>
      <vt:lpstr>COI</vt:lpstr>
      <vt:lpstr>COI_REFUNDING</vt:lpstr>
      <vt:lpstr>COMM_NEW_VALUE_ADD</vt:lpstr>
      <vt:lpstr>COMM_NEW_VALUE_ADD_SUB</vt:lpstr>
      <vt:lpstr>COMMERCIAL_LAG_YEARS</vt:lpstr>
      <vt:lpstr>CONTRIBUTION_RATE</vt:lpstr>
      <vt:lpstr>COUNTY</vt:lpstr>
      <vt:lpstr>COUNTY_TREASURER_FEE</vt:lpstr>
      <vt:lpstr>DELIVERY</vt:lpstr>
      <vt:lpstr>DELIVERY_REFUNDING</vt:lpstr>
      <vt:lpstr>DEVELOPED_LOT_VALUE</vt:lpstr>
      <vt:lpstr>DEVELOPER</vt:lpstr>
      <vt:lpstr>DSC_REFUNDING_BONDS</vt:lpstr>
      <vt:lpstr>DSC_SENIOR_LIEN_BONDS</vt:lpstr>
      <vt:lpstr>DSC_SUB_LIEN_BONDS</vt:lpstr>
      <vt:lpstr>DUPLEX_FIRST_CLOSE_DATE</vt:lpstr>
      <vt:lpstr>END_BAL_ACCRUED_SUB_BONDS</vt:lpstr>
      <vt:lpstr>FINAL_MAT_SUB_YRS</vt:lpstr>
      <vt:lpstr>FINAL_MAT_YRS</vt:lpstr>
      <vt:lpstr>FINAL_MAT_YRS_REFUNDING</vt:lpstr>
      <vt:lpstr>FIRST_INT</vt:lpstr>
      <vt:lpstr>FIRST_INT_REFUNDING</vt:lpstr>
      <vt:lpstr>FIRST_INT_SUB</vt:lpstr>
      <vt:lpstr>FIRST_PRIN</vt:lpstr>
      <vt:lpstr>FIRST_YEAR</vt:lpstr>
      <vt:lpstr>FRAC</vt:lpstr>
      <vt:lpstr>FRAC_CAPI</vt:lpstr>
      <vt:lpstr>FRAC_REFUNDING</vt:lpstr>
      <vt:lpstr>FRAC_SUB</vt:lpstr>
      <vt:lpstr>GALLAGHERIZATION</vt:lpstr>
      <vt:lpstr>HOME_FIRST_CLOSE_DATE</vt:lpstr>
      <vt:lpstr>HOME_LOT_DELIVERY_DATE</vt:lpstr>
      <vt:lpstr>HYPOTHETICAL_SCENARIO</vt:lpstr>
      <vt:lpstr>IG_RATED</vt:lpstr>
      <vt:lpstr>INFLATION_RATE</vt:lpstr>
      <vt:lpstr>INFLATION_RATE_COMM_SALES</vt:lpstr>
      <vt:lpstr>INFLATION_STEP_START_YEAR</vt:lpstr>
      <vt:lpstr>INFLATION_STEP_YEARS</vt:lpstr>
      <vt:lpstr>INT_MATURITY</vt:lpstr>
      <vt:lpstr>INTEREST_EARN_RATE</vt:lpstr>
      <vt:lpstr>LOT_DELIVERY_SCENARIO</vt:lpstr>
      <vt:lpstr>METRO</vt:lpstr>
      <vt:lpstr>MILL_LEVY_CAP_TOTAL</vt:lpstr>
      <vt:lpstr>MILL_LEVY_COMM</vt:lpstr>
      <vt:lpstr>MILL_LEVY_DS_CAP</vt:lpstr>
      <vt:lpstr>MILL_LEVY_DS_TARGET</vt:lpstr>
      <vt:lpstr>MILL_LEVY_OPS_TARGET</vt:lpstr>
      <vt:lpstr>MILL_LEVY_SERVICE_PLAN</vt:lpstr>
      <vt:lpstr>OIL_GAS</vt:lpstr>
      <vt:lpstr>OIL_GAS_ASSETS</vt:lpstr>
      <vt:lpstr>OIL_GAS_SUBORDINATE</vt:lpstr>
      <vt:lpstr>OIL_GAS_VALUE</vt:lpstr>
      <vt:lpstr>OM_CARVEOUT</vt:lpstr>
      <vt:lpstr>OM_CARVEOUT_AV_LIMIT</vt:lpstr>
      <vt:lpstr>OM_GROWTH_RATE</vt:lpstr>
      <vt:lpstr>PAR_CALL_FIRST</vt:lpstr>
      <vt:lpstr>PLATTED_COMM_LOT_VALUE</vt:lpstr>
      <vt:lpstr>PLATTED_LOT_VALUE</vt:lpstr>
      <vt:lpstr>PREMIUM_CALL_FIRST</vt:lpstr>
      <vt:lpstr>PREMIUM_CALL_FIRST_PRICE</vt:lpstr>
      <vt:lpstr>PRIN_MATURITY</vt:lpstr>
      <vt:lpstr>PRIN_MATURITY_DAY_SENIOR</vt:lpstr>
      <vt:lpstr>PRIN_MATURITY_DAY_SUB</vt:lpstr>
      <vt:lpstr>'Comm Development'!Print_Area</vt:lpstr>
      <vt:lpstr>'Deal COI'!Print_Area</vt:lpstr>
      <vt:lpstr>'Ops Rev &amp; Exp Projection'!Print_Area</vt:lpstr>
      <vt:lpstr>'Residential Development'!Print_Area</vt:lpstr>
      <vt:lpstr>'Senior Lien DS - First'!Print_Area</vt:lpstr>
      <vt:lpstr>'Sources and Uses - First'!Print_Area</vt:lpstr>
      <vt:lpstr>'Sources and Uses - Refunding'!Print_Area</vt:lpstr>
      <vt:lpstr>'Sub Lien DS - First (Annual)'!Print_Area</vt:lpstr>
      <vt:lpstr>'Sub Lien DS - First (SA)'!Print_Area</vt:lpstr>
      <vt:lpstr>Summary!Print_Area</vt:lpstr>
      <vt:lpstr>Summary!Print_Titles</vt:lpstr>
      <vt:lpstr>REFUND_BONDS_SERIES</vt:lpstr>
      <vt:lpstr>REFUND_FINANCING</vt:lpstr>
      <vt:lpstr>RESID_DELIVERY_YEAR</vt:lpstr>
      <vt:lpstr>RESID_NEW_VALUE_ADD</vt:lpstr>
      <vt:lpstr>RESID_NEW_VALUE_ADD_SUB</vt:lpstr>
      <vt:lpstr>SECOND_FINANCING</vt:lpstr>
      <vt:lpstr>SENIOR_BONDS_SERIES</vt:lpstr>
      <vt:lpstr>SENIOR_INTEREST_RATE</vt:lpstr>
      <vt:lpstr>SENIOR_REFUNDING_INTEREST_RATE</vt:lpstr>
      <vt:lpstr>STATE_ASSESSED</vt:lpstr>
      <vt:lpstr>SUB_BONDS_SERIES</vt:lpstr>
      <vt:lpstr>SUB_INTEREST_RATE</vt:lpstr>
      <vt:lpstr>SUB_SIZING_THRESHOLD</vt:lpstr>
      <vt:lpstr>SURPLUS_FUND_DEPOSIT</vt:lpstr>
      <vt:lpstr>SURPLUS_FUND_DEPOSIT_REFUNDING</vt:lpstr>
      <vt:lpstr>SURPLUS_FUND_RELEASE_DATE</vt:lpstr>
      <vt:lpstr>SURPLUS_FUND_RELEASE_DATE_REFUNDING</vt:lpstr>
      <vt:lpstr>SURPLUS_FUND_TARGET</vt:lpstr>
      <vt:lpstr>SURPLUS_FUND_TARGET_REFUNDING</vt:lpstr>
      <vt:lpstr>SURPLUS_ON_OFF</vt:lpstr>
      <vt:lpstr>SURPLUS_RELEASE_SIZING</vt:lpstr>
      <vt:lpstr>TABOR_CURRENT</vt:lpstr>
      <vt:lpstr>TABOR_PRIOR</vt:lpstr>
      <vt:lpstr>TABOR_PROJECTED</vt:lpstr>
      <vt:lpstr>TAX_COLLECT_MILL_PRC</vt:lpstr>
      <vt:lpstr>TAX_COLLECT_SO_AV_THRESHOLD</vt:lpstr>
      <vt:lpstr>TAX_COLLECT_SO_PRC</vt:lpstr>
      <vt:lpstr>TIC_DEBT_SERVICE_SENIOR</vt:lpstr>
      <vt:lpstr>TIC_DEBT_SERVICE_SENIOR_REFUNDING</vt:lpstr>
      <vt:lpstr>'Sub Lien DS - First (Annual)'!TIC_DEBT_SERVICE_SUB</vt:lpstr>
      <vt:lpstr>TIC_DEBT_SERVICE_SUB</vt:lpstr>
      <vt:lpstr>TOWNHOME_FIRST_CLOSE_DATE</vt:lpstr>
      <vt:lpstr>TRUSTEE_FEE</vt:lpstr>
      <vt:lpstr>TRUSTEE_FEE_SUB</vt:lpstr>
      <vt:lpstr>UWD_SENIOR</vt:lpstr>
      <vt:lpstr>UWD_SENIOR_REFUNDING</vt:lpstr>
      <vt:lpstr>UWD_SUB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D Kist</dc:creator>
  <cp:lastModifiedBy>Evan D. Kist</cp:lastModifiedBy>
  <cp:lastPrinted>2024-06-05T19:22:40Z</cp:lastPrinted>
  <dcterms:created xsi:type="dcterms:W3CDTF">2019-11-23T04:23:16Z</dcterms:created>
  <dcterms:modified xsi:type="dcterms:W3CDTF">2025-05-09T19:13:03Z</dcterms:modified>
</cp:coreProperties>
</file>